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 Me" sheetId="1" state="visible" r:id="rId1"/>
    <sheet name="Scan_28Jul26" sheetId="2" state="visible" r:id="rId2"/>
    <sheet name="Scan_26Jul26" sheetId="3" state="visible" r:id="rId3"/>
    <sheet name="Scanner Shortlist" sheetId="4" state="visible" r:id="rId4"/>
    <sheet name="Trade Checklist" sheetId="5" state="visible" r:id="rId5"/>
    <sheet name="Risk-Reward Calculator" sheetId="6" state="visible" r:id="rId6"/>
    <sheet name="BSEGain_26Jul26" sheetId="7" state="visible" r:id="rId7"/>
    <sheet name="BSE1000_27Jul26" sheetId="8" state="visible" r:id="rId8"/>
    <sheet name="BSEGain_27Jul26" sheetId="9" state="visible" r:id="rId9"/>
    <sheet name="BSEGain_31Jul26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C00000"/>
      <sz val="10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3"/>
    </font>
  </fonts>
  <fills count="12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C00000"/>
        <bgColor rgb="FF800000"/>
      </patternFill>
    </fill>
    <fill>
      <patternFill patternType="solid">
        <fgColor rgb="FFF8CBAD"/>
        <bgColor rgb="FFFFE699"/>
      </patternFill>
    </fill>
    <fill>
      <patternFill patternType="solid">
        <fgColor rgb="FFD9E2F3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00548235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9" fillId="2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4" fontId="7" fillId="0" borderId="1" applyAlignment="1" pivotButton="0" quotePrefix="0" xfId="0">
      <alignment horizontal="general" vertical="bottom"/>
    </xf>
    <xf numFmtId="1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4" fontId="7" fillId="4" borderId="1" applyAlignment="1" pivotButton="0" quotePrefix="0" xfId="0">
      <alignment horizontal="general" vertical="bottom"/>
    </xf>
    <xf numFmtId="10" fontId="7" fillId="4" borderId="1" applyAlignment="1" pivotButton="0" quotePrefix="0" xfId="0">
      <alignment horizontal="general" vertical="bottom"/>
    </xf>
    <xf numFmtId="3" fontId="7" fillId="4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bottom"/>
    </xf>
    <xf numFmtId="0" fontId="10" fillId="3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0" fontId="11" fillId="5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general" vertical="center" wrapText="1"/>
    </xf>
    <xf numFmtId="0" fontId="6" fillId="7" borderId="1" applyAlignment="1" pivotButton="0" quotePrefix="0" xfId="0">
      <alignment horizontal="general" vertical="bottom"/>
    </xf>
    <xf numFmtId="0" fontId="6" fillId="7" borderId="0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0" fontId="8" fillId="8" borderId="1" applyAlignment="1" pivotButton="0" quotePrefix="0" xfId="0">
      <alignment horizontal="general" vertical="bottom"/>
    </xf>
    <xf numFmtId="3" fontId="7" fillId="8" borderId="1" applyAlignment="1" pivotButton="0" quotePrefix="0" xfId="0">
      <alignment horizontal="general" vertical="bottom"/>
    </xf>
    <xf numFmtId="3" fontId="8" fillId="8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general" vertical="bottom"/>
    </xf>
    <xf numFmtId="4" fontId="7" fillId="8" borderId="1" applyAlignment="1" pivotButton="0" quotePrefix="0" xfId="0">
      <alignment horizontal="general" vertical="bottom"/>
    </xf>
    <xf numFmtId="164" fontId="7" fillId="8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9" fillId="2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4" fontId="7" fillId="0" borderId="1" applyAlignment="1" pivotButton="0" quotePrefix="0" xfId="0">
      <alignment horizontal="general" vertical="bottom"/>
    </xf>
    <xf numFmtId="1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4" fontId="7" fillId="4" borderId="1" applyAlignment="1" pivotButton="0" quotePrefix="0" xfId="0">
      <alignment horizontal="general" vertical="bottom"/>
    </xf>
    <xf numFmtId="10" fontId="7" fillId="4" borderId="1" applyAlignment="1" pivotButton="0" quotePrefix="0" xfId="0">
      <alignment horizontal="general" vertical="bottom"/>
    </xf>
    <xf numFmtId="3" fontId="7" fillId="4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bottom"/>
    </xf>
    <xf numFmtId="0" fontId="10" fillId="3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0" fontId="11" fillId="5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general" vertical="center" wrapText="1"/>
    </xf>
    <xf numFmtId="0" fontId="6" fillId="7" borderId="1" applyAlignment="1" pivotButton="0" quotePrefix="0" xfId="0">
      <alignment horizontal="general" vertical="bottom"/>
    </xf>
    <xf numFmtId="0" fontId="0" fillId="0" borderId="4" pivotButton="0" quotePrefix="0" xfId="0"/>
    <xf numFmtId="0" fontId="6" fillId="7" borderId="0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0" fontId="8" fillId="8" borderId="1" applyAlignment="1" pivotButton="0" quotePrefix="0" xfId="0">
      <alignment horizontal="general" vertical="bottom"/>
    </xf>
    <xf numFmtId="3" fontId="7" fillId="8" borderId="1" applyAlignment="1" pivotButton="0" quotePrefix="0" xfId="0">
      <alignment horizontal="general" vertical="bottom"/>
    </xf>
    <xf numFmtId="3" fontId="8" fillId="8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general" vertical="bottom"/>
    </xf>
    <xf numFmtId="4" fontId="7" fillId="8" borderId="1" applyAlignment="1" pivotButton="0" quotePrefix="0" xfId="0">
      <alignment horizontal="general" vertical="bottom"/>
    </xf>
    <xf numFmtId="164" fontId="7" fillId="8" borderId="1" applyAlignment="1" pivotButton="0" quotePrefix="0" xfId="0">
      <alignment horizontal="general" vertical="bottom"/>
    </xf>
    <xf numFmtId="0" fontId="13" fillId="0" borderId="0" pivotButton="0" quotePrefix="0" xfId="0"/>
    <xf numFmtId="0" fontId="14" fillId="9" borderId="0" pivotButton="0" quotePrefix="0" xfId="0"/>
    <xf numFmtId="0" fontId="15" fillId="1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6" fillId="11" borderId="5" applyAlignment="1" pivotButton="0" quotePrefix="0" xfId="0">
      <alignment horizontal="center"/>
    </xf>
    <xf numFmtId="0" fontId="17" fillId="11" borderId="5" applyAlignment="1" pivotButton="0" quotePrefix="0" xfId="0">
      <alignment horizontal="center"/>
    </xf>
    <xf numFmtId="0" fontId="16" fillId="0" borderId="5" applyAlignment="1" pivotButton="0" quotePrefix="0" xfId="0">
      <alignment horizontal="center" wrapText="1"/>
    </xf>
    <xf numFmtId="0" fontId="16" fillId="11" borderId="5" applyAlignment="1" pivotButton="0" quotePrefix="0" xfId="0">
      <alignment horizontal="center" wrapText="1"/>
    </xf>
    <xf numFmtId="0" fontId="16" fillId="0" borderId="5" applyAlignment="1" pivotButton="0" quotePrefix="0" xfId="0">
      <alignment horizontal="center"/>
    </xf>
    <xf numFmtId="0" fontId="16" fillId="0" borderId="5" applyAlignment="1" pivotButton="0" quotePrefix="0" xfId="0">
      <alignment horizontal="left" wrapText="1"/>
    </xf>
    <xf numFmtId="0" fontId="16" fillId="11" borderId="5" applyAlignment="1" pivotButton="0" quotePrefix="0" xfId="0">
      <alignment horizontal="center"/>
    </xf>
    <xf numFmtId="0" fontId="16" fillId="11" borderId="5" applyAlignment="1" pivotButton="0" quotePrefix="0" xfId="0">
      <alignment horizontal="left" wrapText="1"/>
    </xf>
    <xf numFmtId="0" fontId="18" fillId="0" borderId="0" pivotButton="0" quotePrefix="0" xfId="0"/>
    <xf numFmtId="0" fontId="16" fillId="0" borderId="5" pivotButton="0" quotePrefix="0" xfId="0"/>
    <xf numFmtId="0" fontId="16" fillId="11" borderId="5" pivotButton="0" quotePrefix="0" xfId="0"/>
    <xf numFmtId="0" fontId="16" fillId="0" borderId="5" applyAlignment="1" pivotButton="0" quotePrefix="0" xfId="0">
      <alignment horizontal="center"/>
    </xf>
    <xf numFmtId="0" fontId="16" fillId="11" borderId="5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4" min="1" max="1"/>
    <col width="100" customWidth="1" style="44" min="2" max="2"/>
  </cols>
  <sheetData>
    <row r="2" ht="19.7" customHeight="1" s="45">
      <c r="B2" s="46" t="inlineStr">
        <is>
          <t>Swing/Intraday Shortlisting Toolkit</t>
        </is>
      </c>
    </row>
    <row r="3" ht="15" customHeight="1" s="45">
      <c r="B3" s="47" t="inlineStr">
        <is>
          <t>Built from your Ultimate Bull Scanner (24-07-2026) — for a working professional trading with limited screen time</t>
        </is>
      </c>
    </row>
    <row r="5" ht="15" customHeight="1" s="45">
      <c r="B5" s="48" t="inlineStr">
        <is>
          <t>What's in this workbook</t>
        </is>
      </c>
    </row>
    <row r="6" ht="15" customHeight="1" s="45">
      <c r="B6" s="49" t="inlineStr">
        <is>
          <t>•  1. Scanner Shortlist — your 49 downloaded stocks, with a checklist scoring system that auto-ranks them</t>
        </is>
      </c>
    </row>
    <row r="7" ht="15" customHeight="1" s="45">
      <c r="B7" s="49" t="inlineStr">
        <is>
          <t>•  2. Trade Checklist — the factors a professional checks before entering ANY trade (intraday or swing)</t>
        </is>
      </c>
    </row>
    <row r="8" ht="15" customHeight="1" s="45">
      <c r="B8" s="49" t="inlineStr">
        <is>
          <t>•  3. Risk-Reward Calculator — enter entry/stop/target, it auto-computes position size, profit, and loss</t>
        </is>
      </c>
    </row>
    <row r="10" ht="15" customHeight="1" s="45">
      <c r="B10" s="48" t="inlineStr">
        <is>
          <t>How to use the Scanner Shortlist sheet</t>
        </is>
      </c>
    </row>
    <row r="11" ht="15" customHeight="1" s="45">
      <c r="B11" s="49" t="inlineStr">
        <is>
          <t>•  Every evening, pick a few stocks from the list and fill in the YELLOW cells (columns H, I, L, M, N, O)</t>
        </is>
      </c>
    </row>
    <row r="12" ht="15" customHeight="1" s="45">
      <c r="B12" s="49" t="inlineStr">
        <is>
          <t>•  by checking the chart on TradingView/Kite. Type Y or N only.</t>
        </is>
      </c>
    </row>
    <row r="13" ht="15" customHeight="1" s="45">
      <c r="B13" s="49" t="inlineStr">
        <is>
          <t>•  Column J (RSI) — type the RSI(14) number you see on the chart.</t>
        </is>
      </c>
    </row>
    <row r="14" ht="15" customHeight="1" s="45">
      <c r="B14" s="49" t="inlineStr">
        <is>
          <t>•  The sheet auto-calculates a Score (0-8) and a Verdict: STRONG SETUP / WATCHLIST / AVOID.</t>
        </is>
      </c>
    </row>
    <row r="15" ht="15" customHeight="1" s="45">
      <c r="B15" s="49" t="inlineStr">
        <is>
          <t>•  Only act on STRONG SETUP stocks — this keeps you from over-trading.</t>
        </is>
      </c>
    </row>
    <row r="17" ht="15" customHeight="1" s="45">
      <c r="B17" s="48" t="inlineStr">
        <is>
          <t>Color legend (used across all sheets)</t>
        </is>
      </c>
    </row>
    <row r="18" ht="15" customHeight="1" s="45">
      <c r="B18" s="49" t="inlineStr">
        <is>
          <t>•  YELLOW cell = you type here (input)</t>
        </is>
      </c>
    </row>
    <row r="19" ht="15" customHeight="1" s="45">
      <c r="B19" s="49" t="inlineStr">
        <is>
          <t>•  BLUE text = a hardcoded number/assumption</t>
        </is>
      </c>
    </row>
    <row r="20" ht="15" customHeight="1" s="45">
      <c r="B20" s="49" t="inlineStr">
        <is>
          <t>•  BLACK text = formula, calculates automatically — do not overtype</t>
        </is>
      </c>
    </row>
    <row r="21" ht="15" customHeight="1" s="45">
      <c r="B21" s="49" t="inlineStr">
        <is>
          <t>•  GREEN text = pulled from another sheet</t>
        </is>
      </c>
    </row>
    <row r="23" ht="15" customHeight="1" s="45">
      <c r="B23" s="48" t="inlineStr">
        <is>
          <t>Important</t>
        </is>
      </c>
    </row>
    <row r="24" ht="15" customHeight="1" s="45">
      <c r="B24" s="49" t="inlineStr">
        <is>
          <t>•  This workbook is a decision-support checklist, not financial advice — it does not guarantee profit.</t>
        </is>
      </c>
    </row>
    <row r="25" ht="15" customHeight="1" s="45">
      <c r="B25" s="49" t="inlineStr">
        <is>
          <t>•  Data below is a single-day snapshot from your scanner (close price, % change, volume as of 24-07-2026).</t>
        </is>
      </c>
    </row>
    <row r="26" ht="15" customHeight="1" s="45">
      <c r="B26" s="49" t="inlineStr">
        <is>
          <t>•  Volume threshold of 50,000 shares/day used as the liquidity cutoff — adjust in the Scanner sheet if needed.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59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style="45" min="1" max="1"/>
    <col width="28" customWidth="1" style="45" min="2" max="2"/>
    <col width="18" customWidth="1" style="45" min="3" max="3"/>
    <col width="13" customWidth="1" style="45" min="4" max="4"/>
    <col width="13" customWidth="1" style="45" min="5" max="5"/>
    <col width="13" customWidth="1" style="45" min="6" max="6"/>
    <col width="13" customWidth="1" style="45" min="7" max="7"/>
    <col width="13" customWidth="1" style="45" min="8" max="8"/>
    <col width="13" customWidth="1" style="45" min="9" max="9"/>
    <col width="13" customWidth="1" style="45" min="10" max="10"/>
    <col width="13" customWidth="1" style="45" min="11" max="11"/>
    <col width="13" customWidth="1" style="45" min="12" max="12"/>
    <col width="13" customWidth="1" style="45" min="13" max="13"/>
    <col width="13" customWidth="1" style="45" min="14" max="14"/>
    <col width="13" customWidth="1" style="45" min="15" max="15"/>
    <col width="13" customWidth="1" style="45" min="16" max="16"/>
    <col width="13" customWidth="1" style="45" min="17" max="17"/>
    <col width="13" customWidth="1" style="45" min="18" max="18"/>
    <col width="13" customWidth="1" style="45" min="19" max="19"/>
    <col width="13" customWidth="1" style="45" min="20" max="20"/>
    <col width="13" customWidth="1" style="45" min="21" max="21"/>
    <col width="13" customWidth="1" style="45" min="22" max="22"/>
    <col width="13" customWidth="1" style="45" min="23" max="23"/>
    <col width="13" customWidth="1" style="45" min="24" max="24"/>
    <col width="13" customWidth="1" style="45" min="25" max="25"/>
    <col width="13" customWidth="1" style="45" min="26" max="26"/>
    <col width="13" customWidth="1" style="45" min="27" max="27"/>
  </cols>
  <sheetData>
    <row r="1">
      <c r="A1" s="88" t="inlineStr">
        <is>
          <t>Market Scan — 28 Jul 2026</t>
        </is>
      </c>
    </row>
    <row r="3">
      <c r="A3" s="89" t="inlineStr">
        <is>
          <t>FULL SCAN — 485 stocks passed liquidity filter, ranked by score</t>
        </is>
      </c>
    </row>
    <row r="4" ht="32" customHeight="1" s="45">
      <c r="A4" s="90" t="inlineStr">
        <is>
          <t>Symbol</t>
        </is>
      </c>
      <c r="B4" s="90" t="inlineStr">
        <is>
          <t>Name</t>
        </is>
      </c>
      <c r="C4" s="90" t="inlineStr">
        <is>
          <t>Sector</t>
        </is>
      </c>
      <c r="D4" s="90" t="inlineStr">
        <is>
          <t>Cap Segment</t>
        </is>
      </c>
      <c r="E4" s="90" t="inlineStr">
        <is>
          <t>Close</t>
        </is>
      </c>
      <c r="F4" s="90" t="inlineStr">
        <is>
          <t>% Chg</t>
        </is>
      </c>
      <c r="G4" s="90" t="inlineStr">
        <is>
          <t>Volume</t>
        </is>
      </c>
      <c r="H4" s="90" t="inlineStr">
        <is>
          <t>Vol Ratio (vs 3d avg)</t>
        </is>
      </c>
      <c r="I4" s="90" t="inlineStr">
        <is>
          <t>Mkt Cap (Cr)</t>
        </is>
      </c>
      <c r="J4" s="90" t="inlineStr">
        <is>
          <t>Liquidity OK?</t>
        </is>
      </c>
      <c r="K4" s="90" t="inlineStr">
        <is>
          <t>Above 50DMA?</t>
        </is>
      </c>
      <c r="L4" s="90" t="inlineStr">
        <is>
          <t>Above 200DMA?</t>
        </is>
      </c>
      <c r="M4" s="90" t="inlineStr">
        <is>
          <t>RSI(14)</t>
        </is>
      </c>
      <c r="N4" s="90" t="inlineStr">
        <is>
          <t>RSI Healthy?</t>
        </is>
      </c>
      <c r="O4" s="90" t="inlineStr">
        <is>
          <t>ATR(14)</t>
        </is>
      </c>
      <c r="P4" s="90" t="inlineStr">
        <is>
          <t>Vol Spike?</t>
        </is>
      </c>
      <c r="Q4" s="90" t="inlineStr">
        <is>
          <t>% Down from 52wH</t>
        </is>
      </c>
      <c r="R4" s="90" t="inlineStr">
        <is>
          <t>Near 52wH?</t>
        </is>
      </c>
      <c r="S4" s="90" t="inlineStr">
        <is>
          <t>RS vs Nifty 1M %</t>
        </is>
      </c>
      <c r="T4" s="90" t="inlineStr">
        <is>
          <t>RS vs Nifty 3M %</t>
        </is>
      </c>
      <c r="U4" s="90" t="inlineStr">
        <is>
          <t>RS Positive?</t>
        </is>
      </c>
      <c r="V4" s="90" t="inlineStr">
        <is>
          <t>P/E</t>
        </is>
      </c>
      <c r="W4" s="90" t="inlineStr">
        <is>
          <t>ROE %</t>
        </is>
      </c>
      <c r="X4" s="90" t="inlineStr">
        <is>
          <t>Debt/Equity</t>
        </is>
      </c>
      <c r="Y4" s="90" t="inlineStr">
        <is>
          <t>QoQ Profit Gr %</t>
        </is>
      </c>
      <c r="Z4" s="90" t="inlineStr">
        <is>
          <t>Score (0-9)</t>
        </is>
      </c>
      <c r="AA4" s="90" t="inlineStr">
        <is>
          <t>Verdict</t>
        </is>
      </c>
    </row>
    <row r="5">
      <c r="A5" s="97" t="inlineStr">
        <is>
          <t>CAPLIPOINT</t>
        </is>
      </c>
      <c r="B5" s="97" t="inlineStr">
        <is>
          <t>Caplin Point Laboratories Ltd.</t>
        </is>
      </c>
      <c r="C5" s="97" t="inlineStr">
        <is>
          <t>Healthcare</t>
        </is>
      </c>
      <c r="D5" s="97" t="inlineStr">
        <is>
          <t>BSE Smallcap</t>
        </is>
      </c>
      <c r="E5" s="97" t="n">
        <v>2621.4</v>
      </c>
      <c r="F5" s="97" t="n">
        <v>6.25</v>
      </c>
      <c r="G5" s="97" t="n">
        <v>354020</v>
      </c>
      <c r="H5" s="97" t="n">
        <v>3.17</v>
      </c>
      <c r="I5" s="97" t="n">
        <v>19926</v>
      </c>
      <c r="J5" s="97" t="inlineStr">
        <is>
          <t>Y</t>
        </is>
      </c>
      <c r="K5" s="97" t="inlineStr">
        <is>
          <t>Y</t>
        </is>
      </c>
      <c r="L5" s="97" t="inlineStr">
        <is>
          <t>Y</t>
        </is>
      </c>
      <c r="M5" s="97" t="n">
        <v>53.8</v>
      </c>
      <c r="N5" s="97" t="inlineStr">
        <is>
          <t>Y</t>
        </is>
      </c>
      <c r="O5" s="97" t="n">
        <v>100.72</v>
      </c>
      <c r="P5" s="97" t="inlineStr">
        <is>
          <t>Y</t>
        </is>
      </c>
      <c r="Q5" s="97" t="inlineStr">
        <is>
          <t>N/A</t>
        </is>
      </c>
      <c r="R5" s="97" t="inlineStr">
        <is>
          <t>N</t>
        </is>
      </c>
      <c r="S5" s="97" t="n">
        <v>4.8</v>
      </c>
      <c r="T5" s="97" t="n">
        <v>52.4</v>
      </c>
      <c r="U5" s="97" t="inlineStr">
        <is>
          <t>Y</t>
        </is>
      </c>
      <c r="V5" s="97" t="n">
        <v>29.3</v>
      </c>
      <c r="W5" s="97" t="n">
        <v>19.9</v>
      </c>
      <c r="X5" s="97" t="n">
        <v>0.13</v>
      </c>
      <c r="Y5" s="97" t="n">
        <v>3.8</v>
      </c>
      <c r="Z5" s="97" t="n">
        <v>8</v>
      </c>
      <c r="AA5" s="92" t="inlineStr">
        <is>
          <t>STRONG SETUP</t>
        </is>
      </c>
    </row>
    <row r="6">
      <c r="A6" s="99" t="inlineStr">
        <is>
          <t>CREDITACC</t>
        </is>
      </c>
      <c r="B6" s="99" t="inlineStr">
        <is>
          <t>CreditAccess Grameen Ltd.</t>
        </is>
      </c>
      <c r="C6" s="99" t="inlineStr">
        <is>
          <t>Financial Services</t>
        </is>
      </c>
      <c r="D6" s="99" t="inlineStr">
        <is>
          <t>BSE Smallcap</t>
        </is>
      </c>
      <c r="E6" s="99" t="n">
        <v>1591.1</v>
      </c>
      <c r="F6" s="99" t="n">
        <v>4.84</v>
      </c>
      <c r="G6" s="99" t="n">
        <v>3825382</v>
      </c>
      <c r="H6" s="99" t="n">
        <v>15.72</v>
      </c>
      <c r="I6" s="99" t="n">
        <v>25489</v>
      </c>
      <c r="J6" s="99" t="inlineStr">
        <is>
          <t>Y</t>
        </is>
      </c>
      <c r="K6" s="99" t="inlineStr">
        <is>
          <t>Y</t>
        </is>
      </c>
      <c r="L6" s="99" t="inlineStr">
        <is>
          <t>Y</t>
        </is>
      </c>
      <c r="M6" s="99" t="n">
        <v>51.1</v>
      </c>
      <c r="N6" s="99" t="inlineStr">
        <is>
          <t>Y</t>
        </is>
      </c>
      <c r="O6" s="99" t="n">
        <v>52.25</v>
      </c>
      <c r="P6" s="99" t="inlineStr">
        <is>
          <t>Y</t>
        </is>
      </c>
      <c r="Q6" s="99" t="inlineStr">
        <is>
          <t>N/A</t>
        </is>
      </c>
      <c r="R6" s="99" t="inlineStr">
        <is>
          <t>N</t>
        </is>
      </c>
      <c r="S6" s="99" t="n">
        <v>9.1</v>
      </c>
      <c r="T6" s="99" t="n">
        <v>22.8</v>
      </c>
      <c r="U6" s="99" t="inlineStr">
        <is>
          <t>Y</t>
        </is>
      </c>
      <c r="V6" s="99" t="n">
        <v>20.2</v>
      </c>
      <c r="W6" s="99" t="n">
        <v>16.4</v>
      </c>
      <c r="X6" s="99" t="n">
        <v>302.87</v>
      </c>
      <c r="Y6" s="99" t="n">
        <v>45.3</v>
      </c>
      <c r="Z6" s="99" t="n">
        <v>8</v>
      </c>
      <c r="AA6" s="94" t="inlineStr">
        <is>
          <t>STRONG SETUP</t>
        </is>
      </c>
    </row>
    <row r="7">
      <c r="A7" s="97" t="inlineStr">
        <is>
          <t>EMCURE</t>
        </is>
      </c>
      <c r="B7" s="97" t="inlineStr">
        <is>
          <t>Emcure Pharmaceuticals Ltd.</t>
        </is>
      </c>
      <c r="C7" s="97" t="inlineStr">
        <is>
          <t>Healthcare</t>
        </is>
      </c>
      <c r="D7" s="97" t="inlineStr">
        <is>
          <t>BSE Smallcap</t>
        </is>
      </c>
      <c r="E7" s="97" t="n">
        <v>1924.8</v>
      </c>
      <c r="F7" s="97" t="n">
        <v>2.33</v>
      </c>
      <c r="G7" s="97" t="n">
        <v>253294</v>
      </c>
      <c r="H7" s="97" t="n">
        <v>2.8</v>
      </c>
      <c r="I7" s="97" t="n">
        <v>36510</v>
      </c>
      <c r="J7" s="97" t="inlineStr">
        <is>
          <t>Y</t>
        </is>
      </c>
      <c r="K7" s="97" t="inlineStr">
        <is>
          <t>Y</t>
        </is>
      </c>
      <c r="L7" s="97" t="inlineStr">
        <is>
          <t>Y</t>
        </is>
      </c>
      <c r="M7" s="97" t="n">
        <v>60.7</v>
      </c>
      <c r="N7" s="97" t="inlineStr">
        <is>
          <t>Y</t>
        </is>
      </c>
      <c r="O7" s="97" t="n">
        <v>56.18</v>
      </c>
      <c r="P7" s="97" t="inlineStr">
        <is>
          <t>Y</t>
        </is>
      </c>
      <c r="Q7" s="97" t="inlineStr">
        <is>
          <t>N/A</t>
        </is>
      </c>
      <c r="R7" s="97" t="inlineStr">
        <is>
          <t>N</t>
        </is>
      </c>
      <c r="S7" s="97" t="n">
        <v>2.6</v>
      </c>
      <c r="T7" s="97" t="n">
        <v>15</v>
      </c>
      <c r="U7" s="97" t="inlineStr">
        <is>
          <t>Y</t>
        </is>
      </c>
      <c r="V7" s="97" t="n">
        <v>38.6</v>
      </c>
      <c r="W7" s="97" t="n">
        <v>19.6</v>
      </c>
      <c r="X7" s="97" t="n">
        <v>30.57</v>
      </c>
      <c r="Y7" s="97" t="n">
        <v>5.6</v>
      </c>
      <c r="Z7" s="97" t="n">
        <v>8</v>
      </c>
      <c r="AA7" s="92" t="inlineStr">
        <is>
          <t>STRONG SETUP</t>
        </is>
      </c>
    </row>
    <row r="8">
      <c r="A8" s="99" t="inlineStr">
        <is>
          <t>MEDANTA</t>
        </is>
      </c>
      <c r="B8" s="99" t="inlineStr">
        <is>
          <t>Global Health Ltd.</t>
        </is>
      </c>
      <c r="C8" s="99" t="inlineStr">
        <is>
          <t>Healthcare</t>
        </is>
      </c>
      <c r="D8" s="99" t="inlineStr">
        <is>
          <t>Large/Midcap</t>
        </is>
      </c>
      <c r="E8" s="99" t="n">
        <v>1407.2</v>
      </c>
      <c r="F8" s="99" t="n">
        <v>2.64</v>
      </c>
      <c r="G8" s="99" t="n">
        <v>320048</v>
      </c>
      <c r="H8" s="99" t="n">
        <v>0.66</v>
      </c>
      <c r="I8" s="99" t="n">
        <v>37814</v>
      </c>
      <c r="J8" s="99" t="inlineStr">
        <is>
          <t>Y</t>
        </is>
      </c>
      <c r="K8" s="99" t="inlineStr">
        <is>
          <t>Y</t>
        </is>
      </c>
      <c r="L8" s="99" t="inlineStr">
        <is>
          <t>Y</t>
        </is>
      </c>
      <c r="M8" s="99" t="n">
        <v>67.7</v>
      </c>
      <c r="N8" s="99" t="inlineStr">
        <is>
          <t>Y</t>
        </is>
      </c>
      <c r="O8" s="99" t="n">
        <v>34.01</v>
      </c>
      <c r="P8" s="99" t="inlineStr">
        <is>
          <t>Y</t>
        </is>
      </c>
      <c r="Q8" s="99" t="inlineStr">
        <is>
          <t>N/A</t>
        </is>
      </c>
      <c r="R8" s="99" t="inlineStr">
        <is>
          <t>N</t>
        </is>
      </c>
      <c r="S8" s="99" t="n">
        <v>7.5</v>
      </c>
      <c r="T8" s="99" t="n">
        <v>23.5</v>
      </c>
      <c r="U8" s="99" t="inlineStr">
        <is>
          <t>Y</t>
        </is>
      </c>
      <c r="V8" s="99" t="n">
        <v>66.2</v>
      </c>
      <c r="W8" s="99" t="n">
        <v>15</v>
      </c>
      <c r="X8" s="99" t="n">
        <v>29.87</v>
      </c>
      <c r="Y8" s="99" t="n">
        <v>51.5</v>
      </c>
      <c r="Z8" s="99" t="n">
        <v>8</v>
      </c>
      <c r="AA8" s="94" t="inlineStr">
        <is>
          <t>STRONG SETUP</t>
        </is>
      </c>
    </row>
    <row r="9">
      <c r="A9" s="97" t="inlineStr">
        <is>
          <t>NH</t>
        </is>
      </c>
      <c r="B9" s="97" t="inlineStr">
        <is>
          <t>Narayana Hrudayalaya Ltd.</t>
        </is>
      </c>
      <c r="C9" s="97" t="inlineStr">
        <is>
          <t>Healthcare</t>
        </is>
      </c>
      <c r="D9" s="97" t="inlineStr">
        <is>
          <t>BSE Smallcap</t>
        </is>
      </c>
      <c r="E9" s="97" t="n">
        <v>2054</v>
      </c>
      <c r="F9" s="97" t="n">
        <v>4.72</v>
      </c>
      <c r="G9" s="97" t="n">
        <v>398068</v>
      </c>
      <c r="H9" s="97" t="n">
        <v>2</v>
      </c>
      <c r="I9" s="97" t="n">
        <v>41717</v>
      </c>
      <c r="J9" s="97" t="inlineStr">
        <is>
          <t>Y</t>
        </is>
      </c>
      <c r="K9" s="97" t="inlineStr">
        <is>
          <t>Y</t>
        </is>
      </c>
      <c r="L9" s="97" t="inlineStr">
        <is>
          <t>Y</t>
        </is>
      </c>
      <c r="M9" s="97" t="n">
        <v>58.3</v>
      </c>
      <c r="N9" s="97" t="inlineStr">
        <is>
          <t>Y</t>
        </is>
      </c>
      <c r="O9" s="97" t="n">
        <v>46.5</v>
      </c>
      <c r="P9" s="97" t="inlineStr">
        <is>
          <t>Y</t>
        </is>
      </c>
      <c r="Q9" s="97" t="inlineStr">
        <is>
          <t>N/A</t>
        </is>
      </c>
      <c r="R9" s="97" t="inlineStr">
        <is>
          <t>N</t>
        </is>
      </c>
      <c r="S9" s="97" t="n">
        <v>5.4</v>
      </c>
      <c r="T9" s="97" t="n">
        <v>16.9</v>
      </c>
      <c r="U9" s="97" t="inlineStr">
        <is>
          <t>Y</t>
        </is>
      </c>
      <c r="V9" s="97" t="n">
        <v>49.3</v>
      </c>
      <c r="W9" s="97" t="n">
        <v>19.8</v>
      </c>
      <c r="X9" s="97" t="n">
        <v>129.03</v>
      </c>
      <c r="Y9" s="97" t="n">
        <v>76.7</v>
      </c>
      <c r="Z9" s="97" t="n">
        <v>8</v>
      </c>
      <c r="AA9" s="92" t="inlineStr">
        <is>
          <t>STRONG SETUP</t>
        </is>
      </c>
    </row>
    <row r="10">
      <c r="A10" s="99" t="inlineStr">
        <is>
          <t>RRKABEL</t>
        </is>
      </c>
      <c r="B10" s="99" t="inlineStr">
        <is>
          <t>R R Kabel Ltd.</t>
        </is>
      </c>
      <c r="C10" s="99" t="inlineStr">
        <is>
          <t>Capital Goods</t>
        </is>
      </c>
      <c r="D10" s="99" t="inlineStr">
        <is>
          <t>BSE Smallcap</t>
        </is>
      </c>
      <c r="E10" s="99" t="n">
        <v>2493.6</v>
      </c>
      <c r="F10" s="99" t="n">
        <v>4.85</v>
      </c>
      <c r="G10" s="99" t="n">
        <v>943722</v>
      </c>
      <c r="H10" s="99" t="n">
        <v>1.33</v>
      </c>
      <c r="I10" s="99" t="n">
        <v>28563</v>
      </c>
      <c r="J10" s="99" t="inlineStr">
        <is>
          <t>Y</t>
        </is>
      </c>
      <c r="K10" s="99" t="inlineStr">
        <is>
          <t>Y</t>
        </is>
      </c>
      <c r="L10" s="99" t="inlineStr">
        <is>
          <t>Y</t>
        </is>
      </c>
      <c r="M10" s="99" t="n">
        <v>60.9</v>
      </c>
      <c r="N10" s="99" t="inlineStr">
        <is>
          <t>Y</t>
        </is>
      </c>
      <c r="O10" s="99" t="n">
        <v>109.93</v>
      </c>
      <c r="P10" s="99" t="inlineStr">
        <is>
          <t>Y</t>
        </is>
      </c>
      <c r="Q10" s="99" t="inlineStr">
        <is>
          <t>N/A</t>
        </is>
      </c>
      <c r="R10" s="99" t="inlineStr">
        <is>
          <t>N</t>
        </is>
      </c>
      <c r="S10" s="99" t="n">
        <v>0.5</v>
      </c>
      <c r="T10" s="99" t="n">
        <v>54.1</v>
      </c>
      <c r="U10" s="99" t="inlineStr">
        <is>
          <t>Y</t>
        </is>
      </c>
      <c r="V10" s="99" t="n">
        <v>57.9</v>
      </c>
      <c r="W10" s="99" t="n">
        <v>20.8</v>
      </c>
      <c r="X10" s="99" t="n">
        <v>13.09</v>
      </c>
      <c r="Y10" s="99" t="n">
        <v>42</v>
      </c>
      <c r="Z10" s="99" t="n">
        <v>8</v>
      </c>
      <c r="AA10" s="94" t="inlineStr">
        <is>
          <t>STRONG SETUP</t>
        </is>
      </c>
    </row>
    <row r="11">
      <c r="A11" s="97" t="inlineStr">
        <is>
          <t>CPPLUS</t>
        </is>
      </c>
      <c r="B11" s="97" t="inlineStr">
        <is>
          <t>Aditya Infotech Ltd.</t>
        </is>
      </c>
      <c r="C11" s="97" t="inlineStr">
        <is>
          <t>Capital Goods</t>
        </is>
      </c>
      <c r="D11" s="97" t="inlineStr">
        <is>
          <t>BSE Smallcap</t>
        </is>
      </c>
      <c r="E11" s="97" t="n">
        <v>3557.8</v>
      </c>
      <c r="F11" s="97" t="n">
        <v>0.41</v>
      </c>
      <c r="G11" s="97" t="n">
        <v>134944</v>
      </c>
      <c r="H11" s="97" t="n">
        <v>0.8</v>
      </c>
      <c r="I11" s="97" t="n">
        <v>41929</v>
      </c>
      <c r="J11" s="97" t="inlineStr">
        <is>
          <t>Y</t>
        </is>
      </c>
      <c r="K11" s="97" t="inlineStr">
        <is>
          <t>Y</t>
        </is>
      </c>
      <c r="L11" s="97" t="inlineStr">
        <is>
          <t>Y</t>
        </is>
      </c>
      <c r="M11" s="97" t="n">
        <v>50.4</v>
      </c>
      <c r="N11" s="97" t="inlineStr">
        <is>
          <t>Y</t>
        </is>
      </c>
      <c r="O11" s="97" t="n">
        <v>151.3</v>
      </c>
      <c r="P11" s="97" t="inlineStr">
        <is>
          <t>N</t>
        </is>
      </c>
      <c r="Q11" s="97" t="inlineStr">
        <is>
          <t>N/A</t>
        </is>
      </c>
      <c r="R11" s="97" t="inlineStr">
        <is>
          <t>N</t>
        </is>
      </c>
      <c r="S11" s="97" t="n">
        <v>0.3</v>
      </c>
      <c r="T11" s="97" t="n">
        <v>53.5</v>
      </c>
      <c r="U11" s="97" t="inlineStr">
        <is>
          <t>Y</t>
        </is>
      </c>
      <c r="V11" s="97" t="n">
        <v>111.1</v>
      </c>
      <c r="W11" s="97" t="n">
        <v>25.4</v>
      </c>
      <c r="X11" s="97" t="n">
        <v>9.6</v>
      </c>
      <c r="Y11" s="97" t="n">
        <v>76.2</v>
      </c>
      <c r="Z11" s="97" t="n">
        <v>7</v>
      </c>
      <c r="AA11" s="92" t="inlineStr">
        <is>
          <t>STRONG SETUP</t>
        </is>
      </c>
    </row>
    <row r="12">
      <c r="A12" s="99" t="inlineStr">
        <is>
          <t>ATUL</t>
        </is>
      </c>
      <c r="B12" s="99" t="inlineStr">
        <is>
          <t>Atul Ltd.</t>
        </is>
      </c>
      <c r="C12" s="99" t="inlineStr">
        <is>
          <t>Chemicals</t>
        </is>
      </c>
      <c r="D12" s="99" t="inlineStr">
        <is>
          <t>BSE Smallcap</t>
        </is>
      </c>
      <c r="E12" s="99" t="n">
        <v>6789.5</v>
      </c>
      <c r="F12" s="99" t="n">
        <v>5.96</v>
      </c>
      <c r="G12" s="99" t="n">
        <v>328187</v>
      </c>
      <c r="H12" s="99" t="n">
        <v>2</v>
      </c>
      <c r="I12" s="99" t="n">
        <v>19989</v>
      </c>
      <c r="J12" s="99" t="inlineStr">
        <is>
          <t>Y</t>
        </is>
      </c>
      <c r="K12" s="99" t="inlineStr">
        <is>
          <t>Y</t>
        </is>
      </c>
      <c r="L12" s="99" t="inlineStr">
        <is>
          <t>Y</t>
        </is>
      </c>
      <c r="M12" s="99" t="n">
        <v>62.9</v>
      </c>
      <c r="N12" s="99" t="inlineStr">
        <is>
          <t>Y</t>
        </is>
      </c>
      <c r="O12" s="99" t="n">
        <v>212.49</v>
      </c>
      <c r="P12" s="99" t="inlineStr">
        <is>
          <t>Y</t>
        </is>
      </c>
      <c r="Q12" s="99" t="inlineStr">
        <is>
          <t>N/A</t>
        </is>
      </c>
      <c r="R12" s="99" t="inlineStr">
        <is>
          <t>N</t>
        </is>
      </c>
      <c r="S12" s="99" t="n">
        <v>2.5</v>
      </c>
      <c r="T12" s="99" t="n">
        <v>0.5</v>
      </c>
      <c r="U12" s="99" t="inlineStr">
        <is>
          <t>Y</t>
        </is>
      </c>
      <c r="V12" s="99" t="n">
        <v>23.7</v>
      </c>
      <c r="W12" s="99" t="inlineStr">
        <is>
          <t>N/A</t>
        </is>
      </c>
      <c r="X12" s="99" t="n">
        <v>2.91</v>
      </c>
      <c r="Y12" s="99" t="n">
        <v>16.7</v>
      </c>
      <c r="Z12" s="99" t="n">
        <v>7</v>
      </c>
      <c r="AA12" s="94" t="inlineStr">
        <is>
          <t>STRONG SETUP</t>
        </is>
      </c>
    </row>
    <row r="13">
      <c r="A13" s="97" t="inlineStr">
        <is>
          <t>BAJFINANCE</t>
        </is>
      </c>
      <c r="B13" s="97" t="inlineStr">
        <is>
          <t>Bajaj Finance Ltd.</t>
        </is>
      </c>
      <c r="C13" s="97" t="inlineStr">
        <is>
          <t>Financial Services</t>
        </is>
      </c>
      <c r="D13" s="97" t="inlineStr">
        <is>
          <t>Large/Midcap</t>
        </is>
      </c>
      <c r="E13" s="97" t="n">
        <v>1048.3</v>
      </c>
      <c r="F13" s="97" t="n">
        <v>3.51</v>
      </c>
      <c r="G13" s="97" t="n">
        <v>7610916</v>
      </c>
      <c r="H13" s="97" t="n">
        <v>0.6899999999999999</v>
      </c>
      <c r="I13" s="97" t="n">
        <v>651820</v>
      </c>
      <c r="J13" s="97" t="inlineStr">
        <is>
          <t>Y</t>
        </is>
      </c>
      <c r="K13" s="97" t="inlineStr">
        <is>
          <t>Y</t>
        </is>
      </c>
      <c r="L13" s="97" t="inlineStr">
        <is>
          <t>Y</t>
        </is>
      </c>
      <c r="M13" s="97" t="n">
        <v>51.3</v>
      </c>
      <c r="N13" s="97" t="inlineStr">
        <is>
          <t>Y</t>
        </is>
      </c>
      <c r="O13" s="97" t="n">
        <v>25.74</v>
      </c>
      <c r="P13" s="97" t="inlineStr">
        <is>
          <t>N</t>
        </is>
      </c>
      <c r="Q13" s="97" t="inlineStr">
        <is>
          <t>N/A</t>
        </is>
      </c>
      <c r="R13" s="97" t="inlineStr">
        <is>
          <t>N</t>
        </is>
      </c>
      <c r="S13" s="97" t="n">
        <v>7.8</v>
      </c>
      <c r="T13" s="97" t="n">
        <v>13</v>
      </c>
      <c r="U13" s="97" t="inlineStr">
        <is>
          <t>Y</t>
        </is>
      </c>
      <c r="V13" s="97" t="n">
        <v>33.2</v>
      </c>
      <c r="W13" s="97" t="n">
        <v>17.9</v>
      </c>
      <c r="X13" s="97" t="n">
        <v>314.83</v>
      </c>
      <c r="Y13" s="97" t="n">
        <v>37.4</v>
      </c>
      <c r="Z13" s="97" t="n">
        <v>7</v>
      </c>
      <c r="AA13" s="92" t="inlineStr">
        <is>
          <t>STRONG SETUP</t>
        </is>
      </c>
    </row>
    <row r="14">
      <c r="A14" s="99" t="inlineStr">
        <is>
          <t>BLUEJET</t>
        </is>
      </c>
      <c r="B14" s="99" t="inlineStr">
        <is>
          <t>Blue Jet Healthcare Ltd.</t>
        </is>
      </c>
      <c r="C14" s="99" t="inlineStr">
        <is>
          <t>Healthcare</t>
        </is>
      </c>
      <c r="D14" s="99" t="inlineStr">
        <is>
          <t>NSE Smallcap</t>
        </is>
      </c>
      <c r="E14" s="99" t="n">
        <v>566.9</v>
      </c>
      <c r="F14" s="99" t="n">
        <v>-1.67</v>
      </c>
      <c r="G14" s="99" t="n">
        <v>1101312</v>
      </c>
      <c r="H14" s="99" t="n">
        <v>2.45</v>
      </c>
      <c r="I14" s="99" t="n">
        <v>9992</v>
      </c>
      <c r="J14" s="99" t="inlineStr">
        <is>
          <t>Y</t>
        </is>
      </c>
      <c r="K14" s="99" t="inlineStr">
        <is>
          <t>Y</t>
        </is>
      </c>
      <c r="L14" s="99" t="inlineStr">
        <is>
          <t>Y</t>
        </is>
      </c>
      <c r="M14" s="99" t="n">
        <v>51.5</v>
      </c>
      <c r="N14" s="99" t="inlineStr">
        <is>
          <t>Y</t>
        </is>
      </c>
      <c r="O14" s="99" t="n">
        <v>24.26</v>
      </c>
      <c r="P14" s="99" t="inlineStr">
        <is>
          <t>N</t>
        </is>
      </c>
      <c r="Q14" s="99" t="inlineStr">
        <is>
          <t>N/A</t>
        </is>
      </c>
      <c r="R14" s="99" t="inlineStr">
        <is>
          <t>N</t>
        </is>
      </c>
      <c r="S14" s="99" t="n">
        <v>7.7</v>
      </c>
      <c r="T14" s="99" t="n">
        <v>27.6</v>
      </c>
      <c r="U14" s="99" t="inlineStr">
        <is>
          <t>Y</t>
        </is>
      </c>
      <c r="V14" s="99" t="n">
        <v>40.3</v>
      </c>
      <c r="W14" s="99" t="n">
        <v>19.9</v>
      </c>
      <c r="X14" s="99" t="n">
        <v>3.1</v>
      </c>
      <c r="Y14" s="99" t="n">
        <v>60.2</v>
      </c>
      <c r="Z14" s="99" t="n">
        <v>7</v>
      </c>
      <c r="AA14" s="94" t="inlineStr">
        <is>
          <t>STRONG SETUP</t>
        </is>
      </c>
    </row>
    <row r="15">
      <c r="A15" s="97" t="inlineStr">
        <is>
          <t>CGCL</t>
        </is>
      </c>
      <c r="B15" s="97" t="inlineStr">
        <is>
          <t>Capri Global Capital Ltd.</t>
        </is>
      </c>
      <c r="C15" s="97" t="inlineStr">
        <is>
          <t>Financial Services</t>
        </is>
      </c>
      <c r="D15" s="97" t="inlineStr">
        <is>
          <t>BSE Smallcap</t>
        </is>
      </c>
      <c r="E15" s="97" t="n">
        <v>244.27</v>
      </c>
      <c r="F15" s="97" t="n">
        <v>2.54</v>
      </c>
      <c r="G15" s="97" t="n">
        <v>2052332</v>
      </c>
      <c r="H15" s="97" t="n">
        <v>0.9399999999999999</v>
      </c>
      <c r="I15" s="97" t="n">
        <v>23503</v>
      </c>
      <c r="J15" s="97" t="inlineStr">
        <is>
          <t>Y</t>
        </is>
      </c>
      <c r="K15" s="97" t="inlineStr">
        <is>
          <t>Y</t>
        </is>
      </c>
      <c r="L15" s="97" t="inlineStr">
        <is>
          <t>Y</t>
        </is>
      </c>
      <c r="M15" s="97" t="n">
        <v>56.8</v>
      </c>
      <c r="N15" s="97" t="inlineStr">
        <is>
          <t>Y</t>
        </is>
      </c>
      <c r="O15" s="97" t="n">
        <v>9.039999999999999</v>
      </c>
      <c r="P15" s="97" t="inlineStr">
        <is>
          <t>N</t>
        </is>
      </c>
      <c r="Q15" s="97" t="inlineStr">
        <is>
          <t>N/A</t>
        </is>
      </c>
      <c r="R15" s="97" t="inlineStr">
        <is>
          <t>N</t>
        </is>
      </c>
      <c r="S15" s="97" t="n">
        <v>12.6</v>
      </c>
      <c r="T15" s="97" t="n">
        <v>31.6</v>
      </c>
      <c r="U15" s="97" t="inlineStr">
        <is>
          <t>Y</t>
        </is>
      </c>
      <c r="V15" s="97" t="n">
        <v>23.5</v>
      </c>
      <c r="W15" s="97" t="n">
        <v>16.5</v>
      </c>
      <c r="X15" s="97" t="n">
        <v>334.73</v>
      </c>
      <c r="Y15" s="97" t="n">
        <v>10.7</v>
      </c>
      <c r="Z15" s="97" t="n">
        <v>7</v>
      </c>
      <c r="AA15" s="92" t="inlineStr">
        <is>
          <t>STRONG SETUP</t>
        </is>
      </c>
    </row>
    <row r="16">
      <c r="A16" s="99" t="inlineStr">
        <is>
          <t>COFORGE</t>
        </is>
      </c>
      <c r="B16" s="99" t="inlineStr">
        <is>
          <t>Coforge Ltd.</t>
        </is>
      </c>
      <c r="C16" s="99" t="inlineStr">
        <is>
          <t>Information Technology</t>
        </is>
      </c>
      <c r="D16" s="99" t="inlineStr">
        <is>
          <t>Large/Midcap</t>
        </is>
      </c>
      <c r="E16" s="99" t="n">
        <v>1528.4</v>
      </c>
      <c r="F16" s="99" t="n">
        <v>2.94</v>
      </c>
      <c r="G16" s="99" t="n">
        <v>3779933</v>
      </c>
      <c r="H16" s="99" t="n">
        <v>2.05</v>
      </c>
      <c r="I16" s="99" t="n">
        <v>67661</v>
      </c>
      <c r="J16" s="99" t="inlineStr">
        <is>
          <t>Y</t>
        </is>
      </c>
      <c r="K16" s="99" t="inlineStr">
        <is>
          <t>Y</t>
        </is>
      </c>
      <c r="L16" s="99" t="inlineStr">
        <is>
          <t>Y</t>
        </is>
      </c>
      <c r="M16" s="99" t="n">
        <v>51.7</v>
      </c>
      <c r="N16" s="99" t="inlineStr">
        <is>
          <t>Y</t>
        </is>
      </c>
      <c r="O16" s="99" t="n">
        <v>51.17</v>
      </c>
      <c r="P16" s="99" t="inlineStr">
        <is>
          <t>N</t>
        </is>
      </c>
      <c r="Q16" s="99" t="inlineStr">
        <is>
          <t>N/A</t>
        </is>
      </c>
      <c r="R16" s="99" t="inlineStr">
        <is>
          <t>N</t>
        </is>
      </c>
      <c r="S16" s="99" t="n">
        <v>2.6</v>
      </c>
      <c r="T16" s="99" t="n">
        <v>28.2</v>
      </c>
      <c r="U16" s="99" t="inlineStr">
        <is>
          <t>Y</t>
        </is>
      </c>
      <c r="V16" s="99" t="n">
        <v>33.9</v>
      </c>
      <c r="W16" s="99" t="n">
        <v>18.6</v>
      </c>
      <c r="X16" s="99" t="n">
        <v>7.52</v>
      </c>
      <c r="Y16" s="99" t="n">
        <v>144.7</v>
      </c>
      <c r="Z16" s="99" t="n">
        <v>7</v>
      </c>
      <c r="AA16" s="94" t="inlineStr">
        <is>
          <t>STRONG SETUP</t>
        </is>
      </c>
    </row>
    <row r="17">
      <c r="A17" s="97" t="inlineStr">
        <is>
          <t>CAMS</t>
        </is>
      </c>
      <c r="B17" s="97" t="inlineStr">
        <is>
          <t>Computer Age Management Services Ltd.</t>
        </is>
      </c>
      <c r="C17" s="97" t="inlineStr">
        <is>
          <t>Financial Services</t>
        </is>
      </c>
      <c r="D17" s="97" t="inlineStr">
        <is>
          <t>BSE Smallcap</t>
        </is>
      </c>
      <c r="E17" s="97" t="n">
        <v>785.05</v>
      </c>
      <c r="F17" s="97" t="n">
        <v>3.1</v>
      </c>
      <c r="G17" s="97" t="n">
        <v>1440127</v>
      </c>
      <c r="H17" s="97" t="n">
        <v>1.59</v>
      </c>
      <c r="I17" s="97" t="n">
        <v>19485</v>
      </c>
      <c r="J17" s="97" t="inlineStr">
        <is>
          <t>Y</t>
        </is>
      </c>
      <c r="K17" s="97" t="inlineStr">
        <is>
          <t>Y</t>
        </is>
      </c>
      <c r="L17" s="97" t="inlineStr">
        <is>
          <t>Y</t>
        </is>
      </c>
      <c r="M17" s="97" t="n">
        <v>53.4</v>
      </c>
      <c r="N17" s="97" t="inlineStr">
        <is>
          <t>Y</t>
        </is>
      </c>
      <c r="O17" s="97" t="n">
        <v>21.75</v>
      </c>
      <c r="P17" s="97" t="inlineStr">
        <is>
          <t>N</t>
        </is>
      </c>
      <c r="Q17" s="97" t="inlineStr">
        <is>
          <t>N/A</t>
        </is>
      </c>
      <c r="R17" s="97" t="inlineStr">
        <is>
          <t>N</t>
        </is>
      </c>
      <c r="S17" s="97" t="n">
        <v>-0.9</v>
      </c>
      <c r="T17" s="97" t="n">
        <v>7.2</v>
      </c>
      <c r="U17" s="97" t="inlineStr">
        <is>
          <t>Y</t>
        </is>
      </c>
      <c r="V17" s="97" t="n">
        <v>39.9</v>
      </c>
      <c r="W17" s="97" t="n">
        <v>38.7</v>
      </c>
      <c r="X17" s="97" t="n">
        <v>4.86</v>
      </c>
      <c r="Y17" s="97" t="n">
        <v>0.7</v>
      </c>
      <c r="Z17" s="97" t="n">
        <v>7</v>
      </c>
      <c r="AA17" s="92" t="inlineStr">
        <is>
          <t>STRONG SETUP</t>
        </is>
      </c>
    </row>
    <row r="18">
      <c r="A18" s="99" t="inlineStr">
        <is>
          <t>CUMMINSIND</t>
        </is>
      </c>
      <c r="B18" s="99" t="inlineStr">
        <is>
          <t>Cummins India Ltd.</t>
        </is>
      </c>
      <c r="C18" s="99" t="inlineStr">
        <is>
          <t>Capital Goods</t>
        </is>
      </c>
      <c r="D18" s="99" t="inlineStr">
        <is>
          <t>Large/Midcap</t>
        </is>
      </c>
      <c r="E18" s="99" t="n">
        <v>5600.5</v>
      </c>
      <c r="F18" s="99" t="n">
        <v>0.03</v>
      </c>
      <c r="G18" s="99" t="n">
        <v>290705</v>
      </c>
      <c r="H18" s="99" t="n">
        <v>1.14</v>
      </c>
      <c r="I18" s="99" t="n">
        <v>156050</v>
      </c>
      <c r="J18" s="99" t="inlineStr">
        <is>
          <t>Y</t>
        </is>
      </c>
      <c r="K18" s="99" t="inlineStr">
        <is>
          <t>Y</t>
        </is>
      </c>
      <c r="L18" s="99" t="inlineStr">
        <is>
          <t>Y</t>
        </is>
      </c>
      <c r="M18" s="99" t="n">
        <v>54.6</v>
      </c>
      <c r="N18" s="99" t="inlineStr">
        <is>
          <t>Y</t>
        </is>
      </c>
      <c r="O18" s="99" t="n">
        <v>126.02</v>
      </c>
      <c r="P18" s="99" t="inlineStr">
        <is>
          <t>N</t>
        </is>
      </c>
      <c r="Q18" s="99" t="inlineStr">
        <is>
          <t>N/A</t>
        </is>
      </c>
      <c r="R18" s="99" t="inlineStr">
        <is>
          <t>N</t>
        </is>
      </c>
      <c r="S18" s="99" t="n">
        <v>0.3</v>
      </c>
      <c r="T18" s="99" t="n">
        <v>7.2</v>
      </c>
      <c r="U18" s="99" t="inlineStr">
        <is>
          <t>Y</t>
        </is>
      </c>
      <c r="V18" s="99" t="n">
        <v>66.09999999999999</v>
      </c>
      <c r="W18" s="99" t="n">
        <v>29.5</v>
      </c>
      <c r="X18" s="99" t="n">
        <v>0.43</v>
      </c>
      <c r="Y18" s="99" t="n">
        <v>33.6</v>
      </c>
      <c r="Z18" s="99" t="n">
        <v>7</v>
      </c>
      <c r="AA18" s="94" t="inlineStr">
        <is>
          <t>STRONG SETUP</t>
        </is>
      </c>
    </row>
    <row r="19">
      <c r="A19" s="97" t="inlineStr">
        <is>
          <t>CONCOR</t>
        </is>
      </c>
      <c r="B19" s="97" t="inlineStr">
        <is>
          <t>Container Corporation of India Ltd.</t>
        </is>
      </c>
      <c r="C19" s="97" t="inlineStr">
        <is>
          <t>Services</t>
        </is>
      </c>
      <c r="D19" s="97" t="inlineStr">
        <is>
          <t>Large/Midcap</t>
        </is>
      </c>
      <c r="E19" s="97" t="n">
        <v>510.5</v>
      </c>
      <c r="F19" s="97" t="n">
        <v>6.9</v>
      </c>
      <c r="G19" s="97" t="n">
        <v>13227175</v>
      </c>
      <c r="H19" s="97" t="n">
        <v>17.07</v>
      </c>
      <c r="I19" s="97" t="n">
        <v>38881</v>
      </c>
      <c r="J19" s="97" t="inlineStr">
        <is>
          <t>Y</t>
        </is>
      </c>
      <c r="K19" s="97" t="inlineStr">
        <is>
          <t>Y</t>
        </is>
      </c>
      <c r="L19" s="97" t="inlineStr">
        <is>
          <t>Y</t>
        </is>
      </c>
      <c r="M19" s="97" t="n">
        <v>63.9</v>
      </c>
      <c r="N19" s="97" t="inlineStr">
        <is>
          <t>Y</t>
        </is>
      </c>
      <c r="O19" s="97" t="n">
        <v>15.79</v>
      </c>
      <c r="P19" s="97" t="inlineStr">
        <is>
          <t>Y</t>
        </is>
      </c>
      <c r="Q19" s="97" t="inlineStr">
        <is>
          <t>N/A</t>
        </is>
      </c>
      <c r="R19" s="97" t="inlineStr">
        <is>
          <t>N</t>
        </is>
      </c>
      <c r="S19" s="97" t="n">
        <v>8.9</v>
      </c>
      <c r="T19" s="97" t="n">
        <v>0.7</v>
      </c>
      <c r="U19" s="97" t="inlineStr">
        <is>
          <t>Y</t>
        </is>
      </c>
      <c r="V19" s="97" t="n">
        <v>29.2</v>
      </c>
      <c r="W19" s="97" t="inlineStr">
        <is>
          <t>N/A</t>
        </is>
      </c>
      <c r="X19" s="97" t="n">
        <v>7.39</v>
      </c>
      <c r="Y19" s="97" t="n">
        <v>1.6</v>
      </c>
      <c r="Z19" s="97" t="n">
        <v>7</v>
      </c>
      <c r="AA19" s="92" t="inlineStr">
        <is>
          <t>STRONG SETUP</t>
        </is>
      </c>
    </row>
    <row r="20">
      <c r="A20" s="99" t="inlineStr">
        <is>
          <t>DATAPATTNS</t>
        </is>
      </c>
      <c r="B20" s="99" t="inlineStr">
        <is>
          <t>Data Patterns (India) Ltd.</t>
        </is>
      </c>
      <c r="C20" s="99" t="inlineStr">
        <is>
          <t>Capital Goods</t>
        </is>
      </c>
      <c r="D20" s="99" t="inlineStr">
        <is>
          <t>BSE Smallcap</t>
        </is>
      </c>
      <c r="E20" s="99" t="n">
        <v>4578.9</v>
      </c>
      <c r="F20" s="99" t="n">
        <v>-0.12</v>
      </c>
      <c r="G20" s="99" t="n">
        <v>657193</v>
      </c>
      <c r="H20" s="99" t="n">
        <v>0.2</v>
      </c>
      <c r="I20" s="99" t="n">
        <v>25634</v>
      </c>
      <c r="J20" s="99" t="inlineStr">
        <is>
          <t>Y</t>
        </is>
      </c>
      <c r="K20" s="99" t="inlineStr">
        <is>
          <t>Y</t>
        </is>
      </c>
      <c r="L20" s="99" t="inlineStr">
        <is>
          <t>Y</t>
        </is>
      </c>
      <c r="M20" s="99" t="n">
        <v>56.4</v>
      </c>
      <c r="N20" s="99" t="inlineStr">
        <is>
          <t>Y</t>
        </is>
      </c>
      <c r="O20" s="99" t="n">
        <v>202.01</v>
      </c>
      <c r="P20" s="99" t="inlineStr">
        <is>
          <t>N</t>
        </is>
      </c>
      <c r="Q20" s="99" t="inlineStr">
        <is>
          <t>N/A</t>
        </is>
      </c>
      <c r="R20" s="99" t="inlineStr">
        <is>
          <t>N</t>
        </is>
      </c>
      <c r="S20" s="99" t="n">
        <v>2.1</v>
      </c>
      <c r="T20" s="99" t="n">
        <v>12.8</v>
      </c>
      <c r="U20" s="99" t="inlineStr">
        <is>
          <t>Y</t>
        </is>
      </c>
      <c r="V20" s="99" t="n">
        <v>94.3</v>
      </c>
      <c r="W20" s="99" t="n">
        <v>16.7</v>
      </c>
      <c r="X20" s="99" t="n">
        <v>0.3</v>
      </c>
      <c r="Y20" s="99" t="n">
        <v>137.4</v>
      </c>
      <c r="Z20" s="99" t="n">
        <v>7</v>
      </c>
      <c r="AA20" s="94" t="inlineStr">
        <is>
          <t>STRONG SETUP</t>
        </is>
      </c>
    </row>
    <row r="21">
      <c r="A21" s="97" t="inlineStr">
        <is>
          <t>LALPATHLAB</t>
        </is>
      </c>
      <c r="B21" s="97" t="inlineStr">
        <is>
          <t>Dr. Lal Path Labs Ltd.</t>
        </is>
      </c>
      <c r="C21" s="97" t="inlineStr">
        <is>
          <t>Healthcare</t>
        </is>
      </c>
      <c r="D21" s="97" t="inlineStr">
        <is>
          <t>BSE Smallcap</t>
        </is>
      </c>
      <c r="E21" s="97" t="n">
        <v>1759.2</v>
      </c>
      <c r="F21" s="97" t="n">
        <v>4.27</v>
      </c>
      <c r="G21" s="97" t="n">
        <v>1445810</v>
      </c>
      <c r="H21" s="97" t="n">
        <v>9.19</v>
      </c>
      <c r="I21" s="97" t="n">
        <v>30510</v>
      </c>
      <c r="J21" s="97" t="inlineStr">
        <is>
          <t>Y</t>
        </is>
      </c>
      <c r="K21" s="97" t="inlineStr">
        <is>
          <t>Y</t>
        </is>
      </c>
      <c r="L21" s="97" t="inlineStr">
        <is>
          <t>Y</t>
        </is>
      </c>
      <c r="M21" s="97" t="n">
        <v>62.3</v>
      </c>
      <c r="N21" s="97" t="inlineStr">
        <is>
          <t>Y</t>
        </is>
      </c>
      <c r="O21" s="97" t="n">
        <v>54.57</v>
      </c>
      <c r="P21" s="97" t="inlineStr">
        <is>
          <t>Y</t>
        </is>
      </c>
      <c r="Q21" s="97" t="inlineStr">
        <is>
          <t>N/A</t>
        </is>
      </c>
      <c r="R21" s="97" t="inlineStr">
        <is>
          <t>N</t>
        </is>
      </c>
      <c r="S21" s="97" t="n">
        <v>4.4</v>
      </c>
      <c r="T21" s="97" t="n">
        <v>26.6</v>
      </c>
      <c r="U21" s="97" t="inlineStr">
        <is>
          <t>Y</t>
        </is>
      </c>
      <c r="V21" s="97" t="n">
        <v>56.4</v>
      </c>
      <c r="W21" s="97" t="inlineStr">
        <is>
          <t>N/A</t>
        </is>
      </c>
      <c r="X21" s="97" t="n">
        <v>7.83</v>
      </c>
      <c r="Y21" s="97" t="n">
        <v>29.1</v>
      </c>
      <c r="Z21" s="97" t="n">
        <v>7</v>
      </c>
      <c r="AA21" s="92" t="inlineStr">
        <is>
          <t>STRONG SETUP</t>
        </is>
      </c>
    </row>
    <row r="22">
      <c r="A22" s="99" t="inlineStr">
        <is>
          <t>EICHERMOT</t>
        </is>
      </c>
      <c r="B22" s="99" t="inlineStr">
        <is>
          <t>Eicher Motors Ltd.</t>
        </is>
      </c>
      <c r="C22" s="99" t="inlineStr">
        <is>
          <t>Automobile and Auto Components</t>
        </is>
      </c>
      <c r="D22" s="99" t="inlineStr">
        <is>
          <t>Large/Midcap</t>
        </is>
      </c>
      <c r="E22" s="99" t="n">
        <v>7769.5</v>
      </c>
      <c r="F22" s="99" t="n">
        <v>1.86</v>
      </c>
      <c r="G22" s="99" t="n">
        <v>367549</v>
      </c>
      <c r="H22" s="99" t="n">
        <v>0.88</v>
      </c>
      <c r="I22" s="99" t="n">
        <v>213271</v>
      </c>
      <c r="J22" s="99" t="inlineStr">
        <is>
          <t>Y</t>
        </is>
      </c>
      <c r="K22" s="99" t="inlineStr">
        <is>
          <t>Y</t>
        </is>
      </c>
      <c r="L22" s="99" t="inlineStr">
        <is>
          <t>Y</t>
        </is>
      </c>
      <c r="M22" s="99" t="n">
        <v>61</v>
      </c>
      <c r="N22" s="99" t="inlineStr">
        <is>
          <t>Y</t>
        </is>
      </c>
      <c r="O22" s="99" t="n">
        <v>151.14</v>
      </c>
      <c r="P22" s="99" t="inlineStr">
        <is>
          <t>N</t>
        </is>
      </c>
      <c r="Q22" s="99" t="inlineStr">
        <is>
          <t>N/A</t>
        </is>
      </c>
      <c r="R22" s="99" t="inlineStr">
        <is>
          <t>N</t>
        </is>
      </c>
      <c r="S22" s="99" t="n">
        <v>2.5</v>
      </c>
      <c r="T22" s="99" t="n">
        <v>9.699999999999999</v>
      </c>
      <c r="U22" s="99" t="inlineStr">
        <is>
          <t>Y</t>
        </is>
      </c>
      <c r="V22" s="99" t="n">
        <v>38</v>
      </c>
      <c r="W22" s="99" t="n">
        <v>23.8</v>
      </c>
      <c r="X22" s="99" t="n">
        <v>2.05</v>
      </c>
      <c r="Y22" s="99" t="n">
        <v>7</v>
      </c>
      <c r="Z22" s="99" t="n">
        <v>7</v>
      </c>
      <c r="AA22" s="94" t="inlineStr">
        <is>
          <t>STRONG SETUP</t>
        </is>
      </c>
    </row>
    <row r="23">
      <c r="A23" s="97" t="inlineStr">
        <is>
          <t>ICICIBANK</t>
        </is>
      </c>
      <c r="B23" s="97" t="inlineStr">
        <is>
          <t>ICICI Bank Ltd.</t>
        </is>
      </c>
      <c r="C23" s="97" t="inlineStr">
        <is>
          <t>Financial Services</t>
        </is>
      </c>
      <c r="D23" s="97" t="inlineStr">
        <is>
          <t>Large/Midcap</t>
        </is>
      </c>
      <c r="E23" s="97" t="n">
        <v>1445.7</v>
      </c>
      <c r="F23" s="97" t="n">
        <v>0.89</v>
      </c>
      <c r="G23" s="97" t="n">
        <v>10608300</v>
      </c>
      <c r="H23" s="97" t="n">
        <v>1.01</v>
      </c>
      <c r="I23" s="97" t="n">
        <v>1037041</v>
      </c>
      <c r="J23" s="97" t="inlineStr">
        <is>
          <t>Y</t>
        </is>
      </c>
      <c r="K23" s="97" t="inlineStr">
        <is>
          <t>Y</t>
        </is>
      </c>
      <c r="L23" s="97" t="inlineStr">
        <is>
          <t>Y</t>
        </is>
      </c>
      <c r="M23" s="97" t="n">
        <v>59.5</v>
      </c>
      <c r="N23" s="97" t="inlineStr">
        <is>
          <t>Y</t>
        </is>
      </c>
      <c r="O23" s="97" t="n">
        <v>26.24</v>
      </c>
      <c r="P23" s="97" t="inlineStr">
        <is>
          <t>N</t>
        </is>
      </c>
      <c r="Q23" s="97" t="inlineStr">
        <is>
          <t>N/A</t>
        </is>
      </c>
      <c r="R23" s="97" t="inlineStr">
        <is>
          <t>N</t>
        </is>
      </c>
      <c r="S23" s="97" t="n">
        <v>4.4</v>
      </c>
      <c r="T23" s="97" t="n">
        <v>14.8</v>
      </c>
      <c r="U23" s="97" t="inlineStr">
        <is>
          <t>Y</t>
        </is>
      </c>
      <c r="V23" s="97" t="n">
        <v>18.5</v>
      </c>
      <c r="W23" s="97" t="n">
        <v>16.1</v>
      </c>
      <c r="X23" s="97" t="inlineStr">
        <is>
          <t>N/A</t>
        </is>
      </c>
      <c r="Y23" s="97" t="n">
        <v>4.6</v>
      </c>
      <c r="Z23" s="97" t="n">
        <v>7</v>
      </c>
      <c r="AA23" s="92" t="inlineStr">
        <is>
          <t>STRONG SETUP</t>
        </is>
      </c>
    </row>
    <row r="24">
      <c r="A24" s="99" t="inlineStr">
        <is>
          <t>J&amp;KBANK</t>
        </is>
      </c>
      <c r="B24" s="99" t="inlineStr">
        <is>
          <t>Jammu &amp; Kashmir Bank Ltd.</t>
        </is>
      </c>
      <c r="C24" s="99" t="inlineStr">
        <is>
          <t>Financial Services</t>
        </is>
      </c>
      <c r="D24" s="99" t="inlineStr">
        <is>
          <t>BSE Smallcap</t>
        </is>
      </c>
      <c r="E24" s="99" t="n">
        <v>172.57</v>
      </c>
      <c r="F24" s="99" t="n">
        <v>-0.48</v>
      </c>
      <c r="G24" s="99" t="n">
        <v>2341658</v>
      </c>
      <c r="H24" s="99" t="n">
        <v>0.38</v>
      </c>
      <c r="I24" s="99" t="n">
        <v>19547</v>
      </c>
      <c r="J24" s="99" t="inlineStr">
        <is>
          <t>Y</t>
        </is>
      </c>
      <c r="K24" s="99" t="inlineStr">
        <is>
          <t>Y</t>
        </is>
      </c>
      <c r="L24" s="99" t="inlineStr">
        <is>
          <t>Y</t>
        </is>
      </c>
      <c r="M24" s="99" t="n">
        <v>55.6</v>
      </c>
      <c r="N24" s="99" t="inlineStr">
        <is>
          <t>Y</t>
        </is>
      </c>
      <c r="O24" s="99" t="n">
        <v>9.44</v>
      </c>
      <c r="P24" s="99" t="inlineStr">
        <is>
          <t>N</t>
        </is>
      </c>
      <c r="Q24" s="99" t="inlineStr">
        <is>
          <t>N/A</t>
        </is>
      </c>
      <c r="R24" s="99" t="inlineStr">
        <is>
          <t>N</t>
        </is>
      </c>
      <c r="S24" s="99" t="n">
        <v>9.199999999999999</v>
      </c>
      <c r="T24" s="99" t="n">
        <v>28.6</v>
      </c>
      <c r="U24" s="99" t="inlineStr">
        <is>
          <t>Y</t>
        </is>
      </c>
      <c r="V24" s="99" t="n">
        <v>8.300000000000001</v>
      </c>
      <c r="W24" s="99" t="n">
        <v>15.4</v>
      </c>
      <c r="X24" s="99" t="inlineStr">
        <is>
          <t>N/A</t>
        </is>
      </c>
      <c r="Y24" s="99" t="n">
        <v>37.3</v>
      </c>
      <c r="Z24" s="99" t="n">
        <v>7</v>
      </c>
      <c r="AA24" s="94" t="inlineStr">
        <is>
          <t>STRONG SETUP</t>
        </is>
      </c>
    </row>
    <row r="25">
      <c r="A25" s="97" t="inlineStr">
        <is>
          <t>PPLPHARMA</t>
        </is>
      </c>
      <c r="B25" s="97" t="inlineStr">
        <is>
          <t>Piramal Pharma Ltd.</t>
        </is>
      </c>
      <c r="C25" s="97" t="inlineStr">
        <is>
          <t>Healthcare</t>
        </is>
      </c>
      <c r="D25" s="97" t="inlineStr">
        <is>
          <t>BSE Smallcap</t>
        </is>
      </c>
      <c r="E25" s="97" t="n">
        <v>192.05</v>
      </c>
      <c r="F25" s="97" t="n">
        <v>5.95</v>
      </c>
      <c r="G25" s="97" t="n">
        <v>15154930</v>
      </c>
      <c r="H25" s="97" t="n">
        <v>2.1</v>
      </c>
      <c r="I25" s="97" t="n">
        <v>25482</v>
      </c>
      <c r="J25" s="97" t="inlineStr">
        <is>
          <t>Y</t>
        </is>
      </c>
      <c r="K25" s="97" t="inlineStr">
        <is>
          <t>Y</t>
        </is>
      </c>
      <c r="L25" s="97" t="inlineStr">
        <is>
          <t>Y</t>
        </is>
      </c>
      <c r="M25" s="97" t="n">
        <v>64.40000000000001</v>
      </c>
      <c r="N25" s="97" t="inlineStr">
        <is>
          <t>Y</t>
        </is>
      </c>
      <c r="O25" s="97" t="n">
        <v>7.8</v>
      </c>
      <c r="P25" s="97" t="inlineStr">
        <is>
          <t>Y</t>
        </is>
      </c>
      <c r="Q25" s="97" t="inlineStr">
        <is>
          <t>N/A</t>
        </is>
      </c>
      <c r="R25" s="97" t="inlineStr">
        <is>
          <t>N</t>
        </is>
      </c>
      <c r="S25" s="97" t="n">
        <v>14.8</v>
      </c>
      <c r="T25" s="97" t="n">
        <v>19</v>
      </c>
      <c r="U25" s="97" t="inlineStr">
        <is>
          <t>Y</t>
        </is>
      </c>
      <c r="V25" s="97" t="inlineStr">
        <is>
          <t>N/A</t>
        </is>
      </c>
      <c r="W25" s="97" t="n">
        <v>-4</v>
      </c>
      <c r="X25" s="97" t="n">
        <v>69.98</v>
      </c>
      <c r="Y25" s="97" t="n">
        <v>93.5</v>
      </c>
      <c r="Z25" s="97" t="n">
        <v>7</v>
      </c>
      <c r="AA25" s="92" t="inlineStr">
        <is>
          <t>STRONG SETUP</t>
        </is>
      </c>
    </row>
    <row r="26">
      <c r="A26" s="99" t="inlineStr">
        <is>
          <t>RECLTD</t>
        </is>
      </c>
      <c r="B26" s="99" t="inlineStr">
        <is>
          <t>REC Ltd.</t>
        </is>
      </c>
      <c r="C26" s="99" t="inlineStr">
        <is>
          <t>Financial Services</t>
        </is>
      </c>
      <c r="D26" s="99" t="inlineStr">
        <is>
          <t>Large/Midcap</t>
        </is>
      </c>
      <c r="E26" s="99" t="n">
        <v>368.15</v>
      </c>
      <c r="F26" s="99" t="n">
        <v>1.81</v>
      </c>
      <c r="G26" s="99" t="n">
        <v>9400642</v>
      </c>
      <c r="H26" s="99" t="n">
        <v>2.86</v>
      </c>
      <c r="I26" s="99" t="n">
        <v>96942</v>
      </c>
      <c r="J26" s="99" t="inlineStr">
        <is>
          <t>Y</t>
        </is>
      </c>
      <c r="K26" s="99" t="inlineStr">
        <is>
          <t>Y</t>
        </is>
      </c>
      <c r="L26" s="99" t="inlineStr">
        <is>
          <t>Y</t>
        </is>
      </c>
      <c r="M26" s="99" t="n">
        <v>63.3</v>
      </c>
      <c r="N26" s="99" t="inlineStr">
        <is>
          <t>Y</t>
        </is>
      </c>
      <c r="O26" s="99" t="n">
        <v>8</v>
      </c>
      <c r="P26" s="99" t="inlineStr">
        <is>
          <t>Y</t>
        </is>
      </c>
      <c r="Q26" s="99" t="inlineStr">
        <is>
          <t>N/A</t>
        </is>
      </c>
      <c r="R26" s="99" t="inlineStr">
        <is>
          <t>N</t>
        </is>
      </c>
      <c r="S26" s="99" t="n">
        <v>1.2</v>
      </c>
      <c r="T26" s="99" t="n">
        <v>4.3</v>
      </c>
      <c r="U26" s="99" t="inlineStr">
        <is>
          <t>Y</t>
        </is>
      </c>
      <c r="V26" s="99" t="n">
        <v>5.9</v>
      </c>
      <c r="W26" s="99" t="inlineStr">
        <is>
          <t>N/A</t>
        </is>
      </c>
      <c r="X26" s="99" t="n">
        <v>607.46</v>
      </c>
      <c r="Y26" s="99" t="n">
        <v>24.2</v>
      </c>
      <c r="Z26" s="99" t="n">
        <v>7</v>
      </c>
      <c r="AA26" s="94" t="inlineStr">
        <is>
          <t>STRONG SETUP</t>
        </is>
      </c>
    </row>
    <row r="27">
      <c r="A27" s="97" t="inlineStr">
        <is>
          <t>RAINBOW</t>
        </is>
      </c>
      <c r="B27" s="97" t="inlineStr">
        <is>
          <t>Rainbow Childrens Medicare Ltd.</t>
        </is>
      </c>
      <c r="C27" s="97" t="inlineStr">
        <is>
          <t>Healthcare</t>
        </is>
      </c>
      <c r="D27" s="97" t="inlineStr">
        <is>
          <t>BSE Smallcap</t>
        </is>
      </c>
      <c r="E27" s="97" t="n">
        <v>1457.8</v>
      </c>
      <c r="F27" s="97" t="n">
        <v>-0.57</v>
      </c>
      <c r="G27" s="97" t="n">
        <v>56582</v>
      </c>
      <c r="H27" s="97" t="n">
        <v>0.87</v>
      </c>
      <c r="I27" s="97" t="n">
        <v>15050</v>
      </c>
      <c r="J27" s="97" t="inlineStr">
        <is>
          <t>Y</t>
        </is>
      </c>
      <c r="K27" s="97" t="inlineStr">
        <is>
          <t>Y</t>
        </is>
      </c>
      <c r="L27" s="97" t="inlineStr">
        <is>
          <t>Y</t>
        </is>
      </c>
      <c r="M27" s="97" t="n">
        <v>55.5</v>
      </c>
      <c r="N27" s="97" t="inlineStr">
        <is>
          <t>Y</t>
        </is>
      </c>
      <c r="O27" s="97" t="n">
        <v>40.53</v>
      </c>
      <c r="P27" s="97" t="inlineStr">
        <is>
          <t>N</t>
        </is>
      </c>
      <c r="Q27" s="97" t="inlineStr">
        <is>
          <t>N/A</t>
        </is>
      </c>
      <c r="R27" s="97" t="inlineStr">
        <is>
          <t>N</t>
        </is>
      </c>
      <c r="S27" s="97" t="n">
        <v>2.1</v>
      </c>
      <c r="T27" s="97" t="n">
        <v>16</v>
      </c>
      <c r="U27" s="97" t="inlineStr">
        <is>
          <t>Y</t>
        </is>
      </c>
      <c r="V27" s="97" t="n">
        <v>54.1</v>
      </c>
      <c r="W27" s="97" t="n">
        <v>17.9</v>
      </c>
      <c r="X27" s="97" t="n">
        <v>53.56</v>
      </c>
      <c r="Y27" s="97" t="n">
        <v>6.2</v>
      </c>
      <c r="Z27" s="97" t="n">
        <v>7</v>
      </c>
      <c r="AA27" s="92" t="inlineStr">
        <is>
          <t>STRONG SETUP</t>
        </is>
      </c>
    </row>
    <row r="28">
      <c r="A28" s="99" t="inlineStr">
        <is>
          <t>SAILIFE</t>
        </is>
      </c>
      <c r="B28" s="99" t="inlineStr">
        <is>
          <t>Sai Life Sciences Ltd.</t>
        </is>
      </c>
      <c r="C28" s="99" t="inlineStr">
        <is>
          <t>Healthcare</t>
        </is>
      </c>
      <c r="D28" s="99" t="inlineStr">
        <is>
          <t>BSE Smallcap</t>
        </is>
      </c>
      <c r="E28" s="99" t="n">
        <v>1232.9</v>
      </c>
      <c r="F28" s="99" t="n">
        <v>-0.6</v>
      </c>
      <c r="G28" s="99" t="n">
        <v>273980</v>
      </c>
      <c r="H28" s="99" t="n">
        <v>0.71</v>
      </c>
      <c r="I28" s="99" t="n">
        <v>27322</v>
      </c>
      <c r="J28" s="99" t="inlineStr">
        <is>
          <t>Y</t>
        </is>
      </c>
      <c r="K28" s="99" t="inlineStr">
        <is>
          <t>Y</t>
        </is>
      </c>
      <c r="L28" s="99" t="inlineStr">
        <is>
          <t>Y</t>
        </is>
      </c>
      <c r="M28" s="99" t="n">
        <v>50.1</v>
      </c>
      <c r="N28" s="99" t="inlineStr">
        <is>
          <t>Y</t>
        </is>
      </c>
      <c r="O28" s="99" t="n">
        <v>37.46</v>
      </c>
      <c r="P28" s="99" t="inlineStr">
        <is>
          <t>N</t>
        </is>
      </c>
      <c r="Q28" s="99" t="inlineStr">
        <is>
          <t>N/A</t>
        </is>
      </c>
      <c r="R28" s="99" t="inlineStr">
        <is>
          <t>N</t>
        </is>
      </c>
      <c r="S28" s="99" t="n">
        <v>1.2</v>
      </c>
      <c r="T28" s="99" t="n">
        <v>17.3</v>
      </c>
      <c r="U28" s="99" t="inlineStr">
        <is>
          <t>Y</t>
        </is>
      </c>
      <c r="V28" s="99" t="n">
        <v>78.5</v>
      </c>
      <c r="W28" s="99" t="n">
        <v>15.1</v>
      </c>
      <c r="X28" s="99" t="n">
        <v>11.61</v>
      </c>
      <c r="Y28" s="99" t="n">
        <v>3.8</v>
      </c>
      <c r="Z28" s="99" t="n">
        <v>7</v>
      </c>
      <c r="AA28" s="94" t="inlineStr">
        <is>
          <t>STRONG SETUP</t>
        </is>
      </c>
    </row>
    <row r="29">
      <c r="A29" s="97" t="inlineStr">
        <is>
          <t>SHRIRAMFIN</t>
        </is>
      </c>
      <c r="B29" s="97" t="inlineStr">
        <is>
          <t>Shriram Finance Ltd.</t>
        </is>
      </c>
      <c r="C29" s="97" t="inlineStr">
        <is>
          <t>Financial Services</t>
        </is>
      </c>
      <c r="D29" s="97" t="inlineStr">
        <is>
          <t>Large/Midcap</t>
        </is>
      </c>
      <c r="E29" s="97" t="n">
        <v>1005.1</v>
      </c>
      <c r="F29" s="97" t="n">
        <v>-2.02</v>
      </c>
      <c r="G29" s="97" t="n">
        <v>11775846</v>
      </c>
      <c r="H29" s="97" t="n">
        <v>2.03</v>
      </c>
      <c r="I29" s="97" t="n">
        <v>244283</v>
      </c>
      <c r="J29" s="97" t="inlineStr">
        <is>
          <t>Y</t>
        </is>
      </c>
      <c r="K29" s="97" t="inlineStr">
        <is>
          <t>Y</t>
        </is>
      </c>
      <c r="L29" s="97" t="inlineStr">
        <is>
          <t>Y</t>
        </is>
      </c>
      <c r="M29" s="97" t="n">
        <v>38.4</v>
      </c>
      <c r="N29" s="97" t="inlineStr">
        <is>
          <t>N</t>
        </is>
      </c>
      <c r="O29" s="97" t="n">
        <v>34.04</v>
      </c>
      <c r="P29" s="97" t="inlineStr">
        <is>
          <t>Y</t>
        </is>
      </c>
      <c r="Q29" s="97" t="inlineStr">
        <is>
          <t>N/A</t>
        </is>
      </c>
      <c r="R29" s="97" t="inlineStr">
        <is>
          <t>N</t>
        </is>
      </c>
      <c r="S29" s="97" t="n">
        <v>-1.8</v>
      </c>
      <c r="T29" s="97" t="n">
        <v>6</v>
      </c>
      <c r="U29" s="97" t="inlineStr">
        <is>
          <t>Y</t>
        </is>
      </c>
      <c r="V29" s="97" t="n">
        <v>18.3</v>
      </c>
      <c r="W29" s="97" t="n">
        <v>18.5</v>
      </c>
      <c r="X29" s="97" t="n">
        <v>276.21</v>
      </c>
      <c r="Y29" s="97" t="n">
        <v>14.3</v>
      </c>
      <c r="Z29" s="97" t="n">
        <v>7</v>
      </c>
      <c r="AA29" s="92" t="inlineStr">
        <is>
          <t>STRONG SETUP</t>
        </is>
      </c>
    </row>
    <row r="30">
      <c r="A30" s="99" t="inlineStr">
        <is>
          <t>SPLPETRO</t>
        </is>
      </c>
      <c r="B30" s="99" t="inlineStr">
        <is>
          <t>Supreme Petrochem Ltd.</t>
        </is>
      </c>
      <c r="C30" s="99" t="inlineStr">
        <is>
          <t>Chemicals</t>
        </is>
      </c>
      <c r="D30" s="99" t="inlineStr">
        <is>
          <t>NSE Smallcap</t>
        </is>
      </c>
      <c r="E30" s="99" t="n">
        <v>760.9</v>
      </c>
      <c r="F30" s="99" t="n">
        <v>2.6</v>
      </c>
      <c r="G30" s="99" t="n">
        <v>530640</v>
      </c>
      <c r="H30" s="99" t="n">
        <v>1.89</v>
      </c>
      <c r="I30" s="99" t="n">
        <v>14308</v>
      </c>
      <c r="J30" s="99" t="inlineStr">
        <is>
          <t>Y</t>
        </is>
      </c>
      <c r="K30" s="99" t="inlineStr">
        <is>
          <t>Y</t>
        </is>
      </c>
      <c r="L30" s="99" t="inlineStr">
        <is>
          <t>Y</t>
        </is>
      </c>
      <c r="M30" s="99" t="n">
        <v>64.5</v>
      </c>
      <c r="N30" s="99" t="inlineStr">
        <is>
          <t>Y</t>
        </is>
      </c>
      <c r="O30" s="99" t="n">
        <v>25.2</v>
      </c>
      <c r="P30" s="99" t="inlineStr">
        <is>
          <t>Y</t>
        </is>
      </c>
      <c r="Q30" s="99" t="inlineStr">
        <is>
          <t>N/A</t>
        </is>
      </c>
      <c r="R30" s="99" t="inlineStr">
        <is>
          <t>N</t>
        </is>
      </c>
      <c r="S30" s="99" t="n">
        <v>4.1</v>
      </c>
      <c r="T30" s="99" t="n">
        <v>2</v>
      </c>
      <c r="U30" s="99" t="inlineStr">
        <is>
          <t>Y</t>
        </is>
      </c>
      <c r="V30" s="99" t="n">
        <v>42.4</v>
      </c>
      <c r="W30" s="99" t="n">
        <v>14.3</v>
      </c>
      <c r="X30" s="99" t="n">
        <v>5.61</v>
      </c>
      <c r="Y30" s="99" t="n">
        <v>451.4</v>
      </c>
      <c r="Z30" s="99" t="n">
        <v>7</v>
      </c>
      <c r="AA30" s="94" t="inlineStr">
        <is>
          <t>STRONG SETUP</t>
        </is>
      </c>
    </row>
    <row r="31">
      <c r="A31" s="97" t="inlineStr">
        <is>
          <t>UNIONBANK</t>
        </is>
      </c>
      <c r="B31" s="97" t="inlineStr">
        <is>
          <t>Union Bank of India</t>
        </is>
      </c>
      <c r="C31" s="97" t="inlineStr">
        <is>
          <t>Financial Services</t>
        </is>
      </c>
      <c r="D31" s="97" t="inlineStr">
        <is>
          <t>Large/Midcap</t>
        </is>
      </c>
      <c r="E31" s="97" t="n">
        <v>170.11</v>
      </c>
      <c r="F31" s="97" t="n">
        <v>-0.23</v>
      </c>
      <c r="G31" s="97" t="n">
        <v>13706219</v>
      </c>
      <c r="H31" s="97" t="n">
        <v>1.35</v>
      </c>
      <c r="I31" s="97" t="n">
        <v>129855</v>
      </c>
      <c r="J31" s="97" t="inlineStr">
        <is>
          <t>Y</t>
        </is>
      </c>
      <c r="K31" s="97" t="inlineStr">
        <is>
          <t>Y</t>
        </is>
      </c>
      <c r="L31" s="97" t="inlineStr">
        <is>
          <t>Y</t>
        </is>
      </c>
      <c r="M31" s="97" t="n">
        <v>59.7</v>
      </c>
      <c r="N31" s="97" t="inlineStr">
        <is>
          <t>Y</t>
        </is>
      </c>
      <c r="O31" s="97" t="n">
        <v>6.15</v>
      </c>
      <c r="P31" s="97" t="inlineStr">
        <is>
          <t>N</t>
        </is>
      </c>
      <c r="Q31" s="97" t="inlineStr">
        <is>
          <t>N/A</t>
        </is>
      </c>
      <c r="R31" s="97" t="inlineStr">
        <is>
          <t>N</t>
        </is>
      </c>
      <c r="S31" s="97" t="n">
        <v>0.5</v>
      </c>
      <c r="T31" s="97" t="n">
        <v>5.9</v>
      </c>
      <c r="U31" s="97" t="inlineStr">
        <is>
          <t>Y</t>
        </is>
      </c>
      <c r="V31" s="97" t="n">
        <v>6.3</v>
      </c>
      <c r="W31" s="97" t="n">
        <v>15.8</v>
      </c>
      <c r="X31" s="97" t="inlineStr">
        <is>
          <t>N/A</t>
        </is>
      </c>
      <c r="Y31" s="97" t="n">
        <v>2.5</v>
      </c>
      <c r="Z31" s="97" t="n">
        <v>7</v>
      </c>
      <c r="AA31" s="92" t="inlineStr">
        <is>
          <t>STRONG SETUP</t>
        </is>
      </c>
    </row>
    <row r="32">
      <c r="A32" s="99" t="inlineStr">
        <is>
          <t>ABB</t>
        </is>
      </c>
      <c r="B32" s="99" t="inlineStr">
        <is>
          <t>ABB India Ltd.</t>
        </is>
      </c>
      <c r="C32" s="99" t="inlineStr">
        <is>
          <t>Capital Goods</t>
        </is>
      </c>
      <c r="D32" s="99" t="inlineStr">
        <is>
          <t>Large/Midcap</t>
        </is>
      </c>
      <c r="E32" s="99" t="n">
        <v>7327.5</v>
      </c>
      <c r="F32" s="99" t="n">
        <v>-0.65</v>
      </c>
      <c r="G32" s="99" t="n">
        <v>370848</v>
      </c>
      <c r="H32" s="99" t="n">
        <v>1.44</v>
      </c>
      <c r="I32" s="99" t="n">
        <v>155276</v>
      </c>
      <c r="J32" s="99" t="inlineStr">
        <is>
          <t>Y</t>
        </is>
      </c>
      <c r="K32" s="99" t="inlineStr">
        <is>
          <t>Y</t>
        </is>
      </c>
      <c r="L32" s="99" t="inlineStr">
        <is>
          <t>Y</t>
        </is>
      </c>
      <c r="M32" s="99" t="n">
        <v>60.9</v>
      </c>
      <c r="N32" s="99" t="inlineStr">
        <is>
          <t>Y</t>
        </is>
      </c>
      <c r="O32" s="99" t="n">
        <v>229.75</v>
      </c>
      <c r="P32" s="99" t="inlineStr">
        <is>
          <t>N</t>
        </is>
      </c>
      <c r="Q32" s="99" t="inlineStr">
        <is>
          <t>N/A</t>
        </is>
      </c>
      <c r="R32" s="99" t="inlineStr">
        <is>
          <t>N</t>
        </is>
      </c>
      <c r="S32" s="99" t="n">
        <v>5</v>
      </c>
      <c r="T32" s="99" t="n">
        <v>1.8</v>
      </c>
      <c r="U32" s="99" t="inlineStr">
        <is>
          <t>Y</t>
        </is>
      </c>
      <c r="V32" s="99" t="n">
        <v>101</v>
      </c>
      <c r="W32" s="99" t="inlineStr">
        <is>
          <t>N/A</t>
        </is>
      </c>
      <c r="X32" s="99" t="n">
        <v>1.08</v>
      </c>
      <c r="Y32" s="99" t="n">
        <v>312.1</v>
      </c>
      <c r="Z32" s="99" t="n">
        <v>6</v>
      </c>
      <c r="AA32" s="94" t="inlineStr">
        <is>
          <t>WATCHLIST</t>
        </is>
      </c>
    </row>
    <row r="33">
      <c r="A33" s="97" t="inlineStr">
        <is>
          <t>ACE</t>
        </is>
      </c>
      <c r="B33" s="97" t="inlineStr">
        <is>
          <t>Action Construction Equipment Ltd.</t>
        </is>
      </c>
      <c r="C33" s="97" t="inlineStr">
        <is>
          <t>Capital Goods</t>
        </is>
      </c>
      <c r="D33" s="97" t="inlineStr">
        <is>
          <t>BSE Smallcap</t>
        </is>
      </c>
      <c r="E33" s="97" t="n">
        <v>1061.8</v>
      </c>
      <c r="F33" s="97" t="n">
        <v>2.16</v>
      </c>
      <c r="G33" s="97" t="n">
        <v>716079</v>
      </c>
      <c r="H33" s="97" t="n">
        <v>0.62</v>
      </c>
      <c r="I33" s="97" t="n">
        <v>12638</v>
      </c>
      <c r="J33" s="97" t="inlineStr">
        <is>
          <t>Y</t>
        </is>
      </c>
      <c r="K33" s="97" t="inlineStr">
        <is>
          <t>Y</t>
        </is>
      </c>
      <c r="L33" s="97" t="inlineStr">
        <is>
          <t>Y</t>
        </is>
      </c>
      <c r="M33" s="97" t="n">
        <v>60</v>
      </c>
      <c r="N33" s="97" t="inlineStr">
        <is>
          <t>Y</t>
        </is>
      </c>
      <c r="O33" s="97" t="n">
        <v>40.73</v>
      </c>
      <c r="P33" s="97" t="inlineStr">
        <is>
          <t>N</t>
        </is>
      </c>
      <c r="Q33" s="97" t="inlineStr">
        <is>
          <t>N/A</t>
        </is>
      </c>
      <c r="R33" s="97" t="inlineStr">
        <is>
          <t>N</t>
        </is>
      </c>
      <c r="S33" s="97" t="n">
        <v>7.7</v>
      </c>
      <c r="T33" s="97" t="n">
        <v>20</v>
      </c>
      <c r="U33" s="97" t="inlineStr">
        <is>
          <t>Y</t>
        </is>
      </c>
      <c r="V33" s="97" t="n">
        <v>28.3</v>
      </c>
      <c r="W33" s="97" t="inlineStr">
        <is>
          <t>N/A</t>
        </is>
      </c>
      <c r="X33" s="97" t="n">
        <v>0.39</v>
      </c>
      <c r="Y33" s="97" t="n">
        <v>7.7</v>
      </c>
      <c r="Z33" s="97" t="n">
        <v>6</v>
      </c>
      <c r="AA33" s="92" t="inlineStr">
        <is>
          <t>WATCHLIST</t>
        </is>
      </c>
    </row>
    <row r="34">
      <c r="A34" s="99" t="inlineStr">
        <is>
          <t>ADANIENSOL</t>
        </is>
      </c>
      <c r="B34" s="99" t="inlineStr">
        <is>
          <t>Adani Energy Solutions Ltd.</t>
        </is>
      </c>
      <c r="C34" s="99" t="inlineStr">
        <is>
          <t>Power</t>
        </is>
      </c>
      <c r="D34" s="99" t="inlineStr">
        <is>
          <t>Large/Midcap</t>
        </is>
      </c>
      <c r="E34" s="99" t="n">
        <v>1702.2</v>
      </c>
      <c r="F34" s="99" t="n">
        <v>1.09</v>
      </c>
      <c r="G34" s="99" t="n">
        <v>2585952</v>
      </c>
      <c r="H34" s="99" t="n">
        <v>0.8100000000000001</v>
      </c>
      <c r="I34" s="99" t="n">
        <v>204614</v>
      </c>
      <c r="J34" s="99" t="inlineStr">
        <is>
          <t>Y</t>
        </is>
      </c>
      <c r="K34" s="99" t="inlineStr">
        <is>
          <t>Y</t>
        </is>
      </c>
      <c r="L34" s="99" t="inlineStr">
        <is>
          <t>Y</t>
        </is>
      </c>
      <c r="M34" s="99" t="n">
        <v>62.7</v>
      </c>
      <c r="N34" s="99" t="inlineStr">
        <is>
          <t>Y</t>
        </is>
      </c>
      <c r="O34" s="99" t="n">
        <v>57.94</v>
      </c>
      <c r="P34" s="99" t="inlineStr">
        <is>
          <t>N</t>
        </is>
      </c>
      <c r="Q34" s="99" t="inlineStr">
        <is>
          <t>N/A</t>
        </is>
      </c>
      <c r="R34" s="99" t="inlineStr">
        <is>
          <t>N</t>
        </is>
      </c>
      <c r="S34" s="99" t="n">
        <v>13.1</v>
      </c>
      <c r="T34" s="99" t="n">
        <v>20.4</v>
      </c>
      <c r="U34" s="99" t="inlineStr">
        <is>
          <t>Y</t>
        </is>
      </c>
      <c r="V34" s="99" t="n">
        <v>70</v>
      </c>
      <c r="W34" s="99" t="inlineStr">
        <is>
          <t>N/A</t>
        </is>
      </c>
      <c r="X34" s="99" t="n">
        <v>194.5</v>
      </c>
      <c r="Y34" s="99" t="n">
        <v>68</v>
      </c>
      <c r="Z34" s="99" t="n">
        <v>6</v>
      </c>
      <c r="AA34" s="94" t="inlineStr">
        <is>
          <t>WATCHLIST</t>
        </is>
      </c>
    </row>
    <row r="35">
      <c r="A35" s="97" t="inlineStr">
        <is>
          <t>AEGISLOG</t>
        </is>
      </c>
      <c r="B35" s="97" t="inlineStr">
        <is>
          <t>Aegis Logistics Ltd.</t>
        </is>
      </c>
      <c r="C35" s="97" t="inlineStr">
        <is>
          <t>Oil Gas &amp; Consumable Fuels</t>
        </is>
      </c>
      <c r="D35" s="97" t="inlineStr">
        <is>
          <t>BSE Smallcap</t>
        </is>
      </c>
      <c r="E35" s="97" t="n">
        <v>1291.3</v>
      </c>
      <c r="F35" s="97" t="n">
        <v>-4.32</v>
      </c>
      <c r="G35" s="97" t="n">
        <v>1130343</v>
      </c>
      <c r="H35" s="97" t="n">
        <v>0.77</v>
      </c>
      <c r="I35" s="97" t="n">
        <v>45325</v>
      </c>
      <c r="J35" s="97" t="inlineStr">
        <is>
          <t>Y</t>
        </is>
      </c>
      <c r="K35" s="97" t="inlineStr">
        <is>
          <t>Y</t>
        </is>
      </c>
      <c r="L35" s="97" t="inlineStr">
        <is>
          <t>Y</t>
        </is>
      </c>
      <c r="M35" s="97" t="n">
        <v>43.9</v>
      </c>
      <c r="N35" s="97" t="inlineStr">
        <is>
          <t>N</t>
        </is>
      </c>
      <c r="O35" s="97" t="n">
        <v>90.12</v>
      </c>
      <c r="P35" s="97" t="inlineStr">
        <is>
          <t>N</t>
        </is>
      </c>
      <c r="Q35" s="97" t="inlineStr">
        <is>
          <t>N/A</t>
        </is>
      </c>
      <c r="R35" s="97" t="inlineStr">
        <is>
          <t>N</t>
        </is>
      </c>
      <c r="S35" s="97" t="n">
        <v>14.1</v>
      </c>
      <c r="T35" s="97" t="n">
        <v>85.59999999999999</v>
      </c>
      <c r="U35" s="97" t="inlineStr">
        <is>
          <t>Y</t>
        </is>
      </c>
      <c r="V35" s="97" t="n">
        <v>52.6</v>
      </c>
      <c r="W35" s="97" t="n">
        <v>15.3</v>
      </c>
      <c r="X35" s="97" t="n">
        <v>47.24</v>
      </c>
      <c r="Y35" s="97" t="n">
        <v>132.1</v>
      </c>
      <c r="Z35" s="97" t="n">
        <v>6</v>
      </c>
      <c r="AA35" s="92" t="inlineStr">
        <is>
          <t>WATCHLIST</t>
        </is>
      </c>
    </row>
    <row r="36">
      <c r="A36" s="99" t="inlineStr">
        <is>
          <t>AEGISVOPAK</t>
        </is>
      </c>
      <c r="B36" s="99" t="inlineStr">
        <is>
          <t>Aegis Vopak Terminals Ltd.</t>
        </is>
      </c>
      <c r="C36" s="99" t="inlineStr">
        <is>
          <t>Oil Gas &amp; Consumable Fuels</t>
        </is>
      </c>
      <c r="D36" s="99" t="inlineStr">
        <is>
          <t>BSE Smallcap</t>
        </is>
      </c>
      <c r="E36" s="99" t="n">
        <v>303.49</v>
      </c>
      <c r="F36" s="99" t="n">
        <v>3.71</v>
      </c>
      <c r="G36" s="99" t="n">
        <v>3083157</v>
      </c>
      <c r="H36" s="99" t="n">
        <v>1.24</v>
      </c>
      <c r="I36" s="99" t="n">
        <v>33626</v>
      </c>
      <c r="J36" s="99" t="inlineStr">
        <is>
          <t>Y</t>
        </is>
      </c>
      <c r="K36" s="99" t="inlineStr">
        <is>
          <t>Y</t>
        </is>
      </c>
      <c r="L36" s="99" t="inlineStr">
        <is>
          <t>Y</t>
        </is>
      </c>
      <c r="M36" s="99" t="n">
        <v>53.8</v>
      </c>
      <c r="N36" s="99" t="inlineStr">
        <is>
          <t>Y</t>
        </is>
      </c>
      <c r="O36" s="99" t="n">
        <v>17.45</v>
      </c>
      <c r="P36" s="99" t="inlineStr">
        <is>
          <t>N</t>
        </is>
      </c>
      <c r="Q36" s="99" t="inlineStr">
        <is>
          <t>N/A</t>
        </is>
      </c>
      <c r="R36" s="99" t="inlineStr">
        <is>
          <t>N</t>
        </is>
      </c>
      <c r="S36" s="99" t="n">
        <v>30.5</v>
      </c>
      <c r="T36" s="99" t="n">
        <v>60.6</v>
      </c>
      <c r="U36" s="99" t="inlineStr">
        <is>
          <t>Y</t>
        </is>
      </c>
      <c r="V36" s="99" t="n">
        <v>103.2</v>
      </c>
      <c r="W36" s="99" t="n">
        <v>11.6</v>
      </c>
      <c r="X36" s="99" t="n">
        <v>84.44</v>
      </c>
      <c r="Y36" s="99" t="n">
        <v>11.6</v>
      </c>
      <c r="Z36" s="99" t="n">
        <v>6</v>
      </c>
      <c r="AA36" s="94" t="inlineStr">
        <is>
          <t>WATCHLIST</t>
        </is>
      </c>
    </row>
    <row r="37">
      <c r="A37" s="97" t="inlineStr">
        <is>
          <t>ARE&amp;M</t>
        </is>
      </c>
      <c r="B37" s="97" t="inlineStr">
        <is>
          <t>Amara Raja Energy &amp; Mobility Ltd.</t>
        </is>
      </c>
      <c r="C37" s="97" t="inlineStr">
        <is>
          <t>Automobile and Auto Components</t>
        </is>
      </c>
      <c r="D37" s="97" t="inlineStr">
        <is>
          <t>BSE Smallcap</t>
        </is>
      </c>
      <c r="E37" s="97" t="n">
        <v>874</v>
      </c>
      <c r="F37" s="97" t="n">
        <v>0.73</v>
      </c>
      <c r="G37" s="97" t="n">
        <v>273424</v>
      </c>
      <c r="H37" s="97" t="n">
        <v>0.46</v>
      </c>
      <c r="I37" s="97" t="n">
        <v>15996</v>
      </c>
      <c r="J37" s="97" t="inlineStr">
        <is>
          <t>Y</t>
        </is>
      </c>
      <c r="K37" s="97" t="inlineStr">
        <is>
          <t>Y</t>
        </is>
      </c>
      <c r="L37" s="97" t="inlineStr">
        <is>
          <t>Y</t>
        </is>
      </c>
      <c r="M37" s="97" t="n">
        <v>61.7</v>
      </c>
      <c r="N37" s="97" t="inlineStr">
        <is>
          <t>Y</t>
        </is>
      </c>
      <c r="O37" s="97" t="n">
        <v>26.48</v>
      </c>
      <c r="P37" s="97" t="inlineStr">
        <is>
          <t>N</t>
        </is>
      </c>
      <c r="Q37" s="97" t="inlineStr">
        <is>
          <t>N/A</t>
        </is>
      </c>
      <c r="R37" s="97" t="inlineStr">
        <is>
          <t>N</t>
        </is>
      </c>
      <c r="S37" s="97" t="n">
        <v>5.6</v>
      </c>
      <c r="T37" s="97" t="n">
        <v>0.9</v>
      </c>
      <c r="U37" s="97" t="inlineStr">
        <is>
          <t>Y</t>
        </is>
      </c>
      <c r="V37" s="97" t="n">
        <v>17.8</v>
      </c>
      <c r="W37" s="97" t="n">
        <v>11.6</v>
      </c>
      <c r="X37" s="97" t="n">
        <v>5.01</v>
      </c>
      <c r="Y37" s="97" t="n">
        <v>124.3</v>
      </c>
      <c r="Z37" s="97" t="n">
        <v>6</v>
      </c>
      <c r="AA37" s="92" t="inlineStr">
        <is>
          <t>WATCHLIST</t>
        </is>
      </c>
    </row>
    <row r="38">
      <c r="A38" s="99" t="inlineStr">
        <is>
          <t>ANANTRAJ</t>
        </is>
      </c>
      <c r="B38" s="99" t="inlineStr">
        <is>
          <t>Anant Raj Ltd.</t>
        </is>
      </c>
      <c r="C38" s="99" t="inlineStr">
        <is>
          <t>Realty</t>
        </is>
      </c>
      <c r="D38" s="99" t="inlineStr">
        <is>
          <t>BSE Smallcap</t>
        </is>
      </c>
      <c r="E38" s="99" t="n">
        <v>586.55</v>
      </c>
      <c r="F38" s="99" t="n">
        <v>-0.1</v>
      </c>
      <c r="G38" s="99" t="n">
        <v>3000923</v>
      </c>
      <c r="H38" s="99" t="n">
        <v>0.63</v>
      </c>
      <c r="I38" s="99" t="n">
        <v>22201</v>
      </c>
      <c r="J38" s="99" t="inlineStr">
        <is>
          <t>Y</t>
        </is>
      </c>
      <c r="K38" s="99" t="inlineStr">
        <is>
          <t>Y</t>
        </is>
      </c>
      <c r="L38" s="99" t="inlineStr">
        <is>
          <t>Y</t>
        </is>
      </c>
      <c r="M38" s="99" t="n">
        <v>61.7</v>
      </c>
      <c r="N38" s="99" t="inlineStr">
        <is>
          <t>Y</t>
        </is>
      </c>
      <c r="O38" s="99" t="n">
        <v>22.92</v>
      </c>
      <c r="P38" s="99" t="inlineStr">
        <is>
          <t>N</t>
        </is>
      </c>
      <c r="Q38" s="99" t="inlineStr">
        <is>
          <t>N/A</t>
        </is>
      </c>
      <c r="R38" s="99" t="inlineStr">
        <is>
          <t>N</t>
        </is>
      </c>
      <c r="S38" s="99" t="n">
        <v>12.5</v>
      </c>
      <c r="T38" s="99" t="n">
        <v>19.9</v>
      </c>
      <c r="U38" s="99" t="inlineStr">
        <is>
          <t>Y</t>
        </is>
      </c>
      <c r="V38" s="99" t="n">
        <v>38.9</v>
      </c>
      <c r="W38" s="99" t="n">
        <v>11.2</v>
      </c>
      <c r="X38" s="99" t="n">
        <v>11.7</v>
      </c>
      <c r="Y38" s="99" t="n">
        <v>1.6</v>
      </c>
      <c r="Z38" s="99" t="n">
        <v>6</v>
      </c>
      <c r="AA38" s="94" t="inlineStr">
        <is>
          <t>WATCHLIST</t>
        </is>
      </c>
    </row>
    <row r="39">
      <c r="A39" s="97" t="inlineStr">
        <is>
          <t>APOLLOHOSP</t>
        </is>
      </c>
      <c r="B39" s="97" t="inlineStr">
        <is>
          <t>Apollo Hospitals Enterprise Ltd.</t>
        </is>
      </c>
      <c r="C39" s="97" t="inlineStr">
        <is>
          <t>Healthcare</t>
        </is>
      </c>
      <c r="D39" s="97" t="inlineStr">
        <is>
          <t>Large/Midcap</t>
        </is>
      </c>
      <c r="E39" s="97" t="n">
        <v>8805.5</v>
      </c>
      <c r="F39" s="97" t="n">
        <v>-0.64</v>
      </c>
      <c r="G39" s="97" t="n">
        <v>189462</v>
      </c>
      <c r="H39" s="97" t="n">
        <v>1.12</v>
      </c>
      <c r="I39" s="97" t="n">
        <v>127156</v>
      </c>
      <c r="J39" s="97" t="inlineStr">
        <is>
          <t>Y</t>
        </is>
      </c>
      <c r="K39" s="97" t="inlineStr">
        <is>
          <t>Y</t>
        </is>
      </c>
      <c r="L39" s="97" t="inlineStr">
        <is>
          <t>Y</t>
        </is>
      </c>
      <c r="M39" s="97" t="n">
        <v>44.8</v>
      </c>
      <c r="N39" s="97" t="inlineStr">
        <is>
          <t>N</t>
        </is>
      </c>
      <c r="O39" s="97" t="n">
        <v>132.43</v>
      </c>
      <c r="P39" s="97" t="inlineStr">
        <is>
          <t>N</t>
        </is>
      </c>
      <c r="Q39" s="97" t="inlineStr">
        <is>
          <t>N/A</t>
        </is>
      </c>
      <c r="R39" s="97" t="inlineStr">
        <is>
          <t>N</t>
        </is>
      </c>
      <c r="S39" s="97" t="n">
        <v>2.7</v>
      </c>
      <c r="T39" s="97" t="n">
        <v>14.6</v>
      </c>
      <c r="U39" s="97" t="inlineStr">
        <is>
          <t>Y</t>
        </is>
      </c>
      <c r="V39" s="97" t="n">
        <v>65.59999999999999</v>
      </c>
      <c r="W39" s="97" t="n">
        <v>21.5</v>
      </c>
      <c r="X39" s="97" t="n">
        <v>85.15000000000001</v>
      </c>
      <c r="Y39" s="97" t="n">
        <v>5.4</v>
      </c>
      <c r="Z39" s="97" t="n">
        <v>6</v>
      </c>
      <c r="AA39" s="92" t="inlineStr">
        <is>
          <t>WATCHLIST</t>
        </is>
      </c>
    </row>
    <row r="40">
      <c r="A40" s="99" t="inlineStr">
        <is>
          <t>APTUS</t>
        </is>
      </c>
      <c r="B40" s="99" t="inlineStr">
        <is>
          <t>Aptus Value Housing Finance India Ltd.</t>
        </is>
      </c>
      <c r="C40" s="99" t="inlineStr">
        <is>
          <t>Financial Services</t>
        </is>
      </c>
      <c r="D40" s="99" t="inlineStr">
        <is>
          <t>BSE Smallcap</t>
        </is>
      </c>
      <c r="E40" s="99" t="n">
        <v>277.15</v>
      </c>
      <c r="F40" s="99" t="n">
        <v>-2.65</v>
      </c>
      <c r="G40" s="99" t="n">
        <v>932035</v>
      </c>
      <c r="H40" s="99" t="n">
        <v>1.34</v>
      </c>
      <c r="I40" s="99" t="n">
        <v>13975</v>
      </c>
      <c r="J40" s="99" t="inlineStr">
        <is>
          <t>Y</t>
        </is>
      </c>
      <c r="K40" s="99" t="inlineStr">
        <is>
          <t>Y</t>
        </is>
      </c>
      <c r="L40" s="99" t="inlineStr">
        <is>
          <t>Y</t>
        </is>
      </c>
      <c r="M40" s="99" t="n">
        <v>43.7</v>
      </c>
      <c r="N40" s="99" t="inlineStr">
        <is>
          <t>N</t>
        </is>
      </c>
      <c r="O40" s="99" t="n">
        <v>8.789999999999999</v>
      </c>
      <c r="P40" s="99" t="inlineStr">
        <is>
          <t>N</t>
        </is>
      </c>
      <c r="Q40" s="99" t="inlineStr">
        <is>
          <t>N/A</t>
        </is>
      </c>
      <c r="R40" s="99" t="inlineStr">
        <is>
          <t>N</t>
        </is>
      </c>
      <c r="S40" s="99" t="n">
        <v>4.8</v>
      </c>
      <c r="T40" s="99" t="n">
        <v>6</v>
      </c>
      <c r="U40" s="99" t="inlineStr">
        <is>
          <t>Y</t>
        </is>
      </c>
      <c r="V40" s="99" t="n">
        <v>14.8</v>
      </c>
      <c r="W40" s="99" t="n">
        <v>20.1</v>
      </c>
      <c r="X40" s="99" t="n">
        <v>156.2</v>
      </c>
      <c r="Y40" s="99" t="n">
        <v>10.5</v>
      </c>
      <c r="Z40" s="99" t="n">
        <v>6</v>
      </c>
      <c r="AA40" s="94" t="inlineStr">
        <is>
          <t>WATCHLIST</t>
        </is>
      </c>
    </row>
    <row r="41">
      <c r="A41" s="97" t="inlineStr">
        <is>
          <t>AIIL</t>
        </is>
      </c>
      <c r="B41" s="97" t="inlineStr">
        <is>
          <t>Authum Investment &amp; Infrastructure Ltd.</t>
        </is>
      </c>
      <c r="C41" s="97" t="inlineStr">
        <is>
          <t>Financial Services</t>
        </is>
      </c>
      <c r="D41" s="97" t="inlineStr">
        <is>
          <t>Large/Midcap</t>
        </is>
      </c>
      <c r="E41" s="97" t="n">
        <v>551.7</v>
      </c>
      <c r="F41" s="97" t="n">
        <v>3.88</v>
      </c>
      <c r="G41" s="97" t="n">
        <v>283202</v>
      </c>
      <c r="H41" s="97" t="n">
        <v>0.44</v>
      </c>
      <c r="I41" s="97" t="n">
        <v>46852</v>
      </c>
      <c r="J41" s="97" t="inlineStr">
        <is>
          <t>Y</t>
        </is>
      </c>
      <c r="K41" s="97" t="inlineStr">
        <is>
          <t>Y</t>
        </is>
      </c>
      <c r="L41" s="97" t="inlineStr">
        <is>
          <t>Y</t>
        </is>
      </c>
      <c r="M41" s="97" t="n">
        <v>58.6</v>
      </c>
      <c r="N41" s="97" t="inlineStr">
        <is>
          <t>Y</t>
        </is>
      </c>
      <c r="O41" s="97" t="n">
        <v>24.4</v>
      </c>
      <c r="P41" s="97" t="inlineStr">
        <is>
          <t>N</t>
        </is>
      </c>
      <c r="Q41" s="97" t="inlineStr">
        <is>
          <t>N/A</t>
        </is>
      </c>
      <c r="R41" s="97" t="inlineStr">
        <is>
          <t>N</t>
        </is>
      </c>
      <c r="S41" s="97" t="n">
        <v>6.8</v>
      </c>
      <c r="T41" s="97" t="n">
        <v>17.3</v>
      </c>
      <c r="U41" s="97" t="inlineStr">
        <is>
          <t>Y</t>
        </is>
      </c>
      <c r="V41" s="97" t="n">
        <v>27.8</v>
      </c>
      <c r="W41" s="97" t="inlineStr">
        <is>
          <t>N/A</t>
        </is>
      </c>
      <c r="X41" s="97" t="n">
        <v>24.59</v>
      </c>
      <c r="Y41" s="97" t="n">
        <v>1758.6</v>
      </c>
      <c r="Z41" s="97" t="n">
        <v>6</v>
      </c>
      <c r="AA41" s="92" t="inlineStr">
        <is>
          <t>WATCHLIST</t>
        </is>
      </c>
    </row>
    <row r="42">
      <c r="A42" s="99" t="inlineStr">
        <is>
          <t>BALRAMCHIN</t>
        </is>
      </c>
      <c r="B42" s="99" t="inlineStr">
        <is>
          <t>Balrampur Chini Mills Ltd.</t>
        </is>
      </c>
      <c r="C42" s="99" t="inlineStr">
        <is>
          <t>Fast Moving Consumer Goods</t>
        </is>
      </c>
      <c r="D42" s="99" t="inlineStr">
        <is>
          <t>BSE Smallcap</t>
        </is>
      </c>
      <c r="E42" s="99" t="n">
        <v>610.15</v>
      </c>
      <c r="F42" s="99" t="n">
        <v>-0.43</v>
      </c>
      <c r="G42" s="99" t="n">
        <v>237043</v>
      </c>
      <c r="H42" s="99" t="n">
        <v>0.17</v>
      </c>
      <c r="I42" s="99" t="n">
        <v>12922</v>
      </c>
      <c r="J42" s="99" t="inlineStr">
        <is>
          <t>Y</t>
        </is>
      </c>
      <c r="K42" s="99" t="inlineStr">
        <is>
          <t>Y</t>
        </is>
      </c>
      <c r="L42" s="99" t="inlineStr">
        <is>
          <t>Y</t>
        </is>
      </c>
      <c r="M42" s="99" t="n">
        <v>67.40000000000001</v>
      </c>
      <c r="N42" s="99" t="inlineStr">
        <is>
          <t>Y</t>
        </is>
      </c>
      <c r="O42" s="99" t="n">
        <v>19.26</v>
      </c>
      <c r="P42" s="99" t="inlineStr">
        <is>
          <t>N</t>
        </is>
      </c>
      <c r="Q42" s="99" t="inlineStr">
        <is>
          <t>N/A</t>
        </is>
      </c>
      <c r="R42" s="99" t="inlineStr">
        <is>
          <t>N</t>
        </is>
      </c>
      <c r="S42" s="99" t="n">
        <v>14.5</v>
      </c>
      <c r="T42" s="99" t="n">
        <v>20</v>
      </c>
      <c r="U42" s="99" t="inlineStr">
        <is>
          <t>Y</t>
        </is>
      </c>
      <c r="V42" s="99" t="n">
        <v>32.9</v>
      </c>
      <c r="W42" s="99" t="n">
        <v>9.5</v>
      </c>
      <c r="X42" s="99" t="n">
        <v>76.61</v>
      </c>
      <c r="Y42" s="99" t="n">
        <v>40.7</v>
      </c>
      <c r="Z42" s="99" t="n">
        <v>6</v>
      </c>
      <c r="AA42" s="94" t="inlineStr">
        <is>
          <t>WATCHLIST</t>
        </is>
      </c>
    </row>
    <row r="43">
      <c r="A43" s="97" t="inlineStr">
        <is>
          <t>BELRISE</t>
        </is>
      </c>
      <c r="B43" s="97" t="inlineStr">
        <is>
          <t>Belrise Industries Ltd.</t>
        </is>
      </c>
      <c r="C43" s="97" t="inlineStr">
        <is>
          <t>Automobile and Auto Components</t>
        </is>
      </c>
      <c r="D43" s="97" t="inlineStr">
        <is>
          <t>BSE Smallcap</t>
        </is>
      </c>
      <c r="E43" s="97" t="n">
        <v>232.66</v>
      </c>
      <c r="F43" s="97" t="n">
        <v>1.93</v>
      </c>
      <c r="G43" s="97" t="n">
        <v>3264364</v>
      </c>
      <c r="H43" s="97" t="n">
        <v>0.87</v>
      </c>
      <c r="I43" s="97" t="n">
        <v>22502</v>
      </c>
      <c r="J43" s="97" t="inlineStr">
        <is>
          <t>Y</t>
        </is>
      </c>
      <c r="K43" s="97" t="inlineStr">
        <is>
          <t>Y</t>
        </is>
      </c>
      <c r="L43" s="97" t="inlineStr">
        <is>
          <t>Y</t>
        </is>
      </c>
      <c r="M43" s="97" t="n">
        <v>52.5</v>
      </c>
      <c r="N43" s="97" t="inlineStr">
        <is>
          <t>Y</t>
        </is>
      </c>
      <c r="O43" s="97" t="n">
        <v>7.08</v>
      </c>
      <c r="P43" s="97" t="inlineStr">
        <is>
          <t>N</t>
        </is>
      </c>
      <c r="Q43" s="97" t="inlineStr">
        <is>
          <t>N/A</t>
        </is>
      </c>
      <c r="R43" s="97" t="inlineStr">
        <is>
          <t>N</t>
        </is>
      </c>
      <c r="S43" s="97" t="n">
        <v>-5</v>
      </c>
      <c r="T43" s="97" t="n">
        <v>9.800000000000001</v>
      </c>
      <c r="U43" s="97" t="inlineStr">
        <is>
          <t>Y</t>
        </is>
      </c>
      <c r="V43" s="97" t="n">
        <v>39.2</v>
      </c>
      <c r="W43" s="97" t="n">
        <v>12.5</v>
      </c>
      <c r="X43" s="97" t="n">
        <v>29.1</v>
      </c>
      <c r="Y43" s="97" t="n">
        <v>6.8</v>
      </c>
      <c r="Z43" s="97" t="n">
        <v>6</v>
      </c>
      <c r="AA43" s="92" t="inlineStr">
        <is>
          <t>WATCHLIST</t>
        </is>
      </c>
    </row>
    <row r="44">
      <c r="A44" s="99" t="inlineStr">
        <is>
          <t>BHARTIARTL</t>
        </is>
      </c>
      <c r="B44" s="99" t="inlineStr">
        <is>
          <t>Bharti Airtel Ltd.</t>
        </is>
      </c>
      <c r="C44" s="99" t="inlineStr">
        <is>
          <t>Telecommunication</t>
        </is>
      </c>
      <c r="D44" s="99" t="inlineStr">
        <is>
          <t>Large/Midcap</t>
        </is>
      </c>
      <c r="E44" s="99" t="n">
        <v>1905.3</v>
      </c>
      <c r="F44" s="99" t="n">
        <v>0.37</v>
      </c>
      <c r="G44" s="99" t="n">
        <v>5230299</v>
      </c>
      <c r="H44" s="99" t="n">
        <v>0.9399999999999999</v>
      </c>
      <c r="I44" s="99" t="n">
        <v>1188652</v>
      </c>
      <c r="J44" s="99" t="inlineStr">
        <is>
          <t>Y</t>
        </is>
      </c>
      <c r="K44" s="99" t="inlineStr">
        <is>
          <t>Y</t>
        </is>
      </c>
      <c r="L44" s="99" t="inlineStr">
        <is>
          <t>N</t>
        </is>
      </c>
      <c r="M44" s="99" t="n">
        <v>50.7</v>
      </c>
      <c r="N44" s="99" t="inlineStr">
        <is>
          <t>Y</t>
        </is>
      </c>
      <c r="O44" s="99" t="n">
        <v>32.67</v>
      </c>
      <c r="P44" s="99" t="inlineStr">
        <is>
          <t>N</t>
        </is>
      </c>
      <c r="Q44" s="99" t="inlineStr">
        <is>
          <t>N/A</t>
        </is>
      </c>
      <c r="R44" s="99" t="inlineStr">
        <is>
          <t>N</t>
        </is>
      </c>
      <c r="S44" s="99" t="n">
        <v>4.5</v>
      </c>
      <c r="T44" s="99" t="n">
        <v>2.7</v>
      </c>
      <c r="U44" s="99" t="inlineStr">
        <is>
          <t>Y</t>
        </is>
      </c>
      <c r="V44" s="99" t="n">
        <v>42.7</v>
      </c>
      <c r="W44" s="99" t="n">
        <v>19.4</v>
      </c>
      <c r="X44" s="99" t="n">
        <v>99.72</v>
      </c>
      <c r="Y44" s="99" t="n">
        <v>10.5</v>
      </c>
      <c r="Z44" s="99" t="n">
        <v>6</v>
      </c>
      <c r="AA44" s="94" t="inlineStr">
        <is>
          <t>WATCHLIST</t>
        </is>
      </c>
    </row>
    <row r="45">
      <c r="A45" s="97" t="inlineStr">
        <is>
          <t>MAPMYINDIA</t>
        </is>
      </c>
      <c r="B45" s="97" t="inlineStr">
        <is>
          <t>C.E. Info Systems Ltd.</t>
        </is>
      </c>
      <c r="C45" s="97" t="inlineStr">
        <is>
          <t>Information Technology</t>
        </is>
      </c>
      <c r="D45" s="97" t="inlineStr">
        <is>
          <t>BSE Smallcap</t>
        </is>
      </c>
      <c r="E45" s="97" t="n">
        <v>1132.1</v>
      </c>
      <c r="F45" s="97" t="n">
        <v>1.34</v>
      </c>
      <c r="G45" s="97" t="n">
        <v>309716</v>
      </c>
      <c r="H45" s="97" t="n">
        <v>0.36</v>
      </c>
      <c r="I45" s="97" t="n">
        <v>6199</v>
      </c>
      <c r="J45" s="97" t="inlineStr">
        <is>
          <t>Y</t>
        </is>
      </c>
      <c r="K45" s="97" t="inlineStr">
        <is>
          <t>Y</t>
        </is>
      </c>
      <c r="L45" s="97" t="inlineStr">
        <is>
          <t>N</t>
        </is>
      </c>
      <c r="M45" s="97" t="n">
        <v>67.2</v>
      </c>
      <c r="N45" s="97" t="inlineStr">
        <is>
          <t>Y</t>
        </is>
      </c>
      <c r="O45" s="97" t="n">
        <v>72.15000000000001</v>
      </c>
      <c r="P45" s="97" t="inlineStr">
        <is>
          <t>N</t>
        </is>
      </c>
      <c r="Q45" s="97" t="inlineStr">
        <is>
          <t>N/A</t>
        </is>
      </c>
      <c r="R45" s="97" t="inlineStr">
        <is>
          <t>N</t>
        </is>
      </c>
      <c r="S45" s="97" t="n">
        <v>34.9</v>
      </c>
      <c r="T45" s="97" t="n">
        <v>22.2</v>
      </c>
      <c r="U45" s="97" t="inlineStr">
        <is>
          <t>Y</t>
        </is>
      </c>
      <c r="V45" s="97" t="n">
        <v>45.7</v>
      </c>
      <c r="W45" s="97" t="n">
        <v>15.6</v>
      </c>
      <c r="X45" s="97" t="n">
        <v>0.78</v>
      </c>
      <c r="Y45" s="97" t="n">
        <v>170.5</v>
      </c>
      <c r="Z45" s="97" t="n">
        <v>6</v>
      </c>
      <c r="AA45" s="92" t="inlineStr">
        <is>
          <t>WATCHLIST</t>
        </is>
      </c>
    </row>
    <row r="46">
      <c r="A46" s="99" t="inlineStr">
        <is>
          <t>CCL</t>
        </is>
      </c>
      <c r="B46" s="99" t="inlineStr">
        <is>
          <t>CCL Products (I) Ltd.</t>
        </is>
      </c>
      <c r="C46" s="99" t="inlineStr">
        <is>
          <t>Fast Moving Consumer Goods</t>
        </is>
      </c>
      <c r="D46" s="99" t="inlineStr">
        <is>
          <t>BSE Smallcap</t>
        </is>
      </c>
      <c r="E46" s="99" t="n">
        <v>1183.6</v>
      </c>
      <c r="F46" s="99" t="n">
        <v>-0.14</v>
      </c>
      <c r="G46" s="99" t="n">
        <v>55391</v>
      </c>
      <c r="H46" s="99" t="n">
        <v>0.83</v>
      </c>
      <c r="I46" s="99" t="n">
        <v>15658</v>
      </c>
      <c r="J46" s="99" t="inlineStr">
        <is>
          <t>Y</t>
        </is>
      </c>
      <c r="K46" s="99" t="inlineStr">
        <is>
          <t>Y</t>
        </is>
      </c>
      <c r="L46" s="99" t="inlineStr">
        <is>
          <t>Y</t>
        </is>
      </c>
      <c r="M46" s="99" t="n">
        <v>44.3</v>
      </c>
      <c r="N46" s="99" t="inlineStr">
        <is>
          <t>N</t>
        </is>
      </c>
      <c r="O46" s="99" t="n">
        <v>31.96</v>
      </c>
      <c r="P46" s="99" t="inlineStr">
        <is>
          <t>N</t>
        </is>
      </c>
      <c r="Q46" s="99" t="inlineStr">
        <is>
          <t>N/A</t>
        </is>
      </c>
      <c r="R46" s="99" t="inlineStr">
        <is>
          <t>N</t>
        </is>
      </c>
      <c r="S46" s="99" t="n">
        <v>2</v>
      </c>
      <c r="T46" s="99" t="n">
        <v>5.6</v>
      </c>
      <c r="U46" s="99" t="inlineStr">
        <is>
          <t>Y</t>
        </is>
      </c>
      <c r="V46" s="99" t="n">
        <v>40.3</v>
      </c>
      <c r="W46" s="99" t="n">
        <v>18</v>
      </c>
      <c r="X46" s="99" t="n">
        <v>56.49</v>
      </c>
      <c r="Y46" s="99" t="n">
        <v>14.2</v>
      </c>
      <c r="Z46" s="99" t="n">
        <v>6</v>
      </c>
      <c r="AA46" s="94" t="inlineStr">
        <is>
          <t>WATCHLIST</t>
        </is>
      </c>
    </row>
    <row r="47">
      <c r="A47" s="97" t="inlineStr">
        <is>
          <t>CRISIL</t>
        </is>
      </c>
      <c r="B47" s="97" t="inlineStr">
        <is>
          <t>CRISIL Ltd.</t>
        </is>
      </c>
      <c r="C47" s="97" t="inlineStr">
        <is>
          <t>Financial Services</t>
        </is>
      </c>
      <c r="D47" s="97" t="inlineStr">
        <is>
          <t>Large/Midcap</t>
        </is>
      </c>
      <c r="E47" s="97" t="n">
        <v>4337.2</v>
      </c>
      <c r="F47" s="97" t="n">
        <v>-1.19</v>
      </c>
      <c r="G47" s="97" t="n">
        <v>84133</v>
      </c>
      <c r="H47" s="97" t="n">
        <v>0.38</v>
      </c>
      <c r="I47" s="97" t="n">
        <v>32808</v>
      </c>
      <c r="J47" s="97" t="inlineStr">
        <is>
          <t>Y</t>
        </is>
      </c>
      <c r="K47" s="97" t="inlineStr">
        <is>
          <t>Y</t>
        </is>
      </c>
      <c r="L47" s="97" t="inlineStr">
        <is>
          <t>Y</t>
        </is>
      </c>
      <c r="M47" s="97" t="n">
        <v>69.40000000000001</v>
      </c>
      <c r="N47" s="97" t="inlineStr">
        <is>
          <t>Y</t>
        </is>
      </c>
      <c r="O47" s="97" t="n">
        <v>132.41</v>
      </c>
      <c r="P47" s="97" t="inlineStr">
        <is>
          <t>N</t>
        </is>
      </c>
      <c r="Q47" s="97" t="inlineStr">
        <is>
          <t>N/A</t>
        </is>
      </c>
      <c r="R47" s="97" t="inlineStr">
        <is>
          <t>N</t>
        </is>
      </c>
      <c r="S47" s="97" t="n">
        <v>6.5</v>
      </c>
      <c r="T47" s="97" t="n">
        <v>1.1</v>
      </c>
      <c r="U47" s="97" t="inlineStr">
        <is>
          <t>Y</t>
        </is>
      </c>
      <c r="V47" s="97" t="n">
        <v>37.1</v>
      </c>
      <c r="W47" s="97" t="n">
        <v>29.1</v>
      </c>
      <c r="X47" s="97" t="n">
        <v>10.23</v>
      </c>
      <c r="Y47" s="97" t="n">
        <v>-7.2</v>
      </c>
      <c r="Z47" s="97" t="n">
        <v>6</v>
      </c>
      <c r="AA47" s="92" t="inlineStr">
        <is>
          <t>WATCHLIST</t>
        </is>
      </c>
    </row>
    <row r="48">
      <c r="A48" s="99" t="inlineStr">
        <is>
          <t>CEMPRO</t>
        </is>
      </c>
      <c r="B48" s="99" t="inlineStr">
        <is>
          <t>Cemindia Projects Ltd.</t>
        </is>
      </c>
      <c r="C48" s="99" t="inlineStr">
        <is>
          <t>Construction</t>
        </is>
      </c>
      <c r="D48" s="99" t="inlineStr">
        <is>
          <t>BSE Smallcap</t>
        </is>
      </c>
      <c r="E48" s="99" t="n">
        <v>1369</v>
      </c>
      <c r="F48" s="99" t="n">
        <v>-5</v>
      </c>
      <c r="G48" s="99" t="n">
        <v>558725</v>
      </c>
      <c r="H48" s="99" t="n">
        <v>1.08</v>
      </c>
      <c r="I48" s="99" t="n">
        <v>23518</v>
      </c>
      <c r="J48" s="99" t="inlineStr">
        <is>
          <t>Y</t>
        </is>
      </c>
      <c r="K48" s="99" t="inlineStr">
        <is>
          <t>Y</t>
        </is>
      </c>
      <c r="L48" s="99" t="inlineStr">
        <is>
          <t>Y</t>
        </is>
      </c>
      <c r="M48" s="99" t="n">
        <v>35.3</v>
      </c>
      <c r="N48" s="99" t="inlineStr">
        <is>
          <t>N</t>
        </is>
      </c>
      <c r="O48" s="99" t="n">
        <v>65.40000000000001</v>
      </c>
      <c r="P48" s="99" t="inlineStr">
        <is>
          <t>N</t>
        </is>
      </c>
      <c r="Q48" s="99" t="inlineStr">
        <is>
          <t>N/A</t>
        </is>
      </c>
      <c r="R48" s="99" t="inlineStr">
        <is>
          <t>N</t>
        </is>
      </c>
      <c r="S48" s="99" t="n">
        <v>13.1</v>
      </c>
      <c r="T48" s="99" t="n">
        <v>68.8</v>
      </c>
      <c r="U48" s="99" t="inlineStr">
        <is>
          <t>Y</t>
        </is>
      </c>
      <c r="V48" s="99" t="n">
        <v>41.5</v>
      </c>
      <c r="W48" s="99" t="n">
        <v>28.2</v>
      </c>
      <c r="X48" s="99" t="n">
        <v>37.71</v>
      </c>
      <c r="Y48" s="99" t="n">
        <v>118.4</v>
      </c>
      <c r="Z48" s="99" t="n">
        <v>6</v>
      </c>
      <c r="AA48" s="94" t="inlineStr">
        <is>
          <t>WATCHLIST</t>
        </is>
      </c>
    </row>
    <row r="49">
      <c r="A49" s="97" t="inlineStr">
        <is>
          <t>CHOICEIN</t>
        </is>
      </c>
      <c r="B49" s="97" t="inlineStr">
        <is>
          <t>Choice International Ltd.</t>
        </is>
      </c>
      <c r="C49" s="97" t="inlineStr">
        <is>
          <t>Financial Services</t>
        </is>
      </c>
      <c r="D49" s="97" t="inlineStr">
        <is>
          <t>BSE Smallcap</t>
        </is>
      </c>
      <c r="E49" s="97" t="n">
        <v>797.15</v>
      </c>
      <c r="F49" s="97" t="n">
        <v>-1.01</v>
      </c>
      <c r="G49" s="97" t="n">
        <v>471316</v>
      </c>
      <c r="H49" s="97" t="n">
        <v>0.75</v>
      </c>
      <c r="I49" s="97" t="n">
        <v>17822</v>
      </c>
      <c r="J49" s="97" t="inlineStr">
        <is>
          <t>Y</t>
        </is>
      </c>
      <c r="K49" s="97" t="inlineStr">
        <is>
          <t>Y</t>
        </is>
      </c>
      <c r="L49" s="97" t="inlineStr">
        <is>
          <t>Y</t>
        </is>
      </c>
      <c r="M49" s="97" t="n">
        <v>51</v>
      </c>
      <c r="N49" s="97" t="inlineStr">
        <is>
          <t>Y</t>
        </is>
      </c>
      <c r="O49" s="97" t="n">
        <v>20.83</v>
      </c>
      <c r="P49" s="97" t="inlineStr">
        <is>
          <t>N</t>
        </is>
      </c>
      <c r="Q49" s="97" t="inlineStr">
        <is>
          <t>N/A</t>
        </is>
      </c>
      <c r="R49" s="97" t="inlineStr">
        <is>
          <t>N</t>
        </is>
      </c>
      <c r="S49" s="97" t="n">
        <v>10.4</v>
      </c>
      <c r="T49" s="97" t="n">
        <v>18.1</v>
      </c>
      <c r="U49" s="97" t="inlineStr">
        <is>
          <t>Y</t>
        </is>
      </c>
      <c r="V49" s="97" t="n">
        <v>71.2</v>
      </c>
      <c r="W49" s="97" t="n">
        <v>16.2</v>
      </c>
      <c r="X49" s="97" t="n">
        <v>49.77</v>
      </c>
      <c r="Y49" s="97" t="n">
        <v>-8.1</v>
      </c>
      <c r="Z49" s="97" t="n">
        <v>6</v>
      </c>
      <c r="AA49" s="92" t="inlineStr">
        <is>
          <t>WATCHLIST</t>
        </is>
      </c>
    </row>
    <row r="50">
      <c r="A50" s="99" t="inlineStr">
        <is>
          <t>CHOLAFIN</t>
        </is>
      </c>
      <c r="B50" s="99" t="inlineStr">
        <is>
          <t>Cholamandalam Investment and Finance Company Ltd.</t>
        </is>
      </c>
      <c r="C50" s="99" t="inlineStr">
        <is>
          <t>Financial Services</t>
        </is>
      </c>
      <c r="D50" s="99" t="inlineStr">
        <is>
          <t>Large/Midcap</t>
        </is>
      </c>
      <c r="E50" s="99" t="n">
        <v>1785.2</v>
      </c>
      <c r="F50" s="99" t="n">
        <v>3.53</v>
      </c>
      <c r="G50" s="99" t="n">
        <v>1963093</v>
      </c>
      <c r="H50" s="99" t="n">
        <v>1.46</v>
      </c>
      <c r="I50" s="99" t="n">
        <v>152458</v>
      </c>
      <c r="J50" s="99" t="inlineStr">
        <is>
          <t>Y</t>
        </is>
      </c>
      <c r="K50" s="99" t="inlineStr">
        <is>
          <t>Y</t>
        </is>
      </c>
      <c r="L50" s="99" t="inlineStr">
        <is>
          <t>Y</t>
        </is>
      </c>
      <c r="M50" s="99" t="n">
        <v>41.2</v>
      </c>
      <c r="N50" s="99" t="inlineStr">
        <is>
          <t>N</t>
        </is>
      </c>
      <c r="O50" s="99" t="n">
        <v>50.69</v>
      </c>
      <c r="P50" s="99" t="inlineStr">
        <is>
          <t>N</t>
        </is>
      </c>
      <c r="Q50" s="99" t="inlineStr">
        <is>
          <t>N/A</t>
        </is>
      </c>
      <c r="R50" s="99" t="inlineStr">
        <is>
          <t>N</t>
        </is>
      </c>
      <c r="S50" s="99" t="n">
        <v>-0.5</v>
      </c>
      <c r="T50" s="99" t="n">
        <v>14.7</v>
      </c>
      <c r="U50" s="99" t="inlineStr">
        <is>
          <t>Y</t>
        </is>
      </c>
      <c r="V50" s="99" t="n">
        <v>27.9</v>
      </c>
      <c r="W50" s="99" t="n">
        <v>19.3</v>
      </c>
      <c r="X50" s="99" t="n">
        <v>695.28</v>
      </c>
      <c r="Y50" s="99" t="n">
        <v>27.5</v>
      </c>
      <c r="Z50" s="99" t="n">
        <v>6</v>
      </c>
      <c r="AA50" s="94" t="inlineStr">
        <is>
          <t>WATCHLIST</t>
        </is>
      </c>
    </row>
    <row r="51">
      <c r="A51" s="97" t="inlineStr">
        <is>
          <t>COLPAL</t>
        </is>
      </c>
      <c r="B51" s="97" t="inlineStr">
        <is>
          <t>Colgate Palmolive (India) Ltd.</t>
        </is>
      </c>
      <c r="C51" s="97" t="inlineStr">
        <is>
          <t>Fast Moving Consumer Goods</t>
        </is>
      </c>
      <c r="D51" s="97" t="inlineStr">
        <is>
          <t>Large/Midcap</t>
        </is>
      </c>
      <c r="E51" s="97" t="n">
        <v>2086.1</v>
      </c>
      <c r="F51" s="97" t="n">
        <v>0.01</v>
      </c>
      <c r="G51" s="97" t="n">
        <v>197445</v>
      </c>
      <c r="H51" s="97" t="n">
        <v>0.83</v>
      </c>
      <c r="I51" s="97" t="n">
        <v>58112</v>
      </c>
      <c r="J51" s="97" t="inlineStr">
        <is>
          <t>Y</t>
        </is>
      </c>
      <c r="K51" s="97" t="inlineStr">
        <is>
          <t>Y</t>
        </is>
      </c>
      <c r="L51" s="97" t="inlineStr">
        <is>
          <t>Y</t>
        </is>
      </c>
      <c r="M51" s="97" t="n">
        <v>51</v>
      </c>
      <c r="N51" s="97" t="inlineStr">
        <is>
          <t>Y</t>
        </is>
      </c>
      <c r="O51" s="97" t="n">
        <v>45.53</v>
      </c>
      <c r="P51" s="97" t="inlineStr">
        <is>
          <t>N</t>
        </is>
      </c>
      <c r="Q51" s="97" t="inlineStr">
        <is>
          <t>N/A</t>
        </is>
      </c>
      <c r="R51" s="97" t="inlineStr">
        <is>
          <t>N</t>
        </is>
      </c>
      <c r="S51" s="97" t="n">
        <v>4.9</v>
      </c>
      <c r="T51" s="97" t="n">
        <v>-0.6</v>
      </c>
      <c r="U51" s="97" t="inlineStr">
        <is>
          <t>N</t>
        </is>
      </c>
      <c r="V51" s="97" t="n">
        <v>43.8</v>
      </c>
      <c r="W51" s="97" t="n">
        <v>81.59999999999999</v>
      </c>
      <c r="X51" s="97" t="n">
        <v>2.99</v>
      </c>
      <c r="Y51" s="97" t="n">
        <v>9.1</v>
      </c>
      <c r="Z51" s="97" t="n">
        <v>6</v>
      </c>
      <c r="AA51" s="92" t="inlineStr">
        <is>
          <t>WATCHLIST</t>
        </is>
      </c>
    </row>
    <row r="52">
      <c r="A52" s="99" t="inlineStr">
        <is>
          <t>DIXON</t>
        </is>
      </c>
      <c r="B52" s="99" t="inlineStr">
        <is>
          <t>Dixon Technologies (India) Ltd.</t>
        </is>
      </c>
      <c r="C52" s="99" t="inlineStr">
        <is>
          <t>Consumer Durables</t>
        </is>
      </c>
      <c r="D52" s="99" t="inlineStr">
        <is>
          <t>Large/Midcap</t>
        </is>
      </c>
      <c r="E52" s="99" t="n">
        <v>13846</v>
      </c>
      <c r="F52" s="99" t="n">
        <v>0.12</v>
      </c>
      <c r="G52" s="99" t="n">
        <v>278708</v>
      </c>
      <c r="H52" s="99" t="n">
        <v>0.72</v>
      </c>
      <c r="I52" s="99" t="n">
        <v>83967</v>
      </c>
      <c r="J52" s="99" t="inlineStr">
        <is>
          <t>Y</t>
        </is>
      </c>
      <c r="K52" s="99" t="inlineStr">
        <is>
          <t>Y</t>
        </is>
      </c>
      <c r="L52" s="99" t="inlineStr">
        <is>
          <t>Y</t>
        </is>
      </c>
      <c r="M52" s="99" t="n">
        <v>57.7</v>
      </c>
      <c r="N52" s="99" t="inlineStr">
        <is>
          <t>Y</t>
        </is>
      </c>
      <c r="O52" s="99" t="n">
        <v>479</v>
      </c>
      <c r="P52" s="99" t="inlineStr">
        <is>
          <t>N</t>
        </is>
      </c>
      <c r="Q52" s="99" t="inlineStr">
        <is>
          <t>N/A</t>
        </is>
      </c>
      <c r="R52" s="99" t="inlineStr">
        <is>
          <t>N</t>
        </is>
      </c>
      <c r="S52" s="99" t="n">
        <v>15.5</v>
      </c>
      <c r="T52" s="99" t="n">
        <v>22.7</v>
      </c>
      <c r="U52" s="99" t="inlineStr">
        <is>
          <t>Y</t>
        </is>
      </c>
      <c r="V52" s="99" t="n">
        <v>51.1</v>
      </c>
      <c r="W52" s="99" t="n">
        <v>37.1</v>
      </c>
      <c r="X52" s="99" t="n">
        <v>18.46</v>
      </c>
      <c r="Y52" s="99" t="n">
        <v>-10.7</v>
      </c>
      <c r="Z52" s="99" t="n">
        <v>6</v>
      </c>
      <c r="AA52" s="94" t="inlineStr">
        <is>
          <t>WATCHLIST</t>
        </is>
      </c>
    </row>
    <row r="53">
      <c r="A53" s="97" t="inlineStr">
        <is>
          <t>DIVISLAB</t>
        </is>
      </c>
      <c r="B53" s="97" t="inlineStr">
        <is>
          <t>Divi's Laboratories Ltd.</t>
        </is>
      </c>
      <c r="C53" s="97" t="inlineStr">
        <is>
          <t>Healthcare</t>
        </is>
      </c>
      <c r="D53" s="97" t="inlineStr">
        <is>
          <t>Large/Midcap</t>
        </is>
      </c>
      <c r="E53" s="97" t="n">
        <v>7414</v>
      </c>
      <c r="F53" s="97" t="n">
        <v>2.28</v>
      </c>
      <c r="G53" s="97" t="n">
        <v>544701</v>
      </c>
      <c r="H53" s="97" t="n">
        <v>1.73</v>
      </c>
      <c r="I53" s="97" t="n">
        <v>196818</v>
      </c>
      <c r="J53" s="97" t="inlineStr">
        <is>
          <t>Y</t>
        </is>
      </c>
      <c r="K53" s="97" t="inlineStr">
        <is>
          <t>Y</t>
        </is>
      </c>
      <c r="L53" s="97" t="inlineStr">
        <is>
          <t>Y</t>
        </is>
      </c>
      <c r="M53" s="97" t="n">
        <v>81.8</v>
      </c>
      <c r="N53" s="97" t="inlineStr">
        <is>
          <t>N</t>
        </is>
      </c>
      <c r="O53" s="97" t="n">
        <v>158.52</v>
      </c>
      <c r="P53" s="97" t="inlineStr">
        <is>
          <t>N</t>
        </is>
      </c>
      <c r="Q53" s="97" t="inlineStr">
        <is>
          <t>N/A</t>
        </is>
      </c>
      <c r="R53" s="97" t="inlineStr">
        <is>
          <t>N</t>
        </is>
      </c>
      <c r="S53" s="97" t="n">
        <v>11.1</v>
      </c>
      <c r="T53" s="97" t="n">
        <v>14.3</v>
      </c>
      <c r="U53" s="97" t="inlineStr">
        <is>
          <t>Y</t>
        </is>
      </c>
      <c r="V53" s="97" t="n">
        <v>75.2</v>
      </c>
      <c r="W53" s="97" t="n">
        <v>16.2</v>
      </c>
      <c r="X53" s="97" t="n">
        <v>0.04</v>
      </c>
      <c r="Y53" s="97" t="n">
        <v>28.8</v>
      </c>
      <c r="Z53" s="97" t="n">
        <v>6</v>
      </c>
      <c r="AA53" s="92" t="inlineStr">
        <is>
          <t>WATCHLIST</t>
        </is>
      </c>
    </row>
    <row r="54">
      <c r="A54" s="99" t="inlineStr">
        <is>
          <t>ENDURANCE</t>
        </is>
      </c>
      <c r="B54" s="99" t="inlineStr">
        <is>
          <t>Endurance Technologies Ltd.</t>
        </is>
      </c>
      <c r="C54" s="99" t="inlineStr">
        <is>
          <t>Automobile and Auto Components</t>
        </is>
      </c>
      <c r="D54" s="99" t="inlineStr">
        <is>
          <t>Large/Midcap</t>
        </is>
      </c>
      <c r="E54" s="99" t="n">
        <v>2634</v>
      </c>
      <c r="F54" s="99" t="n">
        <v>-3.17</v>
      </c>
      <c r="G54" s="99" t="n">
        <v>369867</v>
      </c>
      <c r="H54" s="99" t="n">
        <v>4.45</v>
      </c>
      <c r="I54" s="99" t="n">
        <v>38440</v>
      </c>
      <c r="J54" s="99" t="inlineStr">
        <is>
          <t>Y</t>
        </is>
      </c>
      <c r="K54" s="99" t="inlineStr">
        <is>
          <t>N</t>
        </is>
      </c>
      <c r="L54" s="99" t="inlineStr">
        <is>
          <t>Y</t>
        </is>
      </c>
      <c r="M54" s="99" t="n">
        <v>48</v>
      </c>
      <c r="N54" s="99" t="inlineStr">
        <is>
          <t>N</t>
        </is>
      </c>
      <c r="O54" s="99" t="n">
        <v>77.88</v>
      </c>
      <c r="P54" s="99" t="inlineStr">
        <is>
          <t>Y</t>
        </is>
      </c>
      <c r="Q54" s="99" t="inlineStr">
        <is>
          <t>N/A</t>
        </is>
      </c>
      <c r="R54" s="99" t="inlineStr">
        <is>
          <t>N</t>
        </is>
      </c>
      <c r="S54" s="99" t="n">
        <v>-2.2</v>
      </c>
      <c r="T54" s="99" t="n">
        <v>13.6</v>
      </c>
      <c r="U54" s="99" t="inlineStr">
        <is>
          <t>Y</t>
        </is>
      </c>
      <c r="V54" s="99" t="n">
        <v>40.4</v>
      </c>
      <c r="W54" s="99" t="n">
        <v>15.2</v>
      </c>
      <c r="X54" s="99" t="n">
        <v>19.39</v>
      </c>
      <c r="Y54" s="99" t="n">
        <v>24.7</v>
      </c>
      <c r="Z54" s="99" t="n">
        <v>6</v>
      </c>
      <c r="AA54" s="94" t="inlineStr">
        <is>
          <t>WATCHLIST</t>
        </is>
      </c>
    </row>
    <row r="55">
      <c r="A55" s="97" t="inlineStr">
        <is>
          <t>EXIDEIND</t>
        </is>
      </c>
      <c r="B55" s="97" t="inlineStr">
        <is>
          <t>Exide Industries Ltd.</t>
        </is>
      </c>
      <c r="C55" s="97" t="inlineStr">
        <is>
          <t>Automobile and Auto Components</t>
        </is>
      </c>
      <c r="D55" s="97" t="inlineStr">
        <is>
          <t>Large/Midcap</t>
        </is>
      </c>
      <c r="E55" s="97" t="n">
        <v>427</v>
      </c>
      <c r="F55" s="97" t="n">
        <v>-3.61</v>
      </c>
      <c r="G55" s="97" t="n">
        <v>5848999</v>
      </c>
      <c r="H55" s="97" t="n">
        <v>1.22</v>
      </c>
      <c r="I55" s="97" t="n">
        <v>36295</v>
      </c>
      <c r="J55" s="97" t="inlineStr">
        <is>
          <t>Y</t>
        </is>
      </c>
      <c r="K55" s="97" t="inlineStr">
        <is>
          <t>Y</t>
        </is>
      </c>
      <c r="L55" s="97" t="inlineStr">
        <is>
          <t>Y</t>
        </is>
      </c>
      <c r="M55" s="97" t="n">
        <v>58.6</v>
      </c>
      <c r="N55" s="97" t="inlineStr">
        <is>
          <t>Y</t>
        </is>
      </c>
      <c r="O55" s="97" t="n">
        <v>12.15</v>
      </c>
      <c r="P55" s="97" t="inlineStr">
        <is>
          <t>N</t>
        </is>
      </c>
      <c r="Q55" s="97" t="inlineStr">
        <is>
          <t>N/A</t>
        </is>
      </c>
      <c r="R55" s="97" t="inlineStr">
        <is>
          <t>N</t>
        </is>
      </c>
      <c r="S55" s="97" t="n">
        <v>10.3</v>
      </c>
      <c r="T55" s="97" t="n">
        <v>19.4</v>
      </c>
      <c r="U55" s="97" t="inlineStr">
        <is>
          <t>Y</t>
        </is>
      </c>
      <c r="V55" s="97" t="n">
        <v>42.4</v>
      </c>
      <c r="W55" s="97" t="n">
        <v>6.2</v>
      </c>
      <c r="X55" s="97" t="n">
        <v>11.31</v>
      </c>
      <c r="Y55" s="97" t="n">
        <v>10.9</v>
      </c>
      <c r="Z55" s="97" t="n">
        <v>6</v>
      </c>
      <c r="AA55" s="92" t="inlineStr">
        <is>
          <t>WATCHLIST</t>
        </is>
      </c>
    </row>
    <row r="56">
      <c r="A56" s="99" t="inlineStr">
        <is>
          <t>NYKAA</t>
        </is>
      </c>
      <c r="B56" s="99" t="inlineStr">
        <is>
          <t>FSN E-Commerce Ventures Ltd.</t>
        </is>
      </c>
      <c r="C56" s="99" t="inlineStr">
        <is>
          <t>Consumer Services</t>
        </is>
      </c>
      <c r="D56" s="99" t="inlineStr">
        <is>
          <t>Large/Midcap</t>
        </is>
      </c>
      <c r="E56" s="99" t="n">
        <v>322.8</v>
      </c>
      <c r="F56" s="99" t="n">
        <v>-0.62</v>
      </c>
      <c r="G56" s="99" t="n">
        <v>2040730</v>
      </c>
      <c r="H56" s="99" t="n">
        <v>0.46</v>
      </c>
      <c r="I56" s="99" t="n">
        <v>93578</v>
      </c>
      <c r="J56" s="99" t="inlineStr">
        <is>
          <t>Y</t>
        </is>
      </c>
      <c r="K56" s="99" t="inlineStr">
        <is>
          <t>Y</t>
        </is>
      </c>
      <c r="L56" s="99" t="inlineStr">
        <is>
          <t>Y</t>
        </is>
      </c>
      <c r="M56" s="99" t="n">
        <v>60.8</v>
      </c>
      <c r="N56" s="99" t="inlineStr">
        <is>
          <t>Y</t>
        </is>
      </c>
      <c r="O56" s="99" t="n">
        <v>7.51</v>
      </c>
      <c r="P56" s="99" t="inlineStr">
        <is>
          <t>N</t>
        </is>
      </c>
      <c r="Q56" s="99" t="inlineStr">
        <is>
          <t>N/A</t>
        </is>
      </c>
      <c r="R56" s="99" t="inlineStr">
        <is>
          <t>N</t>
        </is>
      </c>
      <c r="S56" s="99" t="n">
        <v>7.4</v>
      </c>
      <c r="T56" s="99" t="n">
        <v>20.9</v>
      </c>
      <c r="U56" s="99" t="inlineStr">
        <is>
          <t>Y</t>
        </is>
      </c>
      <c r="V56" s="99" t="n">
        <v>460.2</v>
      </c>
      <c r="W56" s="99" t="n">
        <v>14.3</v>
      </c>
      <c r="X56" s="99" t="n">
        <v>82.41</v>
      </c>
      <c r="Y56" s="99" t="n">
        <v>23.8</v>
      </c>
      <c r="Z56" s="99" t="n">
        <v>6</v>
      </c>
      <c r="AA56" s="94" t="inlineStr">
        <is>
          <t>WATCHLIST</t>
        </is>
      </c>
    </row>
    <row r="57">
      <c r="A57" s="97" t="inlineStr">
        <is>
          <t>FSL</t>
        </is>
      </c>
      <c r="B57" s="97" t="inlineStr">
        <is>
          <t>Firstsource Solutions Ltd.</t>
        </is>
      </c>
      <c r="C57" s="97" t="inlineStr">
        <is>
          <t>Services</t>
        </is>
      </c>
      <c r="D57" s="97" t="inlineStr">
        <is>
          <t>BSE Smallcap</t>
        </is>
      </c>
      <c r="E57" s="97" t="n">
        <v>253.58</v>
      </c>
      <c r="F57" s="97" t="n">
        <v>-0.92</v>
      </c>
      <c r="G57" s="97" t="n">
        <v>710618</v>
      </c>
      <c r="H57" s="97" t="n">
        <v>1.2</v>
      </c>
      <c r="I57" s="97" t="n">
        <v>18108</v>
      </c>
      <c r="J57" s="97" t="inlineStr">
        <is>
          <t>Y</t>
        </is>
      </c>
      <c r="K57" s="97" t="inlineStr">
        <is>
          <t>Y</t>
        </is>
      </c>
      <c r="L57" s="97" t="inlineStr">
        <is>
          <t>N</t>
        </is>
      </c>
      <c r="M57" s="97" t="n">
        <v>53.5</v>
      </c>
      <c r="N57" s="97" t="inlineStr">
        <is>
          <t>Y</t>
        </is>
      </c>
      <c r="O57" s="97" t="n">
        <v>9.369999999999999</v>
      </c>
      <c r="P57" s="97" t="inlineStr">
        <is>
          <t>N</t>
        </is>
      </c>
      <c r="Q57" s="97" t="inlineStr">
        <is>
          <t>N/A</t>
        </is>
      </c>
      <c r="R57" s="97" t="inlineStr">
        <is>
          <t>N</t>
        </is>
      </c>
      <c r="S57" s="97" t="n">
        <v>4.4</v>
      </c>
      <c r="T57" s="97" t="n">
        <v>18.6</v>
      </c>
      <c r="U57" s="97" t="inlineStr">
        <is>
          <t>Y</t>
        </is>
      </c>
      <c r="V57" s="97" t="n">
        <v>27.4</v>
      </c>
      <c r="W57" s="97" t="n">
        <v>15.9</v>
      </c>
      <c r="X57" s="97" t="n">
        <v>67.14</v>
      </c>
      <c r="Y57" s="97" t="n">
        <v>70.59999999999999</v>
      </c>
      <c r="Z57" s="97" t="n">
        <v>6</v>
      </c>
      <c r="AA57" s="92" t="inlineStr">
        <is>
          <t>WATCHLIST</t>
        </is>
      </c>
    </row>
    <row r="58">
      <c r="A58" s="99" t="inlineStr">
        <is>
          <t>GABRIEL</t>
        </is>
      </c>
      <c r="B58" s="99" t="inlineStr">
        <is>
          <t>Gabriel India Ltd.</t>
        </is>
      </c>
      <c r="C58" s="99" t="inlineStr">
        <is>
          <t>Automobile and Auto Components</t>
        </is>
      </c>
      <c r="D58" s="99" t="inlineStr">
        <is>
          <t>BSE Smallcap</t>
        </is>
      </c>
      <c r="E58" s="99" t="n">
        <v>1437.8</v>
      </c>
      <c r="F58" s="99" t="n">
        <v>5.45</v>
      </c>
      <c r="G58" s="99" t="n">
        <v>662635</v>
      </c>
      <c r="H58" s="99" t="n">
        <v>0.52</v>
      </c>
      <c r="I58" s="99" t="n">
        <v>25482</v>
      </c>
      <c r="J58" s="99" t="inlineStr">
        <is>
          <t>Y</t>
        </is>
      </c>
      <c r="K58" s="99" t="inlineStr">
        <is>
          <t>Y</t>
        </is>
      </c>
      <c r="L58" s="99" t="inlineStr">
        <is>
          <t>Y</t>
        </is>
      </c>
      <c r="M58" s="99" t="n">
        <v>64.7</v>
      </c>
      <c r="N58" s="99" t="inlineStr">
        <is>
          <t>Y</t>
        </is>
      </c>
      <c r="O58" s="99" t="n">
        <v>73.61</v>
      </c>
      <c r="P58" s="99" t="inlineStr">
        <is>
          <t>N</t>
        </is>
      </c>
      <c r="Q58" s="99" t="inlineStr">
        <is>
          <t>N/A</t>
        </is>
      </c>
      <c r="R58" s="99" t="inlineStr">
        <is>
          <t>N</t>
        </is>
      </c>
      <c r="S58" s="99" t="n">
        <v>17.2</v>
      </c>
      <c r="T58" s="99" t="n">
        <v>40.6</v>
      </c>
      <c r="U58" s="99" t="inlineStr">
        <is>
          <t>Y</t>
        </is>
      </c>
      <c r="V58" s="99" t="n">
        <v>76.90000000000001</v>
      </c>
      <c r="W58" s="99" t="inlineStr">
        <is>
          <t>N/A</t>
        </is>
      </c>
      <c r="X58" s="99" t="n">
        <v>10.64</v>
      </c>
      <c r="Y58" s="99" t="n">
        <v>61.2</v>
      </c>
      <c r="Z58" s="99" t="n">
        <v>6</v>
      </c>
      <c r="AA58" s="94" t="inlineStr">
        <is>
          <t>WATCHLIST</t>
        </is>
      </c>
    </row>
    <row r="59">
      <c r="A59" s="97" t="inlineStr">
        <is>
          <t>GLAXO</t>
        </is>
      </c>
      <c r="B59" s="97" t="inlineStr">
        <is>
          <t>Glaxosmithkline Pharmaceuticals Ltd.</t>
        </is>
      </c>
      <c r="C59" s="97" t="inlineStr">
        <is>
          <t>Healthcare</t>
        </is>
      </c>
      <c r="D59" s="97" t="inlineStr">
        <is>
          <t>Large/Midcap</t>
        </is>
      </c>
      <c r="E59" s="97" t="n">
        <v>2514.3</v>
      </c>
      <c r="F59" s="97" t="n">
        <v>0.77</v>
      </c>
      <c r="G59" s="97" t="n">
        <v>63793</v>
      </c>
      <c r="H59" s="97" t="n">
        <v>0.9399999999999999</v>
      </c>
      <c r="I59" s="97" t="n">
        <v>43219</v>
      </c>
      <c r="J59" s="97" t="inlineStr">
        <is>
          <t>Y</t>
        </is>
      </c>
      <c r="K59" s="97" t="inlineStr">
        <is>
          <t>Y</t>
        </is>
      </c>
      <c r="L59" s="97" t="inlineStr">
        <is>
          <t>Y</t>
        </is>
      </c>
      <c r="M59" s="97" t="n">
        <v>65.09999999999999</v>
      </c>
      <c r="N59" s="97" t="inlineStr">
        <is>
          <t>Y</t>
        </is>
      </c>
      <c r="O59" s="97" t="n">
        <v>59.94</v>
      </c>
      <c r="P59" s="97" t="inlineStr">
        <is>
          <t>N</t>
        </is>
      </c>
      <c r="Q59" s="97" t="inlineStr">
        <is>
          <t>N/A</t>
        </is>
      </c>
      <c r="R59" s="97" t="inlineStr">
        <is>
          <t>N</t>
        </is>
      </c>
      <c r="S59" s="97" t="n">
        <v>7</v>
      </c>
      <c r="T59" s="97" t="n">
        <v>9.300000000000001</v>
      </c>
      <c r="U59" s="97" t="inlineStr">
        <is>
          <t>Y</t>
        </is>
      </c>
      <c r="V59" s="97" t="n">
        <v>41.8</v>
      </c>
      <c r="W59" s="97" t="n">
        <v>49.1</v>
      </c>
      <c r="X59" s="97" t="n">
        <v>1.47</v>
      </c>
      <c r="Y59" s="97" t="n">
        <v>-6</v>
      </c>
      <c r="Z59" s="97" t="n">
        <v>6</v>
      </c>
      <c r="AA59" s="92" t="inlineStr">
        <is>
          <t>WATCHLIST</t>
        </is>
      </c>
    </row>
    <row r="60">
      <c r="A60" s="99" t="inlineStr">
        <is>
          <t>GODREJPROP</t>
        </is>
      </c>
      <c r="B60" s="99" t="inlineStr">
        <is>
          <t>Godrej Properties Ltd.</t>
        </is>
      </c>
      <c r="C60" s="99" t="inlineStr">
        <is>
          <t>Realty</t>
        </is>
      </c>
      <c r="D60" s="99" t="inlineStr">
        <is>
          <t>Large/Midcap</t>
        </is>
      </c>
      <c r="E60" s="99" t="n">
        <v>2068.8</v>
      </c>
      <c r="F60" s="99" t="n">
        <v>2.47</v>
      </c>
      <c r="G60" s="99" t="n">
        <v>732918</v>
      </c>
      <c r="H60" s="99" t="n">
        <v>0.86</v>
      </c>
      <c r="I60" s="99" t="n">
        <v>62619</v>
      </c>
      <c r="J60" s="99" t="inlineStr">
        <is>
          <t>Y</t>
        </is>
      </c>
      <c r="K60" s="99" t="inlineStr">
        <is>
          <t>Y</t>
        </is>
      </c>
      <c r="L60" s="99" t="inlineStr">
        <is>
          <t>Y</t>
        </is>
      </c>
      <c r="M60" s="99" t="n">
        <v>53.1</v>
      </c>
      <c r="N60" s="99" t="inlineStr">
        <is>
          <t>Y</t>
        </is>
      </c>
      <c r="O60" s="99" t="n">
        <v>72.34</v>
      </c>
      <c r="P60" s="99" t="inlineStr">
        <is>
          <t>N</t>
        </is>
      </c>
      <c r="Q60" s="99" t="inlineStr">
        <is>
          <t>N/A</t>
        </is>
      </c>
      <c r="R60" s="99" t="inlineStr">
        <is>
          <t>N</t>
        </is>
      </c>
      <c r="S60" s="99" t="n">
        <v>12.6</v>
      </c>
      <c r="T60" s="99" t="n">
        <v>13.7</v>
      </c>
      <c r="U60" s="99" t="inlineStr">
        <is>
          <t>Y</t>
        </is>
      </c>
      <c r="V60" s="99" t="n">
        <v>33</v>
      </c>
      <c r="W60" s="99" t="n">
        <v>10</v>
      </c>
      <c r="X60" s="99" t="n">
        <v>82.12</v>
      </c>
      <c r="Y60" s="99" t="n">
        <v>233</v>
      </c>
      <c r="Z60" s="99" t="n">
        <v>6</v>
      </c>
      <c r="AA60" s="94" t="inlineStr">
        <is>
          <t>WATCHLIST</t>
        </is>
      </c>
    </row>
    <row r="61">
      <c r="A61" s="97" t="inlineStr">
        <is>
          <t>GODFRYPHLP</t>
        </is>
      </c>
      <c r="B61" s="97" t="inlineStr">
        <is>
          <t>Godfrey Phillips India Ltd.</t>
        </is>
      </c>
      <c r="C61" s="97" t="inlineStr">
        <is>
          <t>Fast Moving Consumer Goods</t>
        </is>
      </c>
      <c r="D61" s="97" t="inlineStr">
        <is>
          <t>Large/Midcap</t>
        </is>
      </c>
      <c r="E61" s="97" t="n">
        <v>2210.5</v>
      </c>
      <c r="F61" s="97" t="n">
        <v>3.8</v>
      </c>
      <c r="G61" s="97" t="n">
        <v>1459627</v>
      </c>
      <c r="H61" s="97" t="n">
        <v>5.38</v>
      </c>
      <c r="I61" s="97" t="n">
        <v>34480</v>
      </c>
      <c r="J61" s="97" t="inlineStr">
        <is>
          <t>Y</t>
        </is>
      </c>
      <c r="K61" s="97" t="inlineStr">
        <is>
          <t>Y</t>
        </is>
      </c>
      <c r="L61" s="97" t="inlineStr">
        <is>
          <t>N</t>
        </is>
      </c>
      <c r="M61" s="97" t="n">
        <v>58.1</v>
      </c>
      <c r="N61" s="97" t="inlineStr">
        <is>
          <t>Y</t>
        </is>
      </c>
      <c r="O61" s="97" t="n">
        <v>55</v>
      </c>
      <c r="P61" s="97" t="inlineStr">
        <is>
          <t>Y</t>
        </is>
      </c>
      <c r="Q61" s="97" t="inlineStr">
        <is>
          <t>N/A</t>
        </is>
      </c>
      <c r="R61" s="97" t="inlineStr">
        <is>
          <t>N</t>
        </is>
      </c>
      <c r="S61" s="97" t="n">
        <v>-1.4</v>
      </c>
      <c r="T61" s="97" t="n">
        <v>-1.4</v>
      </c>
      <c r="U61" s="97" t="inlineStr">
        <is>
          <t>N</t>
        </is>
      </c>
      <c r="V61" s="97" t="n">
        <v>21.8</v>
      </c>
      <c r="W61" s="97" t="n">
        <v>26.6</v>
      </c>
      <c r="X61" s="97" t="n">
        <v>3.76</v>
      </c>
      <c r="Y61" s="97" t="n">
        <v>51.9</v>
      </c>
      <c r="Z61" s="97" t="n">
        <v>6</v>
      </c>
      <c r="AA61" s="92" t="inlineStr">
        <is>
          <t>WATCHLIST</t>
        </is>
      </c>
    </row>
    <row r="62">
      <c r="A62" s="99" t="inlineStr">
        <is>
          <t>GODREJIND</t>
        </is>
      </c>
      <c r="B62" s="99" t="inlineStr">
        <is>
          <t>Godrej Industries Ltd.</t>
        </is>
      </c>
      <c r="C62" s="99" t="inlineStr">
        <is>
          <t>Diversified</t>
        </is>
      </c>
      <c r="D62" s="99" t="inlineStr">
        <is>
          <t>Large/Midcap</t>
        </is>
      </c>
      <c r="E62" s="99" t="n">
        <v>1332.2</v>
      </c>
      <c r="F62" s="99" t="n">
        <v>-1</v>
      </c>
      <c r="G62" s="99" t="n">
        <v>60119</v>
      </c>
      <c r="H62" s="99" t="n">
        <v>0.59</v>
      </c>
      <c r="I62" s="99" t="n">
        <v>44899</v>
      </c>
      <c r="J62" s="99" t="inlineStr">
        <is>
          <t>Y</t>
        </is>
      </c>
      <c r="K62" s="99" t="inlineStr">
        <is>
          <t>Y</t>
        </is>
      </c>
      <c r="L62" s="99" t="inlineStr">
        <is>
          <t>Y</t>
        </is>
      </c>
      <c r="M62" s="99" t="n">
        <v>63.1</v>
      </c>
      <c r="N62" s="99" t="inlineStr">
        <is>
          <t>Y</t>
        </is>
      </c>
      <c r="O62" s="99" t="n">
        <v>58.1</v>
      </c>
      <c r="P62" s="99" t="inlineStr">
        <is>
          <t>N</t>
        </is>
      </c>
      <c r="Q62" s="99" t="inlineStr">
        <is>
          <t>N/A</t>
        </is>
      </c>
      <c r="R62" s="99" t="inlineStr">
        <is>
          <t>N</t>
        </is>
      </c>
      <c r="S62" s="99" t="n">
        <v>15</v>
      </c>
      <c r="T62" s="99" t="n">
        <v>39.2</v>
      </c>
      <c r="U62" s="99" t="inlineStr">
        <is>
          <t>Y</t>
        </is>
      </c>
      <c r="V62" s="99" t="n">
        <v>36.2</v>
      </c>
      <c r="W62" s="99" t="n">
        <v>10.8</v>
      </c>
      <c r="X62" s="99" t="n">
        <v>222.41</v>
      </c>
      <c r="Y62" s="99" t="n">
        <v>117.2</v>
      </c>
      <c r="Z62" s="99" t="n">
        <v>6</v>
      </c>
      <c r="AA62" s="94" t="inlineStr">
        <is>
          <t>WATCHLIST</t>
        </is>
      </c>
    </row>
    <row r="63">
      <c r="A63" s="97" t="inlineStr">
        <is>
          <t>GRAVITA</t>
        </is>
      </c>
      <c r="B63" s="97" t="inlineStr">
        <is>
          <t>Gravita India Ltd.</t>
        </is>
      </c>
      <c r="C63" s="97" t="inlineStr">
        <is>
          <t>Metals &amp; Mining</t>
        </is>
      </c>
      <c r="D63" s="97" t="inlineStr">
        <is>
          <t>BSE Smallcap</t>
        </is>
      </c>
      <c r="E63" s="97" t="n">
        <v>1788.8</v>
      </c>
      <c r="F63" s="97" t="n">
        <v>0.74</v>
      </c>
      <c r="G63" s="97" t="n">
        <v>135647</v>
      </c>
      <c r="H63" s="97" t="n">
        <v>0.78</v>
      </c>
      <c r="I63" s="97" t="n">
        <v>13029</v>
      </c>
      <c r="J63" s="97" t="inlineStr">
        <is>
          <t>Y</t>
        </is>
      </c>
      <c r="K63" s="97" t="inlineStr">
        <is>
          <t>Y</t>
        </is>
      </c>
      <c r="L63" s="97" t="inlineStr">
        <is>
          <t>Y</t>
        </is>
      </c>
      <c r="M63" s="97" t="n">
        <v>50.2</v>
      </c>
      <c r="N63" s="97" t="inlineStr">
        <is>
          <t>Y</t>
        </is>
      </c>
      <c r="O63" s="97" t="n">
        <v>57.29</v>
      </c>
      <c r="P63" s="97" t="inlineStr">
        <is>
          <t>N</t>
        </is>
      </c>
      <c r="Q63" s="97" t="inlineStr">
        <is>
          <t>N/A</t>
        </is>
      </c>
      <c r="R63" s="97" t="inlineStr">
        <is>
          <t>N</t>
        </is>
      </c>
      <c r="S63" s="97" t="n">
        <v>7.3</v>
      </c>
      <c r="T63" s="97" t="n">
        <v>10.1</v>
      </c>
      <c r="U63" s="97" t="inlineStr">
        <is>
          <t>Y</t>
        </is>
      </c>
      <c r="V63" s="97" t="n">
        <v>34.1</v>
      </c>
      <c r="W63" s="97" t="n">
        <v>16.7</v>
      </c>
      <c r="X63" s="97" t="n">
        <v>29.93</v>
      </c>
      <c r="Y63" s="97" t="n">
        <v>-5.9</v>
      </c>
      <c r="Z63" s="97" t="n">
        <v>6</v>
      </c>
      <c r="AA63" s="92" t="inlineStr">
        <is>
          <t>WATCHLIST</t>
        </is>
      </c>
    </row>
    <row r="64">
      <c r="A64" s="99" t="inlineStr">
        <is>
          <t>HEROMOTOCO</t>
        </is>
      </c>
      <c r="B64" s="99" t="inlineStr">
        <is>
          <t>Hero MotoCorp Ltd.</t>
        </is>
      </c>
      <c r="C64" s="99" t="inlineStr">
        <is>
          <t>Automobile and Auto Components</t>
        </is>
      </c>
      <c r="D64" s="99" t="inlineStr">
        <is>
          <t>Large/Midcap</t>
        </is>
      </c>
      <c r="E64" s="99" t="n">
        <v>5113.8</v>
      </c>
      <c r="F64" s="99" t="n">
        <v>2.05</v>
      </c>
      <c r="G64" s="99" t="n">
        <v>564495</v>
      </c>
      <c r="H64" s="99" t="n">
        <v>0.53</v>
      </c>
      <c r="I64" s="99" t="n">
        <v>102324</v>
      </c>
      <c r="J64" s="99" t="inlineStr">
        <is>
          <t>Y</t>
        </is>
      </c>
      <c r="K64" s="99" t="inlineStr">
        <is>
          <t>Y</t>
        </is>
      </c>
      <c r="L64" s="99" t="inlineStr">
        <is>
          <t>N</t>
        </is>
      </c>
      <c r="M64" s="99" t="n">
        <v>61.8</v>
      </c>
      <c r="N64" s="99" t="inlineStr">
        <is>
          <t>Y</t>
        </is>
      </c>
      <c r="O64" s="99" t="n">
        <v>101.48</v>
      </c>
      <c r="P64" s="99" t="inlineStr">
        <is>
          <t>N</t>
        </is>
      </c>
      <c r="Q64" s="99" t="inlineStr">
        <is>
          <t>N/A</t>
        </is>
      </c>
      <c r="R64" s="99" t="inlineStr">
        <is>
          <t>N</t>
        </is>
      </c>
      <c r="S64" s="99" t="n">
        <v>6.2</v>
      </c>
      <c r="T64" s="99" t="n">
        <v>2.2</v>
      </c>
      <c r="U64" s="99" t="inlineStr">
        <is>
          <t>Y</t>
        </is>
      </c>
      <c r="V64" s="99" t="n">
        <v>17.5</v>
      </c>
      <c r="W64" s="99" t="n">
        <v>28</v>
      </c>
      <c r="X64" s="99" t="n">
        <v>3.57</v>
      </c>
      <c r="Y64" s="99" t="n">
        <v>15.2</v>
      </c>
      <c r="Z64" s="99" t="n">
        <v>6</v>
      </c>
      <c r="AA64" s="94" t="inlineStr">
        <is>
          <t>WATCHLIST</t>
        </is>
      </c>
    </row>
    <row r="65">
      <c r="A65" s="97" t="inlineStr">
        <is>
          <t>HAL</t>
        </is>
      </c>
      <c r="B65" s="97" t="inlineStr">
        <is>
          <t>Hindustan Aeronautics Ltd.</t>
        </is>
      </c>
      <c r="C65" s="97" t="inlineStr">
        <is>
          <t>Capital Goods</t>
        </is>
      </c>
      <c r="D65" s="97" t="inlineStr">
        <is>
          <t>Large/Midcap</t>
        </is>
      </c>
      <c r="E65" s="97" t="n">
        <v>4619</v>
      </c>
      <c r="F65" s="97" t="n">
        <v>1</v>
      </c>
      <c r="G65" s="97" t="n">
        <v>694103</v>
      </c>
      <c r="H65" s="97" t="n">
        <v>1</v>
      </c>
      <c r="I65" s="97" t="n">
        <v>308907</v>
      </c>
      <c r="J65" s="97" t="inlineStr">
        <is>
          <t>Y</t>
        </is>
      </c>
      <c r="K65" s="97" t="inlineStr">
        <is>
          <t>Y</t>
        </is>
      </c>
      <c r="L65" s="97" t="inlineStr">
        <is>
          <t>Y</t>
        </is>
      </c>
      <c r="M65" s="97" t="n">
        <v>70.09999999999999</v>
      </c>
      <c r="N65" s="97" t="inlineStr">
        <is>
          <t>N</t>
        </is>
      </c>
      <c r="O65" s="97" t="n">
        <v>88.26000000000001</v>
      </c>
      <c r="P65" s="97" t="inlineStr">
        <is>
          <t>N</t>
        </is>
      </c>
      <c r="Q65" s="97" t="inlineStr">
        <is>
          <t>N/A</t>
        </is>
      </c>
      <c r="R65" s="97" t="inlineStr">
        <is>
          <t>N</t>
        </is>
      </c>
      <c r="S65" s="97" t="n">
        <v>6</v>
      </c>
      <c r="T65" s="97" t="n">
        <v>6.9</v>
      </c>
      <c r="U65" s="97" t="inlineStr">
        <is>
          <t>Y</t>
        </is>
      </c>
      <c r="V65" s="97" t="n">
        <v>33.6</v>
      </c>
      <c r="W65" s="97" t="n">
        <v>24</v>
      </c>
      <c r="X65" s="97" t="n">
        <v>0.03</v>
      </c>
      <c r="Y65" s="97" t="n">
        <v>124.8</v>
      </c>
      <c r="Z65" s="97" t="n">
        <v>6</v>
      </c>
      <c r="AA65" s="92" t="inlineStr">
        <is>
          <t>WATCHLIST</t>
        </is>
      </c>
    </row>
    <row r="66">
      <c r="A66" s="99" t="inlineStr">
        <is>
          <t>HEXT</t>
        </is>
      </c>
      <c r="B66" s="99" t="inlineStr">
        <is>
          <t>Hexaware Technologies Ltd.</t>
        </is>
      </c>
      <c r="C66" s="99" t="inlineStr">
        <is>
          <t>Information Technology</t>
        </is>
      </c>
      <c r="D66" s="99" t="inlineStr">
        <is>
          <t>Large/Midcap</t>
        </is>
      </c>
      <c r="E66" s="99" t="n">
        <v>551.85</v>
      </c>
      <c r="F66" s="99" t="n">
        <v>2.06</v>
      </c>
      <c r="G66" s="99" t="n">
        <v>152303</v>
      </c>
      <c r="H66" s="99" t="n">
        <v>0.85</v>
      </c>
      <c r="I66" s="99" t="n">
        <v>34309</v>
      </c>
      <c r="J66" s="99" t="inlineStr">
        <is>
          <t>Y</t>
        </is>
      </c>
      <c r="K66" s="99" t="inlineStr">
        <is>
          <t>Y</t>
        </is>
      </c>
      <c r="L66" s="99" t="inlineStr">
        <is>
          <t>N</t>
        </is>
      </c>
      <c r="M66" s="99" t="n">
        <v>55.7</v>
      </c>
      <c r="N66" s="99" t="inlineStr">
        <is>
          <t>Y</t>
        </is>
      </c>
      <c r="O66" s="99" t="n">
        <v>23.87</v>
      </c>
      <c r="P66" s="99" t="inlineStr">
        <is>
          <t>N</t>
        </is>
      </c>
      <c r="Q66" s="99" t="inlineStr">
        <is>
          <t>N/A</t>
        </is>
      </c>
      <c r="R66" s="99" t="inlineStr">
        <is>
          <t>N</t>
        </is>
      </c>
      <c r="S66" s="99" t="n">
        <v>11.8</v>
      </c>
      <c r="T66" s="99" t="n">
        <v>24.3</v>
      </c>
      <c r="U66" s="99" t="inlineStr">
        <is>
          <t>Y</t>
        </is>
      </c>
      <c r="V66" s="99" t="n">
        <v>24.9</v>
      </c>
      <c r="W66" s="99" t="n">
        <v>22.3</v>
      </c>
      <c r="X66" s="99" t="n">
        <v>10.52</v>
      </c>
      <c r="Y66" s="99" t="n">
        <v>20.5</v>
      </c>
      <c r="Z66" s="99" t="n">
        <v>6</v>
      </c>
      <c r="AA66" s="94" t="inlineStr">
        <is>
          <t>WATCHLIST</t>
        </is>
      </c>
    </row>
    <row r="67">
      <c r="A67" s="97" t="inlineStr">
        <is>
          <t>HONASA</t>
        </is>
      </c>
      <c r="B67" s="97" t="inlineStr">
        <is>
          <t>Honasa Consumer Ltd.</t>
        </is>
      </c>
      <c r="C67" s="97" t="inlineStr">
        <is>
          <t>Fast Moving Consumer Goods</t>
        </is>
      </c>
      <c r="D67" s="97" t="inlineStr">
        <is>
          <t>BSE Smallcap</t>
        </is>
      </c>
      <c r="E67" s="97" t="n">
        <v>448.6</v>
      </c>
      <c r="F67" s="97" t="n">
        <v>0.71</v>
      </c>
      <c r="G67" s="97" t="n">
        <v>579025</v>
      </c>
      <c r="H67" s="97" t="n">
        <v>0.75</v>
      </c>
      <c r="I67" s="97" t="n">
        <v>14761</v>
      </c>
      <c r="J67" s="97" t="inlineStr">
        <is>
          <t>Y</t>
        </is>
      </c>
      <c r="K67" s="97" t="inlineStr">
        <is>
          <t>Y</t>
        </is>
      </c>
      <c r="L67" s="97" t="inlineStr">
        <is>
          <t>Y</t>
        </is>
      </c>
      <c r="M67" s="97" t="n">
        <v>32.1</v>
      </c>
      <c r="N67" s="97" t="inlineStr">
        <is>
          <t>N</t>
        </is>
      </c>
      <c r="O67" s="97" t="n">
        <v>14.82</v>
      </c>
      <c r="P67" s="97" t="inlineStr">
        <is>
          <t>N</t>
        </is>
      </c>
      <c r="Q67" s="97" t="inlineStr">
        <is>
          <t>N/A</t>
        </is>
      </c>
      <c r="R67" s="97" t="inlineStr">
        <is>
          <t>N</t>
        </is>
      </c>
      <c r="S67" s="97" t="n">
        <v>7.6</v>
      </c>
      <c r="T67" s="97" t="n">
        <v>30</v>
      </c>
      <c r="U67" s="97" t="inlineStr">
        <is>
          <t>Y</t>
        </is>
      </c>
      <c r="V67" s="97" t="n">
        <v>74.2</v>
      </c>
      <c r="W67" s="97" t="n">
        <v>15.4</v>
      </c>
      <c r="X67" s="97" t="n">
        <v>9.59</v>
      </c>
      <c r="Y67" s="97" t="n">
        <v>37.8</v>
      </c>
      <c r="Z67" s="97" t="n">
        <v>6</v>
      </c>
      <c r="AA67" s="92" t="inlineStr">
        <is>
          <t>WATCHLIST</t>
        </is>
      </c>
    </row>
    <row r="68">
      <c r="A68" s="99" t="inlineStr">
        <is>
          <t>HOMEFIRST</t>
        </is>
      </c>
      <c r="B68" s="99" t="inlineStr">
        <is>
          <t>Home First Finance Company India Ltd.</t>
        </is>
      </c>
      <c r="C68" s="99" t="inlineStr">
        <is>
          <t>Financial Services</t>
        </is>
      </c>
      <c r="D68" s="99" t="inlineStr">
        <is>
          <t>BSE Smallcap</t>
        </is>
      </c>
      <c r="E68" s="99" t="n">
        <v>1174</v>
      </c>
      <c r="F68" s="99" t="n">
        <v>-2.35</v>
      </c>
      <c r="G68" s="99" t="n">
        <v>259050</v>
      </c>
      <c r="H68" s="99" t="n">
        <v>1.1</v>
      </c>
      <c r="I68" s="99" t="n">
        <v>12361</v>
      </c>
      <c r="J68" s="99" t="inlineStr">
        <is>
          <t>Y</t>
        </is>
      </c>
      <c r="K68" s="99" t="inlineStr">
        <is>
          <t>Y</t>
        </is>
      </c>
      <c r="L68" s="99" t="inlineStr">
        <is>
          <t>Y</t>
        </is>
      </c>
      <c r="M68" s="99" t="n">
        <v>47.4</v>
      </c>
      <c r="N68" s="99" t="inlineStr">
        <is>
          <t>N</t>
        </is>
      </c>
      <c r="O68" s="99" t="n">
        <v>42.26</v>
      </c>
      <c r="P68" s="99" t="inlineStr">
        <is>
          <t>N</t>
        </is>
      </c>
      <c r="Q68" s="99" t="inlineStr">
        <is>
          <t>N/A</t>
        </is>
      </c>
      <c r="R68" s="99" t="inlineStr">
        <is>
          <t>N</t>
        </is>
      </c>
      <c r="S68" s="99" t="n">
        <v>-1.2</v>
      </c>
      <c r="T68" s="99" t="n">
        <v>5.4</v>
      </c>
      <c r="U68" s="99" t="inlineStr">
        <is>
          <t>Y</t>
        </is>
      </c>
      <c r="V68" s="99" t="n">
        <v>22.9</v>
      </c>
      <c r="W68" s="99" t="n">
        <v>15.7</v>
      </c>
      <c r="X68" s="99" t="n">
        <v>243.94</v>
      </c>
      <c r="Y68" s="99" t="n">
        <v>6.6</v>
      </c>
      <c r="Z68" s="99" t="n">
        <v>6</v>
      </c>
      <c r="AA68" s="94" t="inlineStr">
        <is>
          <t>WATCHLIST</t>
        </is>
      </c>
    </row>
    <row r="69">
      <c r="A69" s="97" t="inlineStr">
        <is>
          <t>IDFCFIRSTB</t>
        </is>
      </c>
      <c r="B69" s="97" t="inlineStr">
        <is>
          <t>IDFC First Bank Ltd.</t>
        </is>
      </c>
      <c r="C69" s="97" t="inlineStr">
        <is>
          <t>Financial Services</t>
        </is>
      </c>
      <c r="D69" s="97" t="inlineStr">
        <is>
          <t>Large/Midcap</t>
        </is>
      </c>
      <c r="E69" s="97" t="n">
        <v>84.88</v>
      </c>
      <c r="F69" s="97" t="n">
        <v>5.06</v>
      </c>
      <c r="G69" s="97" t="n">
        <v>177923165</v>
      </c>
      <c r="H69" s="97" t="n">
        <v>12.92</v>
      </c>
      <c r="I69" s="97" t="n">
        <v>73140</v>
      </c>
      <c r="J69" s="97" t="inlineStr">
        <is>
          <t>Y</t>
        </is>
      </c>
      <c r="K69" s="97" t="inlineStr">
        <is>
          <t>Y</t>
        </is>
      </c>
      <c r="L69" s="97" t="inlineStr">
        <is>
          <t>Y</t>
        </is>
      </c>
      <c r="M69" s="97" t="n">
        <v>63.1</v>
      </c>
      <c r="N69" s="97" t="inlineStr">
        <is>
          <t>Y</t>
        </is>
      </c>
      <c r="O69" s="97" t="n">
        <v>2.2</v>
      </c>
      <c r="P69" s="97" t="inlineStr">
        <is>
          <t>Y</t>
        </is>
      </c>
      <c r="Q69" s="97" t="inlineStr">
        <is>
          <t>N/A</t>
        </is>
      </c>
      <c r="R69" s="97" t="inlineStr">
        <is>
          <t>N</t>
        </is>
      </c>
      <c r="S69" s="97" t="n">
        <v>7.4</v>
      </c>
      <c r="T69" s="97" t="n">
        <v>22.3</v>
      </c>
      <c r="U69" s="97" t="inlineStr">
        <is>
          <t>Y</t>
        </is>
      </c>
      <c r="V69" s="97" t="n">
        <v>42.9</v>
      </c>
      <c r="W69" s="97" t="inlineStr">
        <is>
          <t>N/A</t>
        </is>
      </c>
      <c r="X69" s="97" t="inlineStr">
        <is>
          <t>N/A</t>
        </is>
      </c>
      <c r="Y69" s="97" t="n">
        <v>-30.9</v>
      </c>
      <c r="Z69" s="97" t="n">
        <v>6</v>
      </c>
      <c r="AA69" s="92" t="inlineStr">
        <is>
          <t>WATCHLIST</t>
        </is>
      </c>
    </row>
    <row r="70">
      <c r="A70" s="99" t="inlineStr">
        <is>
          <t>IIFL</t>
        </is>
      </c>
      <c r="B70" s="99" t="inlineStr">
        <is>
          <t>IIFL Finance Ltd.</t>
        </is>
      </c>
      <c r="C70" s="99" t="inlineStr">
        <is>
          <t>Financial Services</t>
        </is>
      </c>
      <c r="D70" s="99" t="inlineStr">
        <is>
          <t>BSE Smallcap</t>
        </is>
      </c>
      <c r="E70" s="99" t="n">
        <v>556.55</v>
      </c>
      <c r="F70" s="99" t="n">
        <v>-2.15</v>
      </c>
      <c r="G70" s="99" t="n">
        <v>1476692</v>
      </c>
      <c r="H70" s="99" t="n">
        <v>0.37</v>
      </c>
      <c r="I70" s="99" t="n">
        <v>24378</v>
      </c>
      <c r="J70" s="99" t="inlineStr">
        <is>
          <t>Y</t>
        </is>
      </c>
      <c r="K70" s="99" t="inlineStr">
        <is>
          <t>Y</t>
        </is>
      </c>
      <c r="L70" s="99" t="inlineStr">
        <is>
          <t>Y</t>
        </is>
      </c>
      <c r="M70" s="99" t="n">
        <v>60.8</v>
      </c>
      <c r="N70" s="99" t="inlineStr">
        <is>
          <t>Y</t>
        </is>
      </c>
      <c r="O70" s="99" t="n">
        <v>20.64</v>
      </c>
      <c r="P70" s="99" t="inlineStr">
        <is>
          <t>N</t>
        </is>
      </c>
      <c r="Q70" s="99" t="inlineStr">
        <is>
          <t>N/A</t>
        </is>
      </c>
      <c r="R70" s="99" t="inlineStr">
        <is>
          <t>N</t>
        </is>
      </c>
      <c r="S70" s="99" t="n">
        <v>9.4</v>
      </c>
      <c r="T70" s="99" t="n">
        <v>24.9</v>
      </c>
      <c r="U70" s="99" t="inlineStr">
        <is>
          <t>Y</t>
        </is>
      </c>
      <c r="V70" s="99" t="n">
        <v>11.7</v>
      </c>
      <c r="W70" s="99" t="inlineStr">
        <is>
          <t>N/A</t>
        </is>
      </c>
      <c r="X70" s="99" t="n">
        <v>447.42</v>
      </c>
      <c r="Y70" s="99" t="n">
        <v>15</v>
      </c>
      <c r="Z70" s="99" t="n">
        <v>6</v>
      </c>
      <c r="AA70" s="94" t="inlineStr">
        <is>
          <t>WATCHLIST</t>
        </is>
      </c>
    </row>
    <row r="71">
      <c r="A71" s="97" t="inlineStr">
        <is>
          <t>INDIANB</t>
        </is>
      </c>
      <c r="B71" s="97" t="inlineStr">
        <is>
          <t>Indian Bank</t>
        </is>
      </c>
      <c r="C71" s="97" t="inlineStr">
        <is>
          <t>Financial Services</t>
        </is>
      </c>
      <c r="D71" s="97" t="inlineStr">
        <is>
          <t>Large/Midcap</t>
        </is>
      </c>
      <c r="E71" s="97" t="n">
        <v>831.25</v>
      </c>
      <c r="F71" s="97" t="n">
        <v>0.62</v>
      </c>
      <c r="G71" s="97" t="n">
        <v>936950</v>
      </c>
      <c r="H71" s="97" t="n">
        <v>0.59</v>
      </c>
      <c r="I71" s="97" t="n">
        <v>111966</v>
      </c>
      <c r="J71" s="97" t="inlineStr">
        <is>
          <t>Y</t>
        </is>
      </c>
      <c r="K71" s="97" t="inlineStr">
        <is>
          <t>Y</t>
        </is>
      </c>
      <c r="L71" s="97" t="inlineStr">
        <is>
          <t>N</t>
        </is>
      </c>
      <c r="M71" s="97" t="n">
        <v>59.5</v>
      </c>
      <c r="N71" s="97" t="inlineStr">
        <is>
          <t>Y</t>
        </is>
      </c>
      <c r="O71" s="97" t="n">
        <v>27.05</v>
      </c>
      <c r="P71" s="97" t="inlineStr">
        <is>
          <t>N</t>
        </is>
      </c>
      <c r="Q71" s="97" t="inlineStr">
        <is>
          <t>N/A</t>
        </is>
      </c>
      <c r="R71" s="97" t="inlineStr">
        <is>
          <t>N</t>
        </is>
      </c>
      <c r="S71" s="97" t="n">
        <v>0.1</v>
      </c>
      <c r="T71" s="97" t="n">
        <v>0.1</v>
      </c>
      <c r="U71" s="97" t="inlineStr">
        <is>
          <t>Y</t>
        </is>
      </c>
      <c r="V71" s="97" t="n">
        <v>8.699999999999999</v>
      </c>
      <c r="W71" s="97" t="n">
        <v>16.2</v>
      </c>
      <c r="X71" s="97" t="inlineStr">
        <is>
          <t>N/A</t>
        </is>
      </c>
      <c r="Y71" s="97" t="n">
        <v>5.8</v>
      </c>
      <c r="Z71" s="97" t="n">
        <v>6</v>
      </c>
      <c r="AA71" s="92" t="inlineStr">
        <is>
          <t>WATCHLIST</t>
        </is>
      </c>
    </row>
    <row r="72">
      <c r="A72" s="99" t="inlineStr">
        <is>
          <t>IEX</t>
        </is>
      </c>
      <c r="B72" s="99" t="inlineStr">
        <is>
          <t>Indian Energy Exchange Ltd.</t>
        </is>
      </c>
      <c r="C72" s="99" t="inlineStr">
        <is>
          <t>Financial Services</t>
        </is>
      </c>
      <c r="D72" s="99" t="inlineStr">
        <is>
          <t>BSE Smallcap</t>
        </is>
      </c>
      <c r="E72" s="99" t="n">
        <v>126.77</v>
      </c>
      <c r="F72" s="99" t="n">
        <v>2.02</v>
      </c>
      <c r="G72" s="99" t="n">
        <v>14091109</v>
      </c>
      <c r="H72" s="99" t="n">
        <v>2.44</v>
      </c>
      <c r="I72" s="99" t="n">
        <v>11274</v>
      </c>
      <c r="J72" s="99" t="inlineStr">
        <is>
          <t>Y</t>
        </is>
      </c>
      <c r="K72" s="99" t="inlineStr">
        <is>
          <t>Y</t>
        </is>
      </c>
      <c r="L72" s="99" t="inlineStr">
        <is>
          <t>N</t>
        </is>
      </c>
      <c r="M72" s="99" t="n">
        <v>56.7</v>
      </c>
      <c r="N72" s="99" t="inlineStr">
        <is>
          <t>Y</t>
        </is>
      </c>
      <c r="O72" s="99" t="n">
        <v>3.93</v>
      </c>
      <c r="P72" s="99" t="inlineStr">
        <is>
          <t>Y</t>
        </is>
      </c>
      <c r="Q72" s="99" t="inlineStr">
        <is>
          <t>N/A</t>
        </is>
      </c>
      <c r="R72" s="99" t="inlineStr">
        <is>
          <t>N</t>
        </is>
      </c>
      <c r="S72" s="99" t="n">
        <v>1.7</v>
      </c>
      <c r="T72" s="99" t="n">
        <v>3.3</v>
      </c>
      <c r="U72" s="99" t="inlineStr">
        <is>
          <t>Y</t>
        </is>
      </c>
      <c r="V72" s="99" t="n">
        <v>21.8</v>
      </c>
      <c r="W72" s="99" t="inlineStr">
        <is>
          <t>N/A</t>
        </is>
      </c>
      <c r="X72" s="99" t="n">
        <v>0.82</v>
      </c>
      <c r="Y72" s="99" t="n">
        <v>3.8</v>
      </c>
      <c r="Z72" s="99" t="n">
        <v>6</v>
      </c>
      <c r="AA72" s="94" t="inlineStr">
        <is>
          <t>WATCHLIST</t>
        </is>
      </c>
    </row>
    <row r="73">
      <c r="A73" s="97" t="inlineStr">
        <is>
          <t>INDIGO</t>
        </is>
      </c>
      <c r="B73" s="97" t="inlineStr">
        <is>
          <t>InterGlobe Aviation Ltd.</t>
        </is>
      </c>
      <c r="C73" s="97" t="inlineStr">
        <is>
          <t>Services</t>
        </is>
      </c>
      <c r="D73" s="97" t="inlineStr">
        <is>
          <t>Large/Midcap</t>
        </is>
      </c>
      <c r="E73" s="97" t="n">
        <v>5230</v>
      </c>
      <c r="F73" s="97" t="n">
        <v>4.91</v>
      </c>
      <c r="G73" s="97" t="n">
        <v>1731299</v>
      </c>
      <c r="H73" s="97" t="n">
        <v>0.92</v>
      </c>
      <c r="I73" s="97" t="n">
        <v>202227</v>
      </c>
      <c r="J73" s="97" t="inlineStr">
        <is>
          <t>Y</t>
        </is>
      </c>
      <c r="K73" s="97" t="inlineStr">
        <is>
          <t>Y</t>
        </is>
      </c>
      <c r="L73" s="97" t="inlineStr">
        <is>
          <t>Y</t>
        </is>
      </c>
      <c r="M73" s="97" t="n">
        <v>44.5</v>
      </c>
      <c r="N73" s="97" t="inlineStr">
        <is>
          <t>N</t>
        </is>
      </c>
      <c r="O73" s="97" t="n">
        <v>158.43</v>
      </c>
      <c r="P73" s="97" t="inlineStr">
        <is>
          <t>Y</t>
        </is>
      </c>
      <c r="Q73" s="97" t="inlineStr">
        <is>
          <t>N/A</t>
        </is>
      </c>
      <c r="R73" s="97" t="inlineStr">
        <is>
          <t>N</t>
        </is>
      </c>
      <c r="S73" s="97" t="n">
        <v>-3.8</v>
      </c>
      <c r="T73" s="97" t="n">
        <v>20.8</v>
      </c>
      <c r="U73" s="97" t="inlineStr">
        <is>
          <t>Y</t>
        </is>
      </c>
      <c r="V73" s="97" t="inlineStr">
        <is>
          <t>N/A</t>
        </is>
      </c>
      <c r="W73" s="97" t="inlineStr">
        <is>
          <t>N/A</t>
        </is>
      </c>
      <c r="X73" s="97" t="n">
        <v>866.46</v>
      </c>
      <c r="Y73" s="97" t="n">
        <v>90.59999999999999</v>
      </c>
      <c r="Z73" s="97" t="n">
        <v>6</v>
      </c>
      <c r="AA73" s="92" t="inlineStr">
        <is>
          <t>WATCHLIST</t>
        </is>
      </c>
    </row>
    <row r="74">
      <c r="A74" s="99" t="inlineStr">
        <is>
          <t>IKS</t>
        </is>
      </c>
      <c r="B74" s="99" t="inlineStr">
        <is>
          <t>Inventurus Knowledge Solutions Ltd.</t>
        </is>
      </c>
      <c r="C74" s="99" t="inlineStr">
        <is>
          <t>Information Technology</t>
        </is>
      </c>
      <c r="D74" s="99" t="inlineStr">
        <is>
          <t>BSE Smallcap</t>
        </is>
      </c>
      <c r="E74" s="99" t="n">
        <v>1759.8</v>
      </c>
      <c r="F74" s="99" t="n">
        <v>-2.2</v>
      </c>
      <c r="G74" s="99" t="n">
        <v>165781</v>
      </c>
      <c r="H74" s="99" t="n">
        <v>1.97</v>
      </c>
      <c r="I74" s="99" t="n">
        <v>30681</v>
      </c>
      <c r="J74" s="99" t="inlineStr">
        <is>
          <t>Y</t>
        </is>
      </c>
      <c r="K74" s="99" t="inlineStr">
        <is>
          <t>Y</t>
        </is>
      </c>
      <c r="L74" s="99" t="inlineStr">
        <is>
          <t>Y</t>
        </is>
      </c>
      <c r="M74" s="99" t="n">
        <v>35.8</v>
      </c>
      <c r="N74" s="99" t="inlineStr">
        <is>
          <t>N</t>
        </is>
      </c>
      <c r="O74" s="99" t="n">
        <v>59.36</v>
      </c>
      <c r="P74" s="99" t="inlineStr">
        <is>
          <t>N</t>
        </is>
      </c>
      <c r="Q74" s="99" t="inlineStr">
        <is>
          <t>N/A</t>
        </is>
      </c>
      <c r="R74" s="99" t="inlineStr">
        <is>
          <t>N</t>
        </is>
      </c>
      <c r="S74" s="99" t="n">
        <v>3.5</v>
      </c>
      <c r="T74" s="99" t="n">
        <v>13.4</v>
      </c>
      <c r="U74" s="99" t="inlineStr">
        <is>
          <t>Y</t>
        </is>
      </c>
      <c r="V74" s="99" t="n">
        <v>43.3</v>
      </c>
      <c r="W74" s="99" t="n">
        <v>31.4</v>
      </c>
      <c r="X74" s="99" t="n">
        <v>26.87</v>
      </c>
      <c r="Y74" s="99" t="n">
        <v>12.3</v>
      </c>
      <c r="Z74" s="99" t="n">
        <v>6</v>
      </c>
      <c r="AA74" s="94" t="inlineStr">
        <is>
          <t>WATCHLIST</t>
        </is>
      </c>
    </row>
    <row r="75">
      <c r="A75" s="97" t="inlineStr">
        <is>
          <t>JUBLINGREA</t>
        </is>
      </c>
      <c r="B75" s="97" t="inlineStr">
        <is>
          <t>Jubilant Ingrevia Ltd.</t>
        </is>
      </c>
      <c r="C75" s="97" t="inlineStr">
        <is>
          <t>Chemicals</t>
        </is>
      </c>
      <c r="D75" s="97" t="inlineStr">
        <is>
          <t>BSE Smallcap</t>
        </is>
      </c>
      <c r="E75" s="97" t="n">
        <v>725.55</v>
      </c>
      <c r="F75" s="97" t="n">
        <v>-2.29</v>
      </c>
      <c r="G75" s="97" t="n">
        <v>373158</v>
      </c>
      <c r="H75" s="97" t="n">
        <v>0.17</v>
      </c>
      <c r="I75" s="97" t="n">
        <v>11736</v>
      </c>
      <c r="J75" s="97" t="inlineStr">
        <is>
          <t>Y</t>
        </is>
      </c>
      <c r="K75" s="97" t="inlineStr">
        <is>
          <t>Y</t>
        </is>
      </c>
      <c r="L75" s="97" t="inlineStr">
        <is>
          <t>Y</t>
        </is>
      </c>
      <c r="M75" s="97" t="n">
        <v>59.7</v>
      </c>
      <c r="N75" s="97" t="inlineStr">
        <is>
          <t>Y</t>
        </is>
      </c>
      <c r="O75" s="97" t="n">
        <v>29.71</v>
      </c>
      <c r="P75" s="97" t="inlineStr">
        <is>
          <t>N</t>
        </is>
      </c>
      <c r="Q75" s="97" t="inlineStr">
        <is>
          <t>N/A</t>
        </is>
      </c>
      <c r="R75" s="97" t="inlineStr">
        <is>
          <t>N</t>
        </is>
      </c>
      <c r="S75" s="97" t="n">
        <v>17.4</v>
      </c>
      <c r="T75" s="97" t="n">
        <v>4</v>
      </c>
      <c r="U75" s="97" t="inlineStr">
        <is>
          <t>Y</t>
        </is>
      </c>
      <c r="V75" s="97" t="n">
        <v>38.3</v>
      </c>
      <c r="W75" s="97" t="inlineStr">
        <is>
          <t>N/A</t>
        </is>
      </c>
      <c r="X75" s="97" t="n">
        <v>25.33</v>
      </c>
      <c r="Y75" s="97" t="n">
        <v>22.4</v>
      </c>
      <c r="Z75" s="97" t="n">
        <v>6</v>
      </c>
      <c r="AA75" s="92" t="inlineStr">
        <is>
          <t>WATCHLIST</t>
        </is>
      </c>
    </row>
    <row r="76">
      <c r="A76" s="99" t="inlineStr">
        <is>
          <t>JYOTICNC</t>
        </is>
      </c>
      <c r="B76" s="99" t="inlineStr">
        <is>
          <t>Jyoti CNC Automation Ltd.</t>
        </is>
      </c>
      <c r="C76" s="99" t="inlineStr">
        <is>
          <t>Capital Goods</t>
        </is>
      </c>
      <c r="D76" s="99" t="inlineStr">
        <is>
          <t>BSE Smallcap</t>
        </is>
      </c>
      <c r="E76" s="99" t="n">
        <v>795.05</v>
      </c>
      <c r="F76" s="99" t="n">
        <v>0.87</v>
      </c>
      <c r="G76" s="99" t="n">
        <v>302127</v>
      </c>
      <c r="H76" s="99" t="n">
        <v>0.61</v>
      </c>
      <c r="I76" s="99" t="n">
        <v>18279</v>
      </c>
      <c r="J76" s="99" t="inlineStr">
        <is>
          <t>Y</t>
        </is>
      </c>
      <c r="K76" s="99" t="inlineStr">
        <is>
          <t>Y</t>
        </is>
      </c>
      <c r="L76" s="99" t="inlineStr">
        <is>
          <t>N</t>
        </is>
      </c>
      <c r="M76" s="99" t="n">
        <v>56.8</v>
      </c>
      <c r="N76" s="99" t="inlineStr">
        <is>
          <t>Y</t>
        </is>
      </c>
      <c r="O76" s="99" t="n">
        <v>30.91</v>
      </c>
      <c r="P76" s="99" t="inlineStr">
        <is>
          <t>N</t>
        </is>
      </c>
      <c r="Q76" s="99" t="inlineStr">
        <is>
          <t>N/A</t>
        </is>
      </c>
      <c r="R76" s="99" t="inlineStr">
        <is>
          <t>N</t>
        </is>
      </c>
      <c r="S76" s="99" t="n">
        <v>4.7</v>
      </c>
      <c r="T76" s="99" t="n">
        <v>4.4</v>
      </c>
      <c r="U76" s="99" t="inlineStr">
        <is>
          <t>Y</t>
        </is>
      </c>
      <c r="V76" s="99" t="n">
        <v>54.3</v>
      </c>
      <c r="W76" s="99" t="n">
        <v>18.2</v>
      </c>
      <c r="X76" s="99" t="n">
        <v>42.61</v>
      </c>
      <c r="Y76" s="99" t="n">
        <v>2.3</v>
      </c>
      <c r="Z76" s="99" t="n">
        <v>6</v>
      </c>
      <c r="AA76" s="94" t="inlineStr">
        <is>
          <t>WATCHLIST</t>
        </is>
      </c>
    </row>
    <row r="77">
      <c r="A77" s="97" t="inlineStr">
        <is>
          <t>KARURVYSYA</t>
        </is>
      </c>
      <c r="B77" s="97" t="inlineStr">
        <is>
          <t>Karur Vysya Bank Ltd.</t>
        </is>
      </c>
      <c r="C77" s="97" t="inlineStr">
        <is>
          <t>Financial Services</t>
        </is>
      </c>
      <c r="D77" s="97" t="inlineStr">
        <is>
          <t>NSE Smallcap</t>
        </is>
      </c>
      <c r="E77" s="97" t="n">
        <v>338.9</v>
      </c>
      <c r="F77" s="97" t="n">
        <v>1.38</v>
      </c>
      <c r="G77" s="97" t="n">
        <v>3587695</v>
      </c>
      <c r="H77" s="97" t="n">
        <v>0.1</v>
      </c>
      <c r="I77" s="97" t="n">
        <v>32833</v>
      </c>
      <c r="J77" s="97" t="inlineStr">
        <is>
          <t>Y</t>
        </is>
      </c>
      <c r="K77" s="97" t="inlineStr">
        <is>
          <t>Y</t>
        </is>
      </c>
      <c r="L77" s="97" t="inlineStr">
        <is>
          <t>Y</t>
        </is>
      </c>
      <c r="M77" s="97" t="n">
        <v>68.40000000000001</v>
      </c>
      <c r="N77" s="97" t="inlineStr">
        <is>
          <t>Y</t>
        </is>
      </c>
      <c r="O77" s="97" t="n">
        <v>12.49</v>
      </c>
      <c r="P77" s="97" t="inlineStr">
        <is>
          <t>N</t>
        </is>
      </c>
      <c r="Q77" s="97" t="inlineStr">
        <is>
          <t>N/A</t>
        </is>
      </c>
      <c r="R77" s="97" t="inlineStr">
        <is>
          <t>N</t>
        </is>
      </c>
      <c r="S77" s="97" t="n">
        <v>17.8</v>
      </c>
      <c r="T77" s="97" t="n">
        <v>15.2</v>
      </c>
      <c r="U77" s="97" t="inlineStr">
        <is>
          <t>Y</t>
        </is>
      </c>
      <c r="V77" s="97" t="n">
        <v>12</v>
      </c>
      <c r="W77" s="97" t="inlineStr">
        <is>
          <t>N/A</t>
        </is>
      </c>
      <c r="X77" s="97" t="inlineStr">
        <is>
          <t>N/A</t>
        </is>
      </c>
      <c r="Y77" s="97" t="n">
        <v>4.2</v>
      </c>
      <c r="Z77" s="97" t="n">
        <v>6</v>
      </c>
      <c r="AA77" s="92" t="inlineStr">
        <is>
          <t>WATCHLIST</t>
        </is>
      </c>
    </row>
    <row r="78">
      <c r="A78" s="99" t="inlineStr">
        <is>
          <t>KIRLOSENG</t>
        </is>
      </c>
      <c r="B78" s="99" t="inlineStr">
        <is>
          <t>Kirloskar Oil Eng Ltd.</t>
        </is>
      </c>
      <c r="C78" s="99" t="inlineStr">
        <is>
          <t>Capital Goods</t>
        </is>
      </c>
      <c r="D78" s="99" t="inlineStr">
        <is>
          <t>BSE Smallcap</t>
        </is>
      </c>
      <c r="E78" s="99" t="n">
        <v>2182.5</v>
      </c>
      <c r="F78" s="99" t="n">
        <v>0.16</v>
      </c>
      <c r="G78" s="99" t="n">
        <v>212143</v>
      </c>
      <c r="H78" s="99" t="n">
        <v>0.61</v>
      </c>
      <c r="I78" s="99" t="n">
        <v>33221</v>
      </c>
      <c r="J78" s="99" t="inlineStr">
        <is>
          <t>Y</t>
        </is>
      </c>
      <c r="K78" s="99" t="inlineStr">
        <is>
          <t>Y</t>
        </is>
      </c>
      <c r="L78" s="99" t="inlineStr">
        <is>
          <t>Y</t>
        </is>
      </c>
      <c r="M78" s="99" t="n">
        <v>43.6</v>
      </c>
      <c r="N78" s="99" t="inlineStr">
        <is>
          <t>N</t>
        </is>
      </c>
      <c r="O78" s="99" t="n">
        <v>100.07</v>
      </c>
      <c r="P78" s="99" t="inlineStr">
        <is>
          <t>N</t>
        </is>
      </c>
      <c r="Q78" s="99" t="inlineStr">
        <is>
          <t>N/A</t>
        </is>
      </c>
      <c r="R78" s="99" t="inlineStr">
        <is>
          <t>N</t>
        </is>
      </c>
      <c r="S78" s="99" t="n">
        <v>-11.9</v>
      </c>
      <c r="T78" s="99" t="n">
        <v>28.9</v>
      </c>
      <c r="U78" s="99" t="inlineStr">
        <is>
          <t>Y</t>
        </is>
      </c>
      <c r="V78" s="99" t="n">
        <v>58.4</v>
      </c>
      <c r="W78" s="99" t="n">
        <v>16.8</v>
      </c>
      <c r="X78" s="99" t="n">
        <v>154.86</v>
      </c>
      <c r="Y78" s="99" t="n">
        <v>42.4</v>
      </c>
      <c r="Z78" s="99" t="n">
        <v>6</v>
      </c>
      <c r="AA78" s="94" t="inlineStr">
        <is>
          <t>WATCHLIST</t>
        </is>
      </c>
    </row>
    <row r="79">
      <c r="A79" s="97" t="inlineStr">
        <is>
          <t>LAURUSLABS</t>
        </is>
      </c>
      <c r="B79" s="97" t="inlineStr">
        <is>
          <t>Laurus Labs Ltd.</t>
        </is>
      </c>
      <c r="C79" s="97" t="inlineStr">
        <is>
          <t>Healthcare</t>
        </is>
      </c>
      <c r="D79" s="97" t="inlineStr">
        <is>
          <t>Large/Midcap</t>
        </is>
      </c>
      <c r="E79" s="97" t="n">
        <v>1713.4</v>
      </c>
      <c r="F79" s="97" t="n">
        <v>7.01</v>
      </c>
      <c r="G79" s="97" t="n">
        <v>7989771</v>
      </c>
      <c r="H79" s="97" t="n">
        <v>4.86</v>
      </c>
      <c r="I79" s="97" t="n">
        <v>92566</v>
      </c>
      <c r="J79" s="97" t="inlineStr">
        <is>
          <t>Y</t>
        </is>
      </c>
      <c r="K79" s="97" t="inlineStr">
        <is>
          <t>Y</t>
        </is>
      </c>
      <c r="L79" s="97" t="inlineStr">
        <is>
          <t>Y</t>
        </is>
      </c>
      <c r="M79" s="97" t="n">
        <v>81.8</v>
      </c>
      <c r="N79" s="97" t="inlineStr">
        <is>
          <t>N</t>
        </is>
      </c>
      <c r="O79" s="97" t="n">
        <v>45.45</v>
      </c>
      <c r="P79" s="97" t="inlineStr">
        <is>
          <t>Y</t>
        </is>
      </c>
      <c r="Q79" s="97" t="inlineStr">
        <is>
          <t>N/A</t>
        </is>
      </c>
      <c r="R79" s="97" t="inlineStr">
        <is>
          <t>N</t>
        </is>
      </c>
      <c r="S79" s="97" t="n">
        <v>18.4</v>
      </c>
      <c r="T79" s="97" t="n">
        <v>56.2</v>
      </c>
      <c r="U79" s="97" t="inlineStr">
        <is>
          <t>Y</t>
        </is>
      </c>
      <c r="V79" s="97" t="n">
        <v>79.40000000000001</v>
      </c>
      <c r="W79" s="97" t="inlineStr">
        <is>
          <t>N/A</t>
        </is>
      </c>
      <c r="X79" s="97" t="n">
        <v>46.37</v>
      </c>
      <c r="Y79" s="97" t="n">
        <v>31.7</v>
      </c>
      <c r="Z79" s="97" t="n">
        <v>6</v>
      </c>
      <c r="AA79" s="92" t="inlineStr">
        <is>
          <t>WATCHLIST</t>
        </is>
      </c>
    </row>
    <row r="80">
      <c r="A80" s="99" t="inlineStr">
        <is>
          <t>LATENTVIEW</t>
        </is>
      </c>
      <c r="B80" s="99" t="inlineStr">
        <is>
          <t>Latent View Analytics Ltd.</t>
        </is>
      </c>
      <c r="C80" s="99" t="inlineStr">
        <is>
          <t>Information Technology</t>
        </is>
      </c>
      <c r="D80" s="99" t="inlineStr">
        <is>
          <t>BSE Smallcap</t>
        </is>
      </c>
      <c r="E80" s="99" t="n">
        <v>313.85</v>
      </c>
      <c r="F80" s="99" t="n">
        <v>6.01</v>
      </c>
      <c r="G80" s="99" t="n">
        <v>5284442</v>
      </c>
      <c r="H80" s="99" t="n">
        <v>11.28</v>
      </c>
      <c r="I80" s="99" t="n">
        <v>6494</v>
      </c>
      <c r="J80" s="99" t="inlineStr">
        <is>
          <t>Y</t>
        </is>
      </c>
      <c r="K80" s="99" t="inlineStr">
        <is>
          <t>Y</t>
        </is>
      </c>
      <c r="L80" s="99" t="inlineStr">
        <is>
          <t>N</t>
        </is>
      </c>
      <c r="M80" s="99" t="n">
        <v>58.7</v>
      </c>
      <c r="N80" s="99" t="inlineStr">
        <is>
          <t>Y</t>
        </is>
      </c>
      <c r="O80" s="99" t="n">
        <v>11.61</v>
      </c>
      <c r="P80" s="99" t="inlineStr">
        <is>
          <t>Y</t>
        </is>
      </c>
      <c r="Q80" s="99" t="inlineStr">
        <is>
          <t>N/A</t>
        </is>
      </c>
      <c r="R80" s="99" t="inlineStr">
        <is>
          <t>N</t>
        </is>
      </c>
      <c r="S80" s="99" t="n">
        <v>5.6</v>
      </c>
      <c r="T80" s="99" t="n">
        <v>7.8</v>
      </c>
      <c r="U80" s="99" t="inlineStr">
        <is>
          <t>Y</t>
        </is>
      </c>
      <c r="V80" s="99" t="n">
        <v>32.8</v>
      </c>
      <c r="W80" s="99" t="n">
        <v>12.2</v>
      </c>
      <c r="X80" s="99" t="n">
        <v>1.86</v>
      </c>
      <c r="Y80" s="99" t="n">
        <v>5.2</v>
      </c>
      <c r="Z80" s="99" t="n">
        <v>6</v>
      </c>
      <c r="AA80" s="94" t="inlineStr">
        <is>
          <t>WATCHLIST</t>
        </is>
      </c>
    </row>
    <row r="81">
      <c r="A81" s="97" t="inlineStr">
        <is>
          <t>LICI</t>
        </is>
      </c>
      <c r="B81" s="97" t="inlineStr">
        <is>
          <t>Life Insurance Corporation of India</t>
        </is>
      </c>
      <c r="C81" s="97" t="inlineStr">
        <is>
          <t>Financial Services</t>
        </is>
      </c>
      <c r="D81" s="97" t="inlineStr">
        <is>
          <t>Large/Midcap</t>
        </is>
      </c>
      <c r="E81" s="97" t="n">
        <v>424.35</v>
      </c>
      <c r="F81" s="97" t="n">
        <v>0.72</v>
      </c>
      <c r="G81" s="97" t="n">
        <v>1064234</v>
      </c>
      <c r="H81" s="97" t="n">
        <v>0.92</v>
      </c>
      <c r="I81" s="97" t="n">
        <v>536803</v>
      </c>
      <c r="J81" s="97" t="inlineStr">
        <is>
          <t>Y</t>
        </is>
      </c>
      <c r="K81" s="97" t="inlineStr">
        <is>
          <t>Y</t>
        </is>
      </c>
      <c r="L81" s="97" t="inlineStr">
        <is>
          <t>Y</t>
        </is>
      </c>
      <c r="M81" s="97" t="n">
        <v>40.2</v>
      </c>
      <c r="N81" s="97" t="inlineStr">
        <is>
          <t>N</t>
        </is>
      </c>
      <c r="O81" s="97" t="n">
        <v>9.220000000000001</v>
      </c>
      <c r="P81" s="97" t="inlineStr">
        <is>
          <t>N</t>
        </is>
      </c>
      <c r="Q81" s="97" t="inlineStr">
        <is>
          <t>N/A</t>
        </is>
      </c>
      <c r="R81" s="97" t="inlineStr">
        <is>
          <t>N</t>
        </is>
      </c>
      <c r="S81" s="97" t="n">
        <v>0.5</v>
      </c>
      <c r="T81" s="97" t="n">
        <v>9.300000000000001</v>
      </c>
      <c r="U81" s="97" t="inlineStr">
        <is>
          <t>Y</t>
        </is>
      </c>
      <c r="V81" s="97" t="n">
        <v>9.300000000000001</v>
      </c>
      <c r="W81" s="97" t="n">
        <v>40.8</v>
      </c>
      <c r="X81" s="97" t="n">
        <v>0.43</v>
      </c>
      <c r="Y81" s="97" t="n">
        <v>81.5</v>
      </c>
      <c r="Z81" s="97" t="n">
        <v>6</v>
      </c>
      <c r="AA81" s="92" t="inlineStr">
        <is>
          <t>WATCHLIST</t>
        </is>
      </c>
    </row>
    <row r="82">
      <c r="A82" s="99" t="inlineStr">
        <is>
          <t>LODHA</t>
        </is>
      </c>
      <c r="B82" s="99" t="inlineStr">
        <is>
          <t>Lodha Developers Ltd.</t>
        </is>
      </c>
      <c r="C82" s="99" t="inlineStr">
        <is>
          <t>Realty</t>
        </is>
      </c>
      <c r="D82" s="99" t="inlineStr">
        <is>
          <t>Large/Midcap</t>
        </is>
      </c>
      <c r="E82" s="99" t="n">
        <v>1198.7</v>
      </c>
      <c r="F82" s="99" t="n">
        <v>4.77</v>
      </c>
      <c r="G82" s="99" t="n">
        <v>4971286</v>
      </c>
      <c r="H82" s="99" t="n">
        <v>2.56</v>
      </c>
      <c r="I82" s="99" t="n">
        <v>119741</v>
      </c>
      <c r="J82" s="99" t="inlineStr">
        <is>
          <t>Y</t>
        </is>
      </c>
      <c r="K82" s="99" t="inlineStr">
        <is>
          <t>Y</t>
        </is>
      </c>
      <c r="L82" s="99" t="inlineStr">
        <is>
          <t>Y</t>
        </is>
      </c>
      <c r="M82" s="99" t="n">
        <v>63.6</v>
      </c>
      <c r="N82" s="99" t="inlineStr">
        <is>
          <t>Y</t>
        </is>
      </c>
      <c r="O82" s="99" t="n">
        <v>50.84</v>
      </c>
      <c r="P82" s="99" t="inlineStr">
        <is>
          <t>N</t>
        </is>
      </c>
      <c r="Q82" s="99" t="inlineStr">
        <is>
          <t>N/A</t>
        </is>
      </c>
      <c r="R82" s="99" t="inlineStr">
        <is>
          <t>N</t>
        </is>
      </c>
      <c r="S82" s="99" t="n">
        <v>26.8</v>
      </c>
      <c r="T82" s="99" t="n">
        <v>33.9</v>
      </c>
      <c r="U82" s="99" t="inlineStr">
        <is>
          <t>Y</t>
        </is>
      </c>
      <c r="V82" s="99" t="n">
        <v>27.8</v>
      </c>
      <c r="W82" s="99" t="inlineStr">
        <is>
          <t>N/A</t>
        </is>
      </c>
      <c r="X82" s="99" t="n">
        <v>42.24</v>
      </c>
      <c r="Y82" s="99" t="n">
        <v>36.1</v>
      </c>
      <c r="Z82" s="99" t="n">
        <v>6</v>
      </c>
      <c r="AA82" s="94" t="inlineStr">
        <is>
          <t>WATCHLIST</t>
        </is>
      </c>
    </row>
    <row r="83">
      <c r="A83" s="97" t="inlineStr">
        <is>
          <t>LLOYDSME</t>
        </is>
      </c>
      <c r="B83" s="97" t="inlineStr">
        <is>
          <t>Lloyds Metals And Energy Ltd.</t>
        </is>
      </c>
      <c r="C83" s="97" t="inlineStr">
        <is>
          <t>Metals &amp; Mining</t>
        </is>
      </c>
      <c r="D83" s="97" t="inlineStr">
        <is>
          <t>Large/Midcap</t>
        </is>
      </c>
      <c r="E83" s="97" t="n">
        <v>1940.5</v>
      </c>
      <c r="F83" s="97" t="n">
        <v>0.51</v>
      </c>
      <c r="G83" s="97" t="n">
        <v>548561</v>
      </c>
      <c r="H83" s="97" t="n">
        <v>0.98</v>
      </c>
      <c r="I83" s="97" t="n">
        <v>113374</v>
      </c>
      <c r="J83" s="97" t="inlineStr">
        <is>
          <t>Y</t>
        </is>
      </c>
      <c r="K83" s="97" t="inlineStr">
        <is>
          <t>Y</t>
        </is>
      </c>
      <c r="L83" s="97" t="inlineStr">
        <is>
          <t>Y</t>
        </is>
      </c>
      <c r="M83" s="97" t="n">
        <v>71.90000000000001</v>
      </c>
      <c r="N83" s="97" t="inlineStr">
        <is>
          <t>N</t>
        </is>
      </c>
      <c r="O83" s="97" t="n">
        <v>62.76</v>
      </c>
      <c r="P83" s="97" t="inlineStr">
        <is>
          <t>N</t>
        </is>
      </c>
      <c r="Q83" s="97" t="inlineStr">
        <is>
          <t>N/A</t>
        </is>
      </c>
      <c r="R83" s="97" t="inlineStr">
        <is>
          <t>N</t>
        </is>
      </c>
      <c r="S83" s="97" t="n">
        <v>13</v>
      </c>
      <c r="T83" s="97" t="n">
        <v>10</v>
      </c>
      <c r="U83" s="97" t="inlineStr">
        <is>
          <t>Y</t>
        </is>
      </c>
      <c r="V83" s="97" t="n">
        <v>30.1</v>
      </c>
      <c r="W83" s="97" t="n">
        <v>36.9</v>
      </c>
      <c r="X83" s="97" t="n">
        <v>145.21</v>
      </c>
      <c r="Y83" s="97" t="n">
        <v>35.5</v>
      </c>
      <c r="Z83" s="97" t="n">
        <v>6</v>
      </c>
      <c r="AA83" s="92" t="inlineStr">
        <is>
          <t>WATCHLIST</t>
        </is>
      </c>
    </row>
    <row r="84">
      <c r="A84" s="99" t="inlineStr">
        <is>
          <t>LUPIN</t>
        </is>
      </c>
      <c r="B84" s="99" t="inlineStr">
        <is>
          <t>Lupin Ltd.</t>
        </is>
      </c>
      <c r="C84" s="99" t="inlineStr">
        <is>
          <t>Healthcare</t>
        </is>
      </c>
      <c r="D84" s="99" t="inlineStr">
        <is>
          <t>Large/Midcap</t>
        </is>
      </c>
      <c r="E84" s="99" t="n">
        <v>2370.5</v>
      </c>
      <c r="F84" s="99" t="n">
        <v>-1.08</v>
      </c>
      <c r="G84" s="99" t="n">
        <v>725528</v>
      </c>
      <c r="H84" s="99" t="n">
        <v>0.8100000000000001</v>
      </c>
      <c r="I84" s="99" t="n">
        <v>110194</v>
      </c>
      <c r="J84" s="99" t="inlineStr">
        <is>
          <t>Y</t>
        </is>
      </c>
      <c r="K84" s="99" t="inlineStr">
        <is>
          <t>Y</t>
        </is>
      </c>
      <c r="L84" s="99" t="inlineStr">
        <is>
          <t>Y</t>
        </is>
      </c>
      <c r="M84" s="99" t="n">
        <v>37</v>
      </c>
      <c r="N84" s="99" t="inlineStr">
        <is>
          <t>N</t>
        </is>
      </c>
      <c r="O84" s="99" t="n">
        <v>55.06</v>
      </c>
      <c r="P84" s="99" t="inlineStr">
        <is>
          <t>N</t>
        </is>
      </c>
      <c r="Q84" s="99" t="inlineStr">
        <is>
          <t>N/A</t>
        </is>
      </c>
      <c r="R84" s="99" t="inlineStr">
        <is>
          <t>N</t>
        </is>
      </c>
      <c r="S84" s="99" t="n">
        <v>2.1</v>
      </c>
      <c r="T84" s="99" t="n">
        <v>3.7</v>
      </c>
      <c r="U84" s="99" t="inlineStr">
        <is>
          <t>Y</t>
        </is>
      </c>
      <c r="V84" s="99" t="n">
        <v>20.7</v>
      </c>
      <c r="W84" s="99" t="n">
        <v>26.9</v>
      </c>
      <c r="X84" s="99" t="n">
        <v>29.39</v>
      </c>
      <c r="Y84" s="99" t="n">
        <v>24.2</v>
      </c>
      <c r="Z84" s="99" t="n">
        <v>6</v>
      </c>
      <c r="AA84" s="94" t="inlineStr">
        <is>
          <t>WATCHLIST</t>
        </is>
      </c>
    </row>
    <row r="85">
      <c r="A85" s="97" t="inlineStr">
        <is>
          <t>MANAPPURAM</t>
        </is>
      </c>
      <c r="B85" s="97" t="inlineStr">
        <is>
          <t>Manappuram Finance Ltd.</t>
        </is>
      </c>
      <c r="C85" s="97" t="inlineStr">
        <is>
          <t>Financial Services</t>
        </is>
      </c>
      <c r="D85" s="97" t="inlineStr">
        <is>
          <t>BSE Smallcap</t>
        </is>
      </c>
      <c r="E85" s="97" t="n">
        <v>359.85</v>
      </c>
      <c r="F85" s="97" t="n">
        <v>1.95</v>
      </c>
      <c r="G85" s="97" t="n">
        <v>3881990</v>
      </c>
      <c r="H85" s="97" t="n">
        <v>0.96</v>
      </c>
      <c r="I85" s="97" t="n">
        <v>33802</v>
      </c>
      <c r="J85" s="97" t="inlineStr">
        <is>
          <t>Y</t>
        </is>
      </c>
      <c r="K85" s="97" t="inlineStr">
        <is>
          <t>Y</t>
        </is>
      </c>
      <c r="L85" s="97" t="inlineStr">
        <is>
          <t>Y</t>
        </is>
      </c>
      <c r="M85" s="97" t="n">
        <v>62.1</v>
      </c>
      <c r="N85" s="97" t="inlineStr">
        <is>
          <t>Y</t>
        </is>
      </c>
      <c r="O85" s="97" t="n">
        <v>10.17</v>
      </c>
      <c r="P85" s="97" t="inlineStr">
        <is>
          <t>N</t>
        </is>
      </c>
      <c r="Q85" s="97" t="inlineStr">
        <is>
          <t>N/A</t>
        </is>
      </c>
      <c r="R85" s="97" t="inlineStr">
        <is>
          <t>N</t>
        </is>
      </c>
      <c r="S85" s="97" t="n">
        <v>13.2</v>
      </c>
      <c r="T85" s="97" t="n">
        <v>22.8</v>
      </c>
      <c r="U85" s="97" t="inlineStr">
        <is>
          <t>Y</t>
        </is>
      </c>
      <c r="V85" s="97" t="n">
        <v>29.9</v>
      </c>
      <c r="W85" s="97" t="n">
        <v>7</v>
      </c>
      <c r="X85" s="97" t="n">
        <v>360.19</v>
      </c>
      <c r="Y85" s="97" t="n">
        <v>67.59999999999999</v>
      </c>
      <c r="Z85" s="97" t="n">
        <v>6</v>
      </c>
      <c r="AA85" s="92" t="inlineStr">
        <is>
          <t>WATCHLIST</t>
        </is>
      </c>
    </row>
    <row r="86">
      <c r="A86" s="99" t="inlineStr">
        <is>
          <t>MANKIND</t>
        </is>
      </c>
      <c r="B86" s="99" t="inlineStr">
        <is>
          <t>Mankind Pharma Ltd.</t>
        </is>
      </c>
      <c r="C86" s="99" t="inlineStr">
        <is>
          <t>Healthcare</t>
        </is>
      </c>
      <c r="D86" s="99" t="inlineStr">
        <is>
          <t>Large/Midcap</t>
        </is>
      </c>
      <c r="E86" s="99" t="n">
        <v>2551.6</v>
      </c>
      <c r="F86" s="99" t="n">
        <v>1.77</v>
      </c>
      <c r="G86" s="99" t="n">
        <v>185805</v>
      </c>
      <c r="H86" s="99" t="n">
        <v>0.78</v>
      </c>
      <c r="I86" s="99" t="n">
        <v>105380</v>
      </c>
      <c r="J86" s="99" t="inlineStr">
        <is>
          <t>Y</t>
        </is>
      </c>
      <c r="K86" s="99" t="inlineStr">
        <is>
          <t>Y</t>
        </is>
      </c>
      <c r="L86" s="99" t="inlineStr">
        <is>
          <t>Y</t>
        </is>
      </c>
      <c r="M86" s="99" t="n">
        <v>52.8</v>
      </c>
      <c r="N86" s="99" t="inlineStr">
        <is>
          <t>Y</t>
        </is>
      </c>
      <c r="O86" s="99" t="n">
        <v>65.89</v>
      </c>
      <c r="P86" s="99" t="inlineStr">
        <is>
          <t>N</t>
        </is>
      </c>
      <c r="Q86" s="99" t="inlineStr">
        <is>
          <t>N/A</t>
        </is>
      </c>
      <c r="R86" s="99" t="inlineStr">
        <is>
          <t>N</t>
        </is>
      </c>
      <c r="S86" s="99" t="n">
        <v>3.9</v>
      </c>
      <c r="T86" s="99" t="n">
        <v>13.5</v>
      </c>
      <c r="U86" s="99" t="inlineStr">
        <is>
          <t>Y</t>
        </is>
      </c>
      <c r="V86" s="99" t="n">
        <v>54.1</v>
      </c>
      <c r="W86" s="99" t="n">
        <v>12.5</v>
      </c>
      <c r="X86" s="99" t="n">
        <v>38.11</v>
      </c>
      <c r="Y86" s="99" t="n">
        <v>35.6</v>
      </c>
      <c r="Z86" s="99" t="n">
        <v>6</v>
      </c>
      <c r="AA86" s="94" t="inlineStr">
        <is>
          <t>WATCHLIST</t>
        </is>
      </c>
    </row>
    <row r="87">
      <c r="A87" s="97" t="inlineStr">
        <is>
          <t>MARICO</t>
        </is>
      </c>
      <c r="B87" s="97" t="inlineStr">
        <is>
          <t>Marico Ltd.</t>
        </is>
      </c>
      <c r="C87" s="97" t="inlineStr">
        <is>
          <t>Fast Moving Consumer Goods</t>
        </is>
      </c>
      <c r="D87" s="97" t="inlineStr">
        <is>
          <t>Large/Midcap</t>
        </is>
      </c>
      <c r="E87" s="97" t="n">
        <v>855.6</v>
      </c>
      <c r="F87" s="97" t="n">
        <v>0.28</v>
      </c>
      <c r="G87" s="97" t="n">
        <v>1968480</v>
      </c>
      <c r="H87" s="97" t="n">
        <v>1.28</v>
      </c>
      <c r="I87" s="97" t="n">
        <v>111271</v>
      </c>
      <c r="J87" s="97" t="inlineStr">
        <is>
          <t>Y</t>
        </is>
      </c>
      <c r="K87" s="97" t="inlineStr">
        <is>
          <t>Y</t>
        </is>
      </c>
      <c r="L87" s="97" t="inlineStr">
        <is>
          <t>Y</t>
        </is>
      </c>
      <c r="M87" s="97" t="n">
        <v>58.8</v>
      </c>
      <c r="N87" s="97" t="inlineStr">
        <is>
          <t>Y</t>
        </is>
      </c>
      <c r="O87" s="97" t="n">
        <v>15.95</v>
      </c>
      <c r="P87" s="97" t="inlineStr">
        <is>
          <t>N</t>
        </is>
      </c>
      <c r="Q87" s="97" t="inlineStr">
        <is>
          <t>N/A</t>
        </is>
      </c>
      <c r="R87" s="97" t="inlineStr">
        <is>
          <t>N</t>
        </is>
      </c>
      <c r="S87" s="97" t="n">
        <v>3.9</v>
      </c>
      <c r="T87" s="97" t="n">
        <v>10.2</v>
      </c>
      <c r="U87" s="97" t="inlineStr">
        <is>
          <t>Y</t>
        </is>
      </c>
      <c r="V87" s="97" t="n">
        <v>63.1</v>
      </c>
      <c r="W87" s="97" t="n">
        <v>41.4</v>
      </c>
      <c r="X87" s="97" t="n">
        <v>12.39</v>
      </c>
      <c r="Y87" s="97" t="n">
        <v>-12.5</v>
      </c>
      <c r="Z87" s="97" t="n">
        <v>6</v>
      </c>
      <c r="AA87" s="92" t="inlineStr">
        <is>
          <t>WATCHLIST</t>
        </is>
      </c>
    </row>
    <row r="88">
      <c r="A88" s="99" t="inlineStr">
        <is>
          <t>MSUMI</t>
        </is>
      </c>
      <c r="B88" s="99" t="inlineStr">
        <is>
          <t>Motherson Sumi Wiring India Ltd.</t>
        </is>
      </c>
      <c r="C88" s="99" t="inlineStr">
        <is>
          <t>Automobile and Auto Components</t>
        </is>
      </c>
      <c r="D88" s="99" t="inlineStr">
        <is>
          <t>BSE Smallcap</t>
        </is>
      </c>
      <c r="E88" s="99" t="n">
        <v>41.74</v>
      </c>
      <c r="F88" s="99" t="n">
        <v>4.06</v>
      </c>
      <c r="G88" s="99" t="n">
        <v>12207219</v>
      </c>
      <c r="H88" s="99" t="n">
        <v>2.21</v>
      </c>
      <c r="I88" s="99" t="n">
        <v>27681</v>
      </c>
      <c r="J88" s="99" t="inlineStr">
        <is>
          <t>Y</t>
        </is>
      </c>
      <c r="K88" s="99" t="inlineStr">
        <is>
          <t>Y</t>
        </is>
      </c>
      <c r="L88" s="99" t="inlineStr">
        <is>
          <t>N</t>
        </is>
      </c>
      <c r="M88" s="99" t="n">
        <v>58.7</v>
      </c>
      <c r="N88" s="99" t="inlineStr">
        <is>
          <t>Y</t>
        </is>
      </c>
      <c r="O88" s="99" t="n">
        <v>1.01</v>
      </c>
      <c r="P88" s="99" t="inlineStr">
        <is>
          <t>N</t>
        </is>
      </c>
      <c r="Q88" s="99" t="inlineStr">
        <is>
          <t>N/A</t>
        </is>
      </c>
      <c r="R88" s="99" t="inlineStr">
        <is>
          <t>N</t>
        </is>
      </c>
      <c r="S88" s="99" t="n">
        <v>2.9</v>
      </c>
      <c r="T88" s="99" t="n">
        <v>4.9</v>
      </c>
      <c r="U88" s="99" t="inlineStr">
        <is>
          <t>Y</t>
        </is>
      </c>
      <c r="V88" s="99" t="n">
        <v>42.6</v>
      </c>
      <c r="W88" s="99" t="n">
        <v>32.4</v>
      </c>
      <c r="X88" s="99" t="n">
        <v>10.79</v>
      </c>
      <c r="Y88" s="99" t="n">
        <v>12</v>
      </c>
      <c r="Z88" s="99" t="n">
        <v>6</v>
      </c>
      <c r="AA88" s="94" t="inlineStr">
        <is>
          <t>WATCHLIST</t>
        </is>
      </c>
    </row>
    <row r="89">
      <c r="A89" s="97" t="inlineStr">
        <is>
          <t>NAVINFLUOR</t>
        </is>
      </c>
      <c r="B89" s="97" t="inlineStr">
        <is>
          <t>Navin Fluorine International Ltd.</t>
        </is>
      </c>
      <c r="C89" s="97" t="inlineStr">
        <is>
          <t>Chemicals</t>
        </is>
      </c>
      <c r="D89" s="97" t="inlineStr">
        <is>
          <t>BSE Smallcap</t>
        </is>
      </c>
      <c r="E89" s="97" t="n">
        <v>7520</v>
      </c>
      <c r="F89" s="97" t="n">
        <v>-2</v>
      </c>
      <c r="G89" s="97" t="n">
        <v>70434</v>
      </c>
      <c r="H89" s="97" t="n">
        <v>0.49</v>
      </c>
      <c r="I89" s="97" t="n">
        <v>39557</v>
      </c>
      <c r="J89" s="97" t="inlineStr">
        <is>
          <t>Y</t>
        </is>
      </c>
      <c r="K89" s="97" t="inlineStr">
        <is>
          <t>Y</t>
        </is>
      </c>
      <c r="L89" s="97" t="inlineStr">
        <is>
          <t>Y</t>
        </is>
      </c>
      <c r="M89" s="97" t="n">
        <v>43.6</v>
      </c>
      <c r="N89" s="97" t="inlineStr">
        <is>
          <t>N</t>
        </is>
      </c>
      <c r="O89" s="97" t="n">
        <v>212.68</v>
      </c>
      <c r="P89" s="97" t="inlineStr">
        <is>
          <t>N</t>
        </is>
      </c>
      <c r="Q89" s="97" t="inlineStr">
        <is>
          <t>N/A</t>
        </is>
      </c>
      <c r="R89" s="97" t="inlineStr">
        <is>
          <t>N</t>
        </is>
      </c>
      <c r="S89" s="97" t="n">
        <v>-0.9</v>
      </c>
      <c r="T89" s="97" t="n">
        <v>11.8</v>
      </c>
      <c r="U89" s="97" t="inlineStr">
        <is>
          <t>Y</t>
        </is>
      </c>
      <c r="V89" s="97" t="n">
        <v>59.3</v>
      </c>
      <c r="W89" s="97" t="n">
        <v>20.1</v>
      </c>
      <c r="X89" s="97" t="n">
        <v>32.09</v>
      </c>
      <c r="Y89" s="97" t="n">
        <v>14.7</v>
      </c>
      <c r="Z89" s="97" t="n">
        <v>6</v>
      </c>
      <c r="AA89" s="92" t="inlineStr">
        <is>
          <t>WATCHLIST</t>
        </is>
      </c>
    </row>
    <row r="90">
      <c r="A90" s="99" t="inlineStr">
        <is>
          <t>NIVABUPA</t>
        </is>
      </c>
      <c r="B90" s="99" t="inlineStr">
        <is>
          <t>Niva Bupa Health Insurance Company Ltd.</t>
        </is>
      </c>
      <c r="C90" s="99" t="inlineStr">
        <is>
          <t>Financial Services</t>
        </is>
      </c>
      <c r="D90" s="99" t="inlineStr">
        <is>
          <t>NSE Smallcap</t>
        </is>
      </c>
      <c r="E90" s="99" t="n">
        <v>86.64</v>
      </c>
      <c r="F90" s="99" t="n">
        <v>2.39</v>
      </c>
      <c r="G90" s="99" t="n">
        <v>1115705</v>
      </c>
      <c r="H90" s="99" t="n">
        <v>1.53</v>
      </c>
      <c r="I90" s="99" t="n">
        <v>16074</v>
      </c>
      <c r="J90" s="99" t="inlineStr">
        <is>
          <t>Y</t>
        </is>
      </c>
      <c r="K90" s="99" t="inlineStr">
        <is>
          <t>Y</t>
        </is>
      </c>
      <c r="L90" s="99" t="inlineStr">
        <is>
          <t>Y</t>
        </is>
      </c>
      <c r="M90" s="99" t="n">
        <v>53.2</v>
      </c>
      <c r="N90" s="99" t="inlineStr">
        <is>
          <t>Y</t>
        </is>
      </c>
      <c r="O90" s="99" t="n">
        <v>2.38</v>
      </c>
      <c r="P90" s="99" t="inlineStr">
        <is>
          <t>N</t>
        </is>
      </c>
      <c r="Q90" s="99" t="inlineStr">
        <is>
          <t>N/A</t>
        </is>
      </c>
      <c r="R90" s="99" t="inlineStr">
        <is>
          <t>N</t>
        </is>
      </c>
      <c r="S90" s="99" t="n">
        <v>2.4</v>
      </c>
      <c r="T90" s="99" t="n">
        <v>12.9</v>
      </c>
      <c r="U90" s="99" t="inlineStr">
        <is>
          <t>Y</t>
        </is>
      </c>
      <c r="V90" s="99" t="n">
        <v>122.4</v>
      </c>
      <c r="W90" s="99" t="n">
        <v>10.7</v>
      </c>
      <c r="X90" s="99" t="n">
        <v>9.880000000000001</v>
      </c>
      <c r="Y90" s="99" t="n">
        <v>493.8</v>
      </c>
      <c r="Z90" s="99" t="n">
        <v>6</v>
      </c>
      <c r="AA90" s="94" t="inlineStr">
        <is>
          <t>WATCHLIST</t>
        </is>
      </c>
    </row>
    <row r="91">
      <c r="A91" s="97" t="inlineStr">
        <is>
          <t>NUVAMA</t>
        </is>
      </c>
      <c r="B91" s="97" t="inlineStr">
        <is>
          <t>Nuvama Wealth Management Ltd.</t>
        </is>
      </c>
      <c r="C91" s="97" t="inlineStr">
        <is>
          <t>Financial Services</t>
        </is>
      </c>
      <c r="D91" s="97" t="inlineStr">
        <is>
          <t>BSE Smallcap</t>
        </is>
      </c>
      <c r="E91" s="97" t="n">
        <v>1916.6</v>
      </c>
      <c r="F91" s="97" t="n">
        <v>-3.21</v>
      </c>
      <c r="G91" s="97" t="n">
        <v>475623</v>
      </c>
      <c r="H91" s="97" t="n">
        <v>0.31</v>
      </c>
      <c r="I91" s="97" t="n">
        <v>34983</v>
      </c>
      <c r="J91" s="97" t="inlineStr">
        <is>
          <t>Y</t>
        </is>
      </c>
      <c r="K91" s="97" t="inlineStr">
        <is>
          <t>Y</t>
        </is>
      </c>
      <c r="L91" s="97" t="inlineStr">
        <is>
          <t>Y</t>
        </is>
      </c>
      <c r="M91" s="97" t="n">
        <v>50</v>
      </c>
      <c r="N91" s="97" t="inlineStr">
        <is>
          <t>N</t>
        </is>
      </c>
      <c r="O91" s="97" t="n">
        <v>79.04000000000001</v>
      </c>
      <c r="P91" s="97" t="inlineStr">
        <is>
          <t>N</t>
        </is>
      </c>
      <c r="Q91" s="97" t="inlineStr">
        <is>
          <t>N/A</t>
        </is>
      </c>
      <c r="R91" s="97" t="inlineStr">
        <is>
          <t>N</t>
        </is>
      </c>
      <c r="S91" s="97" t="n">
        <v>9.9</v>
      </c>
      <c r="T91" s="97" t="n">
        <v>46.3</v>
      </c>
      <c r="U91" s="97" t="inlineStr">
        <is>
          <t>Y</t>
        </is>
      </c>
      <c r="V91" s="97" t="n">
        <v>34.2</v>
      </c>
      <c r="W91" s="97" t="n">
        <v>27.3</v>
      </c>
      <c r="X91" s="97" t="n">
        <v>282.32</v>
      </c>
      <c r="Y91" s="97" t="n">
        <v>6</v>
      </c>
      <c r="Z91" s="97" t="n">
        <v>6</v>
      </c>
      <c r="AA91" s="92" t="inlineStr">
        <is>
          <t>WATCHLIST</t>
        </is>
      </c>
    </row>
    <row r="92">
      <c r="A92" s="99" t="inlineStr">
        <is>
          <t>PAYTM</t>
        </is>
      </c>
      <c r="B92" s="99" t="inlineStr">
        <is>
          <t>One 97 Communications Ltd.</t>
        </is>
      </c>
      <c r="C92" s="99" t="inlineStr">
        <is>
          <t>Financial Services</t>
        </is>
      </c>
      <c r="D92" s="99" t="inlineStr">
        <is>
          <t>Large/Midcap</t>
        </is>
      </c>
      <c r="E92" s="99" t="n">
        <v>1289.4</v>
      </c>
      <c r="F92" s="99" t="n">
        <v>0.48</v>
      </c>
      <c r="G92" s="99" t="n">
        <v>2199063</v>
      </c>
      <c r="H92" s="99" t="n">
        <v>0.71</v>
      </c>
      <c r="I92" s="99" t="n">
        <v>82610</v>
      </c>
      <c r="J92" s="99" t="inlineStr">
        <is>
          <t>Y</t>
        </is>
      </c>
      <c r="K92" s="99" t="inlineStr">
        <is>
          <t>Y</t>
        </is>
      </c>
      <c r="L92" s="99" t="inlineStr">
        <is>
          <t>Y</t>
        </is>
      </c>
      <c r="M92" s="99" t="n">
        <v>56.2</v>
      </c>
      <c r="N92" s="99" t="inlineStr">
        <is>
          <t>Y</t>
        </is>
      </c>
      <c r="O92" s="99" t="n">
        <v>51.35</v>
      </c>
      <c r="P92" s="99" t="inlineStr">
        <is>
          <t>N</t>
        </is>
      </c>
      <c r="Q92" s="99" t="inlineStr">
        <is>
          <t>N/A</t>
        </is>
      </c>
      <c r="R92" s="99" t="inlineStr">
        <is>
          <t>N</t>
        </is>
      </c>
      <c r="S92" s="99" t="n">
        <v>14.9</v>
      </c>
      <c r="T92" s="99" t="n">
        <v>18.1</v>
      </c>
      <c r="U92" s="99" t="inlineStr">
        <is>
          <t>Y</t>
        </is>
      </c>
      <c r="V92" s="99" t="n">
        <v>128.2</v>
      </c>
      <c r="W92" s="99" t="inlineStr">
        <is>
          <t>N/A</t>
        </is>
      </c>
      <c r="X92" s="99" t="n">
        <v>1.07</v>
      </c>
      <c r="Y92" s="99" t="n">
        <v>19.6</v>
      </c>
      <c r="Z92" s="99" t="n">
        <v>6</v>
      </c>
      <c r="AA92" s="94" t="inlineStr">
        <is>
          <t>WATCHLIST</t>
        </is>
      </c>
    </row>
    <row r="93">
      <c r="A93" s="97" t="inlineStr">
        <is>
          <t>PCBL</t>
        </is>
      </c>
      <c r="B93" s="97" t="inlineStr">
        <is>
          <t>PCBL Chemical Ltd.</t>
        </is>
      </c>
      <c r="C93" s="97" t="inlineStr">
        <is>
          <t>Chemicals</t>
        </is>
      </c>
      <c r="D93" s="97" t="inlineStr">
        <is>
          <t>BSE Smallcap</t>
        </is>
      </c>
      <c r="E93" s="97" t="n">
        <v>326.15</v>
      </c>
      <c r="F93" s="97" t="n">
        <v>2.6</v>
      </c>
      <c r="G93" s="97" t="n">
        <v>666364</v>
      </c>
      <c r="H93" s="97" t="n">
        <v>0.65</v>
      </c>
      <c r="I93" s="97" t="n">
        <v>12833</v>
      </c>
      <c r="J93" s="97" t="inlineStr">
        <is>
          <t>Y</t>
        </is>
      </c>
      <c r="K93" s="97" t="inlineStr">
        <is>
          <t>Y</t>
        </is>
      </c>
      <c r="L93" s="97" t="inlineStr">
        <is>
          <t>Y</t>
        </is>
      </c>
      <c r="M93" s="97" t="n">
        <v>55.8</v>
      </c>
      <c r="N93" s="97" t="inlineStr">
        <is>
          <t>Y</t>
        </is>
      </c>
      <c r="O93" s="97" t="n">
        <v>12.46</v>
      </c>
      <c r="P93" s="97" t="inlineStr">
        <is>
          <t>N</t>
        </is>
      </c>
      <c r="Q93" s="97" t="inlineStr">
        <is>
          <t>N/A</t>
        </is>
      </c>
      <c r="R93" s="97" t="inlineStr">
        <is>
          <t>N</t>
        </is>
      </c>
      <c r="S93" s="97" t="n">
        <v>3</v>
      </c>
      <c r="T93" s="97" t="n">
        <v>12.6</v>
      </c>
      <c r="U93" s="97" t="inlineStr">
        <is>
          <t>Y</t>
        </is>
      </c>
      <c r="V93" s="97" t="n">
        <v>62.1</v>
      </c>
      <c r="W93" s="97" t="n">
        <v>5.1</v>
      </c>
      <c r="X93" s="97" t="n">
        <v>124.13</v>
      </c>
      <c r="Y93" s="97" t="n">
        <v>1882.8</v>
      </c>
      <c r="Z93" s="97" t="n">
        <v>6</v>
      </c>
      <c r="AA93" s="92" t="inlineStr">
        <is>
          <t>WATCHLIST</t>
        </is>
      </c>
    </row>
    <row r="94">
      <c r="A94" s="99" t="inlineStr">
        <is>
          <t>PGEL</t>
        </is>
      </c>
      <c r="B94" s="99" t="inlineStr">
        <is>
          <t>PG Electroplast Ltd.</t>
        </is>
      </c>
      <c r="C94" s="99" t="inlineStr">
        <is>
          <t>Consumer Durables</t>
        </is>
      </c>
      <c r="D94" s="99" t="inlineStr">
        <is>
          <t>BSE Smallcap</t>
        </is>
      </c>
      <c r="E94" s="99" t="n">
        <v>572.45</v>
      </c>
      <c r="F94" s="99" t="n">
        <v>-0.73</v>
      </c>
      <c r="G94" s="99" t="n">
        <v>870572</v>
      </c>
      <c r="H94" s="99" t="n">
        <v>0.41</v>
      </c>
      <c r="I94" s="99" t="n">
        <v>16608</v>
      </c>
      <c r="J94" s="99" t="inlineStr">
        <is>
          <t>Y</t>
        </is>
      </c>
      <c r="K94" s="99" t="inlineStr">
        <is>
          <t>Y</t>
        </is>
      </c>
      <c r="L94" s="99" t="inlineStr">
        <is>
          <t>Y</t>
        </is>
      </c>
      <c r="M94" s="99" t="n">
        <v>50.7</v>
      </c>
      <c r="N94" s="99" t="inlineStr">
        <is>
          <t>Y</t>
        </is>
      </c>
      <c r="O94" s="99" t="n">
        <v>23.17</v>
      </c>
      <c r="P94" s="99" t="inlineStr">
        <is>
          <t>N</t>
        </is>
      </c>
      <c r="Q94" s="99" t="inlineStr">
        <is>
          <t>N/A</t>
        </is>
      </c>
      <c r="R94" s="99" t="inlineStr">
        <is>
          <t>N</t>
        </is>
      </c>
      <c r="S94" s="99" t="n">
        <v>5.1</v>
      </c>
      <c r="T94" s="99" t="n">
        <v>4.3</v>
      </c>
      <c r="U94" s="99" t="inlineStr">
        <is>
          <t>Y</t>
        </is>
      </c>
      <c r="V94" s="99" t="n">
        <v>83.7</v>
      </c>
      <c r="W94" s="99" t="n">
        <v>6.7</v>
      </c>
      <c r="X94" s="99" t="n">
        <v>19.57</v>
      </c>
      <c r="Y94" s="99" t="n">
        <v>4.7</v>
      </c>
      <c r="Z94" s="99" t="n">
        <v>6</v>
      </c>
      <c r="AA94" s="94" t="inlineStr">
        <is>
          <t>WATCHLIST</t>
        </is>
      </c>
    </row>
    <row r="95">
      <c r="A95" s="97" t="inlineStr">
        <is>
          <t>PERSISTENT</t>
        </is>
      </c>
      <c r="B95" s="97" t="inlineStr">
        <is>
          <t>Persistent Systems Ltd.</t>
        </is>
      </c>
      <c r="C95" s="97" t="inlineStr">
        <is>
          <t>Information Technology</t>
        </is>
      </c>
      <c r="D95" s="97" t="inlineStr">
        <is>
          <t>Large/Midcap</t>
        </is>
      </c>
      <c r="E95" s="97" t="n">
        <v>5268.2</v>
      </c>
      <c r="F95" s="97" t="n">
        <v>1.65</v>
      </c>
      <c r="G95" s="97" t="n">
        <v>557415</v>
      </c>
      <c r="H95" s="97" t="n">
        <v>1.03</v>
      </c>
      <c r="I95" s="97" t="n">
        <v>82306</v>
      </c>
      <c r="J95" s="97" t="inlineStr">
        <is>
          <t>Y</t>
        </is>
      </c>
      <c r="K95" s="97" t="inlineStr">
        <is>
          <t>Y</t>
        </is>
      </c>
      <c r="L95" s="97" t="inlineStr">
        <is>
          <t>N</t>
        </is>
      </c>
      <c r="M95" s="97" t="n">
        <v>65.09999999999999</v>
      </c>
      <c r="N95" s="97" t="inlineStr">
        <is>
          <t>Y</t>
        </is>
      </c>
      <c r="O95" s="97" t="n">
        <v>164.21</v>
      </c>
      <c r="P95" s="97" t="inlineStr">
        <is>
          <t>N</t>
        </is>
      </c>
      <c r="Q95" s="97" t="inlineStr">
        <is>
          <t>N/A</t>
        </is>
      </c>
      <c r="R95" s="97" t="inlineStr">
        <is>
          <t>N</t>
        </is>
      </c>
      <c r="S95" s="97" t="n">
        <v>9.4</v>
      </c>
      <c r="T95" s="97" t="n">
        <v>10.5</v>
      </c>
      <c r="U95" s="97" t="inlineStr">
        <is>
          <t>Y</t>
        </is>
      </c>
      <c r="V95" s="97" t="n">
        <v>43.7</v>
      </c>
      <c r="W95" s="97" t="n">
        <v>26.3</v>
      </c>
      <c r="X95" s="97" t="n">
        <v>6.09</v>
      </c>
      <c r="Y95" s="97" t="n">
        <v>20.4</v>
      </c>
      <c r="Z95" s="97" t="n">
        <v>6</v>
      </c>
      <c r="AA95" s="92" t="inlineStr">
        <is>
          <t>WATCHLIST</t>
        </is>
      </c>
    </row>
    <row r="96">
      <c r="A96" s="99" t="inlineStr">
        <is>
          <t>PIDILITIND</t>
        </is>
      </c>
      <c r="B96" s="99" t="inlineStr">
        <is>
          <t>Pidilite Industries Ltd.</t>
        </is>
      </c>
      <c r="C96" s="99" t="inlineStr">
        <is>
          <t>Chemicals</t>
        </is>
      </c>
      <c r="D96" s="99" t="inlineStr">
        <is>
          <t>Large/Midcap</t>
        </is>
      </c>
      <c r="E96" s="99" t="n">
        <v>1570.9</v>
      </c>
      <c r="F96" s="99" t="n">
        <v>0.43</v>
      </c>
      <c r="G96" s="99" t="n">
        <v>2199982</v>
      </c>
      <c r="H96" s="99" t="n">
        <v>1.49</v>
      </c>
      <c r="I96" s="99" t="n">
        <v>163997</v>
      </c>
      <c r="J96" s="99" t="inlineStr">
        <is>
          <t>Y</t>
        </is>
      </c>
      <c r="K96" s="99" t="inlineStr">
        <is>
          <t>Y</t>
        </is>
      </c>
      <c r="L96" s="99" t="inlineStr">
        <is>
          <t>Y</t>
        </is>
      </c>
      <c r="M96" s="99" t="n">
        <v>42.8</v>
      </c>
      <c r="N96" s="99" t="inlineStr">
        <is>
          <t>N</t>
        </is>
      </c>
      <c r="O96" s="99" t="n">
        <v>35.17</v>
      </c>
      <c r="P96" s="99" t="inlineStr">
        <is>
          <t>Y</t>
        </is>
      </c>
      <c r="Q96" s="99" t="inlineStr">
        <is>
          <t>N/A</t>
        </is>
      </c>
      <c r="R96" s="99" t="inlineStr">
        <is>
          <t>N</t>
        </is>
      </c>
      <c r="S96" s="99" t="n">
        <v>-0.7</v>
      </c>
      <c r="T96" s="99" t="n">
        <v>14.3</v>
      </c>
      <c r="U96" s="99" t="inlineStr">
        <is>
          <t>Y</t>
        </is>
      </c>
      <c r="V96" s="99" t="n">
        <v>67.09999999999999</v>
      </c>
      <c r="W96" s="99" t="n">
        <v>23.5</v>
      </c>
      <c r="X96" s="99" t="n">
        <v>3.78</v>
      </c>
      <c r="Y96" s="99" t="n">
        <v>-6.3</v>
      </c>
      <c r="Z96" s="99" t="n">
        <v>6</v>
      </c>
      <c r="AA96" s="94" t="inlineStr">
        <is>
          <t>WATCHLIST</t>
        </is>
      </c>
    </row>
    <row r="97">
      <c r="A97" s="97" t="inlineStr">
        <is>
          <t>POWERGRID</t>
        </is>
      </c>
      <c r="B97" s="97" t="inlineStr">
        <is>
          <t>Power Grid Corporation of India Ltd.</t>
        </is>
      </c>
      <c r="C97" s="97" t="inlineStr">
        <is>
          <t>Power</t>
        </is>
      </c>
      <c r="D97" s="97" t="inlineStr">
        <is>
          <t>Large/Midcap</t>
        </is>
      </c>
      <c r="E97" s="97" t="n">
        <v>288.85</v>
      </c>
      <c r="F97" s="97" t="n">
        <v>0.23</v>
      </c>
      <c r="G97" s="97" t="n">
        <v>12143388</v>
      </c>
      <c r="H97" s="97" t="n">
        <v>1.78</v>
      </c>
      <c r="I97" s="97" t="n">
        <v>268648</v>
      </c>
      <c r="J97" s="97" t="inlineStr">
        <is>
          <t>Y</t>
        </is>
      </c>
      <c r="K97" s="97" t="inlineStr">
        <is>
          <t>Y</t>
        </is>
      </c>
      <c r="L97" s="97" t="inlineStr">
        <is>
          <t>Y</t>
        </is>
      </c>
      <c r="M97" s="97" t="n">
        <v>57.1</v>
      </c>
      <c r="N97" s="97" t="inlineStr">
        <is>
          <t>Y</t>
        </is>
      </c>
      <c r="O97" s="97" t="n">
        <v>4.89</v>
      </c>
      <c r="P97" s="97" t="inlineStr">
        <is>
          <t>N</t>
        </is>
      </c>
      <c r="Q97" s="97" t="inlineStr">
        <is>
          <t>N/A</t>
        </is>
      </c>
      <c r="R97" s="97" t="inlineStr">
        <is>
          <t>N</t>
        </is>
      </c>
      <c r="S97" s="97" t="n">
        <v>2</v>
      </c>
      <c r="T97" s="97" t="n">
        <v>-8.9</v>
      </c>
      <c r="U97" s="97" t="inlineStr">
        <is>
          <t>N</t>
        </is>
      </c>
      <c r="V97" s="97" t="n">
        <v>14.4</v>
      </c>
      <c r="W97" s="97" t="n">
        <v>16.5</v>
      </c>
      <c r="X97" s="97" t="n">
        <v>150.99</v>
      </c>
      <c r="Y97" s="97" t="n">
        <v>8.6</v>
      </c>
      <c r="Z97" s="97" t="n">
        <v>6</v>
      </c>
      <c r="AA97" s="92" t="inlineStr">
        <is>
          <t>WATCHLIST</t>
        </is>
      </c>
    </row>
    <row r="98">
      <c r="A98" s="99" t="inlineStr">
        <is>
          <t>RKFORGE</t>
        </is>
      </c>
      <c r="B98" s="99" t="inlineStr">
        <is>
          <t>Ramkrishna Forgings Ltd.</t>
        </is>
      </c>
      <c r="C98" s="99" t="inlineStr">
        <is>
          <t>Automobile and Auto Components</t>
        </is>
      </c>
      <c r="D98" s="99" t="inlineStr">
        <is>
          <t>BSE Smallcap</t>
        </is>
      </c>
      <c r="E98" s="99" t="n">
        <v>625.45</v>
      </c>
      <c r="F98" s="99" t="n">
        <v>7.71</v>
      </c>
      <c r="G98" s="99" t="n">
        <v>12147443</v>
      </c>
      <c r="H98" s="99" t="n">
        <v>6.34</v>
      </c>
      <c r="I98" s="99" t="n">
        <v>11394</v>
      </c>
      <c r="J98" s="99" t="inlineStr">
        <is>
          <t>Y</t>
        </is>
      </c>
      <c r="K98" s="99" t="inlineStr">
        <is>
          <t>Y</t>
        </is>
      </c>
      <c r="L98" s="99" t="inlineStr">
        <is>
          <t>Y</t>
        </is>
      </c>
      <c r="M98" s="99" t="n">
        <v>68.8</v>
      </c>
      <c r="N98" s="99" t="inlineStr">
        <is>
          <t>Y</t>
        </is>
      </c>
      <c r="O98" s="99" t="n">
        <v>20.7</v>
      </c>
      <c r="P98" s="99" t="inlineStr">
        <is>
          <t>Y</t>
        </is>
      </c>
      <c r="Q98" s="99" t="inlineStr">
        <is>
          <t>N/A</t>
        </is>
      </c>
      <c r="R98" s="99" t="inlineStr">
        <is>
          <t>N</t>
        </is>
      </c>
      <c r="S98" s="99" t="n">
        <v>11.2</v>
      </c>
      <c r="T98" s="99" t="n">
        <v>5.1</v>
      </c>
      <c r="U98" s="99" t="inlineStr">
        <is>
          <t>Y</t>
        </is>
      </c>
      <c r="V98" s="99" t="n">
        <v>100.1</v>
      </c>
      <c r="W98" s="99" t="inlineStr">
        <is>
          <t>N/A</t>
        </is>
      </c>
      <c r="X98" s="99" t="n">
        <v>74.42</v>
      </c>
      <c r="Y98" s="99" t="n">
        <v>-16.2</v>
      </c>
      <c r="Z98" s="99" t="n">
        <v>6</v>
      </c>
      <c r="AA98" s="94" t="inlineStr">
        <is>
          <t>WATCHLIST</t>
        </is>
      </c>
    </row>
    <row r="99">
      <c r="A99" s="97" t="inlineStr">
        <is>
          <t>MOTHERSON</t>
        </is>
      </c>
      <c r="B99" s="97" t="inlineStr">
        <is>
          <t>Samvardhana Motherson International Ltd.</t>
        </is>
      </c>
      <c r="C99" s="97" t="inlineStr">
        <is>
          <t>Automobile and Auto Components</t>
        </is>
      </c>
      <c r="D99" s="97" t="inlineStr">
        <is>
          <t>Large/Midcap</t>
        </is>
      </c>
      <c r="E99" s="97" t="n">
        <v>148.97</v>
      </c>
      <c r="F99" s="97" t="n">
        <v>2.35</v>
      </c>
      <c r="G99" s="97" t="n">
        <v>13920800</v>
      </c>
      <c r="H99" s="97" t="n">
        <v>1</v>
      </c>
      <c r="I99" s="97" t="n">
        <v>156884</v>
      </c>
      <c r="J99" s="97" t="inlineStr">
        <is>
          <t>Y</t>
        </is>
      </c>
      <c r="K99" s="97" t="inlineStr">
        <is>
          <t>Y</t>
        </is>
      </c>
      <c r="L99" s="97" t="inlineStr">
        <is>
          <t>Y</t>
        </is>
      </c>
      <c r="M99" s="97" t="n">
        <v>64.7</v>
      </c>
      <c r="N99" s="97" t="inlineStr">
        <is>
          <t>Y</t>
        </is>
      </c>
      <c r="O99" s="97" t="n">
        <v>3.52</v>
      </c>
      <c r="P99" s="97" t="inlineStr">
        <is>
          <t>N</t>
        </is>
      </c>
      <c r="Q99" s="97" t="inlineStr">
        <is>
          <t>N/A</t>
        </is>
      </c>
      <c r="R99" s="97" t="inlineStr">
        <is>
          <t>N</t>
        </is>
      </c>
      <c r="S99" s="97" t="n">
        <v>-1.4</v>
      </c>
      <c r="T99" s="97" t="n">
        <v>23.5</v>
      </c>
      <c r="U99" s="97" t="inlineStr">
        <is>
          <t>Y</t>
        </is>
      </c>
      <c r="V99" s="97" t="n">
        <v>39.8</v>
      </c>
      <c r="W99" s="97" t="n">
        <v>10.1</v>
      </c>
      <c r="X99" s="97" t="n">
        <v>43.91</v>
      </c>
      <c r="Y99" s="97" t="n">
        <v>46.2</v>
      </c>
      <c r="Z99" s="97" t="n">
        <v>6</v>
      </c>
      <c r="AA99" s="92" t="inlineStr">
        <is>
          <t>WATCHLIST</t>
        </is>
      </c>
    </row>
    <row r="100">
      <c r="A100" s="99" t="inlineStr">
        <is>
          <t>SAREGAMA</t>
        </is>
      </c>
      <c r="B100" s="99" t="inlineStr">
        <is>
          <t>Saregama India Ltd</t>
        </is>
      </c>
      <c r="C100" s="99" t="inlineStr">
        <is>
          <t>Media Entertainment &amp; Publication</t>
        </is>
      </c>
      <c r="D100" s="99" t="inlineStr">
        <is>
          <t>NSE Smallcap</t>
        </is>
      </c>
      <c r="E100" s="99" t="n">
        <v>496.5</v>
      </c>
      <c r="F100" s="99" t="n">
        <v>1.59</v>
      </c>
      <c r="G100" s="99" t="n">
        <v>417896</v>
      </c>
      <c r="H100" s="99" t="n">
        <v>0.9399999999999999</v>
      </c>
      <c r="I100" s="99" t="n">
        <v>9883</v>
      </c>
      <c r="J100" s="99" t="inlineStr">
        <is>
          <t>Y</t>
        </is>
      </c>
      <c r="K100" s="99" t="inlineStr">
        <is>
          <t>Y</t>
        </is>
      </c>
      <c r="L100" s="99" t="inlineStr">
        <is>
          <t>Y</t>
        </is>
      </c>
      <c r="M100" s="99" t="n">
        <v>52.4</v>
      </c>
      <c r="N100" s="99" t="inlineStr">
        <is>
          <t>Y</t>
        </is>
      </c>
      <c r="O100" s="99" t="n">
        <v>21.87</v>
      </c>
      <c r="P100" s="99" t="inlineStr">
        <is>
          <t>N</t>
        </is>
      </c>
      <c r="Q100" s="99" t="inlineStr">
        <is>
          <t>N/A</t>
        </is>
      </c>
      <c r="R100" s="99" t="inlineStr">
        <is>
          <t>N</t>
        </is>
      </c>
      <c r="S100" s="99" t="n">
        <v>3.5</v>
      </c>
      <c r="T100" s="99" t="n">
        <v>42.5</v>
      </c>
      <c r="U100" s="99" t="inlineStr">
        <is>
          <t>Y</t>
        </is>
      </c>
      <c r="V100" s="99" t="n">
        <v>48</v>
      </c>
      <c r="W100" s="99" t="n">
        <v>12.6</v>
      </c>
      <c r="X100" s="99" t="n">
        <v>4.28</v>
      </c>
      <c r="Y100" s="99" t="n">
        <v>47.1</v>
      </c>
      <c r="Z100" s="99" t="n">
        <v>6</v>
      </c>
      <c r="AA100" s="94" t="inlineStr">
        <is>
          <t>WATCHLIST</t>
        </is>
      </c>
    </row>
    <row r="101">
      <c r="A101" s="97" t="inlineStr">
        <is>
          <t>SHYAMMETL</t>
        </is>
      </c>
      <c r="B101" s="97" t="inlineStr">
        <is>
          <t>Shyam Metalics and Energy Ltd.</t>
        </is>
      </c>
      <c r="C101" s="97" t="inlineStr">
        <is>
          <t>Capital Goods</t>
        </is>
      </c>
      <c r="D101" s="97" t="inlineStr">
        <is>
          <t>BSE Smallcap</t>
        </is>
      </c>
      <c r="E101" s="97" t="n">
        <v>1027.45</v>
      </c>
      <c r="F101" s="97" t="n">
        <v>-1.01</v>
      </c>
      <c r="G101" s="97" t="n">
        <v>132990</v>
      </c>
      <c r="H101" s="97" t="n">
        <v>0.26</v>
      </c>
      <c r="I101" s="97" t="n">
        <v>28810</v>
      </c>
      <c r="J101" s="97" t="inlineStr">
        <is>
          <t>Y</t>
        </is>
      </c>
      <c r="K101" s="97" t="inlineStr">
        <is>
          <t>Y</t>
        </is>
      </c>
      <c r="L101" s="97" t="inlineStr">
        <is>
          <t>Y</t>
        </is>
      </c>
      <c r="M101" s="97" t="n">
        <v>63.4</v>
      </c>
      <c r="N101" s="97" t="inlineStr">
        <is>
          <t>Y</t>
        </is>
      </c>
      <c r="O101" s="97" t="n">
        <v>37.65</v>
      </c>
      <c r="P101" s="97" t="inlineStr">
        <is>
          <t>N</t>
        </is>
      </c>
      <c r="Q101" s="97" t="inlineStr">
        <is>
          <t>N/A</t>
        </is>
      </c>
      <c r="R101" s="97" t="inlineStr">
        <is>
          <t>N</t>
        </is>
      </c>
      <c r="S101" s="97" t="n">
        <v>9.1</v>
      </c>
      <c r="T101" s="97" t="n">
        <v>16.9</v>
      </c>
      <c r="U101" s="97" t="inlineStr">
        <is>
          <t>Y</t>
        </is>
      </c>
      <c r="V101" s="97" t="n">
        <v>25.8</v>
      </c>
      <c r="W101" s="97" t="inlineStr">
        <is>
          <t>N/A</t>
        </is>
      </c>
      <c r="X101" s="97" t="n">
        <v>8.130000000000001</v>
      </c>
      <c r="Y101" s="97" t="n">
        <v>8.1</v>
      </c>
      <c r="Z101" s="97" t="n">
        <v>6</v>
      </c>
      <c r="AA101" s="92" t="inlineStr">
        <is>
          <t>WATCHLIST</t>
        </is>
      </c>
    </row>
    <row r="102">
      <c r="A102" s="99" t="inlineStr">
        <is>
          <t>SOLARINDS</t>
        </is>
      </c>
      <c r="B102" s="99" t="inlineStr">
        <is>
          <t>Solar Industries India Ltd.</t>
        </is>
      </c>
      <c r="C102" s="99" t="inlineStr">
        <is>
          <t>Chemicals</t>
        </is>
      </c>
      <c r="D102" s="99" t="inlineStr">
        <is>
          <t>Large/Midcap</t>
        </is>
      </c>
      <c r="E102" s="99" t="n">
        <v>18494</v>
      </c>
      <c r="F102" s="99" t="n">
        <v>-0.68</v>
      </c>
      <c r="G102" s="99" t="n">
        <v>75835</v>
      </c>
      <c r="H102" s="99" t="n">
        <v>0.92</v>
      </c>
      <c r="I102" s="99" t="n">
        <v>168565</v>
      </c>
      <c r="J102" s="99" t="inlineStr">
        <is>
          <t>Y</t>
        </is>
      </c>
      <c r="K102" s="99" t="inlineStr">
        <is>
          <t>Y</t>
        </is>
      </c>
      <c r="L102" s="99" t="inlineStr">
        <is>
          <t>Y</t>
        </is>
      </c>
      <c r="M102" s="99" t="n">
        <v>49.4</v>
      </c>
      <c r="N102" s="99" t="inlineStr">
        <is>
          <t>N</t>
        </is>
      </c>
      <c r="O102" s="99" t="n">
        <v>547.5700000000001</v>
      </c>
      <c r="P102" s="99" t="inlineStr">
        <is>
          <t>N</t>
        </is>
      </c>
      <c r="Q102" s="99" t="inlineStr">
        <is>
          <t>N/A</t>
        </is>
      </c>
      <c r="R102" s="99" t="inlineStr">
        <is>
          <t>N</t>
        </is>
      </c>
      <c r="S102" s="99" t="n">
        <v>6.4</v>
      </c>
      <c r="T102" s="99" t="n">
        <v>20.7</v>
      </c>
      <c r="U102" s="99" t="inlineStr">
        <is>
          <t>Y</t>
        </is>
      </c>
      <c r="V102" s="99" t="n">
        <v>100.7</v>
      </c>
      <c r="W102" s="99" t="n">
        <v>31.2</v>
      </c>
      <c r="X102" s="99" t="n">
        <v>23.27</v>
      </c>
      <c r="Y102" s="99" t="n">
        <v>22.7</v>
      </c>
      <c r="Z102" s="99" t="n">
        <v>6</v>
      </c>
      <c r="AA102" s="94" t="inlineStr">
        <is>
          <t>WATCHLIST</t>
        </is>
      </c>
    </row>
    <row r="103">
      <c r="A103" s="97" t="inlineStr">
        <is>
          <t>SONATSOFTW</t>
        </is>
      </c>
      <c r="B103" s="97" t="inlineStr">
        <is>
          <t>Sonata Software Ltd.</t>
        </is>
      </c>
      <c r="C103" s="97" t="inlineStr">
        <is>
          <t>Information Technology</t>
        </is>
      </c>
      <c r="D103" s="97" t="inlineStr">
        <is>
          <t>BSE Smallcap</t>
        </is>
      </c>
      <c r="E103" s="97" t="n">
        <v>293.35</v>
      </c>
      <c r="F103" s="97" t="n">
        <v>1.82</v>
      </c>
      <c r="G103" s="97" t="n">
        <v>1008207</v>
      </c>
      <c r="H103" s="97" t="n">
        <v>1.37</v>
      </c>
      <c r="I103" s="97" t="n">
        <v>8120</v>
      </c>
      <c r="J103" s="97" t="inlineStr">
        <is>
          <t>Y</t>
        </is>
      </c>
      <c r="K103" s="97" t="inlineStr">
        <is>
          <t>Y</t>
        </is>
      </c>
      <c r="L103" s="97" t="inlineStr">
        <is>
          <t>N</t>
        </is>
      </c>
      <c r="M103" s="97" t="n">
        <v>58.4</v>
      </c>
      <c r="N103" s="97" t="inlineStr">
        <is>
          <t>Y</t>
        </is>
      </c>
      <c r="O103" s="97" t="n">
        <v>13.75</v>
      </c>
      <c r="P103" s="97" t="inlineStr">
        <is>
          <t>N</t>
        </is>
      </c>
      <c r="Q103" s="97" t="inlineStr">
        <is>
          <t>N/A</t>
        </is>
      </c>
      <c r="R103" s="97" t="inlineStr">
        <is>
          <t>N</t>
        </is>
      </c>
      <c r="S103" s="97" t="n">
        <v>4.9</v>
      </c>
      <c r="T103" s="97" t="n">
        <v>17</v>
      </c>
      <c r="U103" s="97" t="inlineStr">
        <is>
          <t>Y</t>
        </is>
      </c>
      <c r="V103" s="97" t="n">
        <v>17.2</v>
      </c>
      <c r="W103" s="97" t="n">
        <v>25.7</v>
      </c>
      <c r="X103" s="97" t="n">
        <v>37.96</v>
      </c>
      <c r="Y103" s="97" t="n">
        <v>25</v>
      </c>
      <c r="Z103" s="97" t="n">
        <v>6</v>
      </c>
      <c r="AA103" s="92" t="inlineStr">
        <is>
          <t>WATCHLIST</t>
        </is>
      </c>
    </row>
    <row r="104">
      <c r="A104" s="99" t="inlineStr">
        <is>
          <t>SUMICHEM</t>
        </is>
      </c>
      <c r="B104" s="99" t="inlineStr">
        <is>
          <t>Sumitomo Chemical India Ltd.</t>
        </is>
      </c>
      <c r="C104" s="99" t="inlineStr">
        <is>
          <t>Chemicals</t>
        </is>
      </c>
      <c r="D104" s="99" t="inlineStr">
        <is>
          <t>BSE Smallcap</t>
        </is>
      </c>
      <c r="E104" s="99" t="n">
        <v>538.85</v>
      </c>
      <c r="F104" s="99" t="n">
        <v>3.54</v>
      </c>
      <c r="G104" s="99" t="n">
        <v>1891044</v>
      </c>
      <c r="H104" s="99" t="n">
        <v>6.36</v>
      </c>
      <c r="I104" s="99" t="n">
        <v>26896</v>
      </c>
      <c r="J104" s="99" t="inlineStr">
        <is>
          <t>Y</t>
        </is>
      </c>
      <c r="K104" s="99" t="inlineStr">
        <is>
          <t>Y</t>
        </is>
      </c>
      <c r="L104" s="99" t="inlineStr">
        <is>
          <t>Y</t>
        </is>
      </c>
      <c r="M104" s="99" t="n">
        <v>77.59999999999999</v>
      </c>
      <c r="N104" s="99" t="inlineStr">
        <is>
          <t>N</t>
        </is>
      </c>
      <c r="O104" s="99" t="n">
        <v>20.02</v>
      </c>
      <c r="P104" s="99" t="inlineStr">
        <is>
          <t>N</t>
        </is>
      </c>
      <c r="Q104" s="99" t="inlineStr">
        <is>
          <t>N/A</t>
        </is>
      </c>
      <c r="R104" s="99" t="inlineStr">
        <is>
          <t>N</t>
        </is>
      </c>
      <c r="S104" s="99" t="n">
        <v>24.3</v>
      </c>
      <c r="T104" s="99" t="n">
        <v>29.3</v>
      </c>
      <c r="U104" s="99" t="inlineStr">
        <is>
          <t>Y</t>
        </is>
      </c>
      <c r="V104" s="99" t="n">
        <v>47.9</v>
      </c>
      <c r="W104" s="99" t="n">
        <v>17.2</v>
      </c>
      <c r="X104" s="99" t="n">
        <v>1.86</v>
      </c>
      <c r="Y104" s="99" t="n">
        <v>47.1</v>
      </c>
      <c r="Z104" s="99" t="n">
        <v>6</v>
      </c>
      <c r="AA104" s="94" t="inlineStr">
        <is>
          <t>WATCHLIST</t>
        </is>
      </c>
    </row>
    <row r="105">
      <c r="A105" s="97" t="inlineStr">
        <is>
          <t>TVSMOTOR</t>
        </is>
      </c>
      <c r="B105" s="97" t="inlineStr">
        <is>
          <t>TVS Motor Company Ltd.</t>
        </is>
      </c>
      <c r="C105" s="97" t="inlineStr">
        <is>
          <t>Automobile and Auto Components</t>
        </is>
      </c>
      <c r="D105" s="97" t="inlineStr">
        <is>
          <t>Large/Midcap</t>
        </is>
      </c>
      <c r="E105" s="97" t="n">
        <v>3870.2</v>
      </c>
      <c r="F105" s="97" t="n">
        <v>-1.27</v>
      </c>
      <c r="G105" s="97" t="n">
        <v>1226472</v>
      </c>
      <c r="H105" s="97" t="n">
        <v>0.5</v>
      </c>
      <c r="I105" s="97" t="n">
        <v>184217</v>
      </c>
      <c r="J105" s="97" t="inlineStr">
        <is>
          <t>Y</t>
        </is>
      </c>
      <c r="K105" s="97" t="inlineStr">
        <is>
          <t>Y</t>
        </is>
      </c>
      <c r="L105" s="97" t="inlineStr">
        <is>
          <t>Y</t>
        </is>
      </c>
      <c r="M105" s="97" t="n">
        <v>61.3</v>
      </c>
      <c r="N105" s="97" t="inlineStr">
        <is>
          <t>Y</t>
        </is>
      </c>
      <c r="O105" s="97" t="n">
        <v>102.08</v>
      </c>
      <c r="P105" s="97" t="inlineStr">
        <is>
          <t>N</t>
        </is>
      </c>
      <c r="Q105" s="97" t="inlineStr">
        <is>
          <t>N/A</t>
        </is>
      </c>
      <c r="R105" s="97" t="inlineStr">
        <is>
          <t>N</t>
        </is>
      </c>
      <c r="S105" s="97" t="n">
        <v>8.699999999999999</v>
      </c>
      <c r="T105" s="97" t="n">
        <v>9.300000000000001</v>
      </c>
      <c r="U105" s="97" t="inlineStr">
        <is>
          <t>Y</t>
        </is>
      </c>
      <c r="V105" s="97" t="n">
        <v>53.8</v>
      </c>
      <c r="W105" s="97" t="inlineStr">
        <is>
          <t>N/A</t>
        </is>
      </c>
      <c r="X105" s="97" t="n">
        <v>306.09</v>
      </c>
      <c r="Y105" s="97" t="n">
        <v>32.1</v>
      </c>
      <c r="Z105" s="97" t="n">
        <v>6</v>
      </c>
      <c r="AA105" s="92" t="inlineStr">
        <is>
          <t>WATCHLIST</t>
        </is>
      </c>
    </row>
    <row r="106">
      <c r="A106" s="99" t="inlineStr">
        <is>
          <t>TORNTPHARM</t>
        </is>
      </c>
      <c r="B106" s="99" t="inlineStr">
        <is>
          <t>Torrent Pharmaceuticals Ltd.</t>
        </is>
      </c>
      <c r="C106" s="99" t="inlineStr">
        <is>
          <t>Healthcare</t>
        </is>
      </c>
      <c r="D106" s="99" t="inlineStr">
        <is>
          <t>Large/Midcap</t>
        </is>
      </c>
      <c r="E106" s="99" t="n">
        <v>4961.5</v>
      </c>
      <c r="F106" s="99" t="n">
        <v>-2.05</v>
      </c>
      <c r="G106" s="99" t="n">
        <v>262189</v>
      </c>
      <c r="H106" s="99" t="n">
        <v>0.79</v>
      </c>
      <c r="I106" s="99" t="n">
        <v>190926</v>
      </c>
      <c r="J106" s="99" t="inlineStr">
        <is>
          <t>Y</t>
        </is>
      </c>
      <c r="K106" s="99" t="inlineStr">
        <is>
          <t>Y</t>
        </is>
      </c>
      <c r="L106" s="99" t="inlineStr">
        <is>
          <t>Y</t>
        </is>
      </c>
      <c r="M106" s="99" t="n">
        <v>58</v>
      </c>
      <c r="N106" s="99" t="inlineStr">
        <is>
          <t>Y</t>
        </is>
      </c>
      <c r="O106" s="99" t="n">
        <v>145.99</v>
      </c>
      <c r="P106" s="99" t="inlineStr">
        <is>
          <t>N</t>
        </is>
      </c>
      <c r="Q106" s="99" t="inlineStr">
        <is>
          <t>N/A</t>
        </is>
      </c>
      <c r="R106" s="99" t="inlineStr">
        <is>
          <t>N</t>
        </is>
      </c>
      <c r="S106" s="99" t="n">
        <v>10.1</v>
      </c>
      <c r="T106" s="99" t="n">
        <v>17.9</v>
      </c>
      <c r="U106" s="99" t="inlineStr">
        <is>
          <t>Y</t>
        </is>
      </c>
      <c r="V106" s="99" t="n">
        <v>78.40000000000001</v>
      </c>
      <c r="W106" s="99" t="n">
        <v>17</v>
      </c>
      <c r="X106" s="99" t="n">
        <v>85.45</v>
      </c>
      <c r="Y106" s="99" t="n">
        <v>-38.7</v>
      </c>
      <c r="Z106" s="99" t="n">
        <v>6</v>
      </c>
      <c r="AA106" s="94" t="inlineStr">
        <is>
          <t>WATCHLIST</t>
        </is>
      </c>
    </row>
    <row r="107">
      <c r="A107" s="97" t="inlineStr">
        <is>
          <t>USHAMART</t>
        </is>
      </c>
      <c r="B107" s="97" t="inlineStr">
        <is>
          <t>Usha Martin Ltd.</t>
        </is>
      </c>
      <c r="C107" s="97" t="inlineStr">
        <is>
          <t>Capital Goods</t>
        </is>
      </c>
      <c r="D107" s="97" t="inlineStr">
        <is>
          <t>BSE Smallcap</t>
        </is>
      </c>
      <c r="E107" s="97" t="n">
        <v>502.1</v>
      </c>
      <c r="F107" s="97" t="n">
        <v>1.29</v>
      </c>
      <c r="G107" s="97" t="n">
        <v>309401</v>
      </c>
      <c r="H107" s="97" t="n">
        <v>1.21</v>
      </c>
      <c r="I107" s="97" t="n">
        <v>15284</v>
      </c>
      <c r="J107" s="97" t="inlineStr">
        <is>
          <t>Y</t>
        </is>
      </c>
      <c r="K107" s="97" t="inlineStr">
        <is>
          <t>Y</t>
        </is>
      </c>
      <c r="L107" s="97" t="inlineStr">
        <is>
          <t>Y</t>
        </is>
      </c>
      <c r="M107" s="97" t="n">
        <v>47.3</v>
      </c>
      <c r="N107" s="97" t="inlineStr">
        <is>
          <t>N</t>
        </is>
      </c>
      <c r="O107" s="97" t="n">
        <v>13.88</v>
      </c>
      <c r="P107" s="97" t="inlineStr">
        <is>
          <t>N</t>
        </is>
      </c>
      <c r="Q107" s="97" t="inlineStr">
        <is>
          <t>N/A</t>
        </is>
      </c>
      <c r="R107" s="97" t="inlineStr">
        <is>
          <t>N</t>
        </is>
      </c>
      <c r="S107" s="97" t="n">
        <v>6.4</v>
      </c>
      <c r="T107" s="97" t="n">
        <v>11.5</v>
      </c>
      <c r="U107" s="97" t="inlineStr">
        <is>
          <t>Y</t>
        </is>
      </c>
      <c r="V107" s="97" t="n">
        <v>30.8</v>
      </c>
      <c r="W107" s="97" t="n">
        <v>16.2</v>
      </c>
      <c r="X107" s="97" t="n">
        <v>6.92</v>
      </c>
      <c r="Y107" s="97" t="n">
        <v>37.4</v>
      </c>
      <c r="Z107" s="97" t="n">
        <v>6</v>
      </c>
      <c r="AA107" s="92" t="inlineStr">
        <is>
          <t>WATCHLIST</t>
        </is>
      </c>
    </row>
    <row r="108">
      <c r="A108" s="99" t="inlineStr">
        <is>
          <t>WELCORP</t>
        </is>
      </c>
      <c r="B108" s="99" t="inlineStr">
        <is>
          <t>Welspun Corp Ltd.</t>
        </is>
      </c>
      <c r="C108" s="99" t="inlineStr">
        <is>
          <t>Capital Goods</t>
        </is>
      </c>
      <c r="D108" s="99" t="inlineStr">
        <is>
          <t>BSE Smallcap</t>
        </is>
      </c>
      <c r="E108" s="99" t="n">
        <v>1599.8</v>
      </c>
      <c r="F108" s="99" t="n">
        <v>0.18</v>
      </c>
      <c r="G108" s="99" t="n">
        <v>944994</v>
      </c>
      <c r="H108" s="99" t="n">
        <v>1.98</v>
      </c>
      <c r="I108" s="99" t="n">
        <v>42187</v>
      </c>
      <c r="J108" s="99" t="inlineStr">
        <is>
          <t>Y</t>
        </is>
      </c>
      <c r="K108" s="99" t="inlineStr">
        <is>
          <t>Y</t>
        </is>
      </c>
      <c r="L108" s="99" t="inlineStr">
        <is>
          <t>Y</t>
        </is>
      </c>
      <c r="M108" s="99" t="n">
        <v>58.2</v>
      </c>
      <c r="N108" s="99" t="inlineStr">
        <is>
          <t>Y</t>
        </is>
      </c>
      <c r="O108" s="99" t="n">
        <v>56.43</v>
      </c>
      <c r="P108" s="99" t="inlineStr">
        <is>
          <t>N</t>
        </is>
      </c>
      <c r="Q108" s="99" t="inlineStr">
        <is>
          <t>N/A</t>
        </is>
      </c>
      <c r="R108" s="99" t="inlineStr">
        <is>
          <t>N</t>
        </is>
      </c>
      <c r="S108" s="99" t="n">
        <v>10.6</v>
      </c>
      <c r="T108" s="99" t="n">
        <v>27.1</v>
      </c>
      <c r="U108" s="99" t="inlineStr">
        <is>
          <t>Y</t>
        </is>
      </c>
      <c r="V108" s="99" t="n">
        <v>18.2</v>
      </c>
      <c r="W108" s="99" t="inlineStr">
        <is>
          <t>N/A</t>
        </is>
      </c>
      <c r="X108" s="99" t="n">
        <v>25.04</v>
      </c>
      <c r="Y108" s="99" t="n">
        <v>182.6</v>
      </c>
      <c r="Z108" s="99" t="n">
        <v>6</v>
      </c>
      <c r="AA108" s="94" t="inlineStr">
        <is>
          <t>WATCHLIST</t>
        </is>
      </c>
    </row>
    <row r="109">
      <c r="A109" s="97" t="inlineStr">
        <is>
          <t>ZYDUSLIFE</t>
        </is>
      </c>
      <c r="B109" s="97" t="inlineStr">
        <is>
          <t>Zydus Lifesciences Ltd.</t>
        </is>
      </c>
      <c r="C109" s="97" t="inlineStr">
        <is>
          <t>Healthcare</t>
        </is>
      </c>
      <c r="D109" s="97" t="inlineStr">
        <is>
          <t>Large/Midcap</t>
        </is>
      </c>
      <c r="E109" s="97" t="n">
        <v>1108.2</v>
      </c>
      <c r="F109" s="97" t="n">
        <v>-0.05</v>
      </c>
      <c r="G109" s="97" t="n">
        <v>607249</v>
      </c>
      <c r="H109" s="97" t="n">
        <v>0.54</v>
      </c>
      <c r="I109" s="97" t="n">
        <v>110543</v>
      </c>
      <c r="J109" s="97" t="inlineStr">
        <is>
          <t>Y</t>
        </is>
      </c>
      <c r="K109" s="97" t="inlineStr">
        <is>
          <t>Y</t>
        </is>
      </c>
      <c r="L109" s="97" t="inlineStr">
        <is>
          <t>Y</t>
        </is>
      </c>
      <c r="M109" s="97" t="n">
        <v>32.8</v>
      </c>
      <c r="N109" s="97" t="inlineStr">
        <is>
          <t>N</t>
        </is>
      </c>
      <c r="O109" s="97" t="n">
        <v>24.84</v>
      </c>
      <c r="P109" s="97" t="inlineStr">
        <is>
          <t>N</t>
        </is>
      </c>
      <c r="Q109" s="97" t="inlineStr">
        <is>
          <t>N/A</t>
        </is>
      </c>
      <c r="R109" s="97" t="inlineStr">
        <is>
          <t>N</t>
        </is>
      </c>
      <c r="S109" s="97" t="n">
        <v>1</v>
      </c>
      <c r="T109" s="97" t="n">
        <v>24.8</v>
      </c>
      <c r="U109" s="97" t="inlineStr">
        <is>
          <t>Y</t>
        </is>
      </c>
      <c r="V109" s="97" t="n">
        <v>22.1</v>
      </c>
      <c r="W109" s="97" t="n">
        <v>18.3</v>
      </c>
      <c r="X109" s="97" t="n">
        <v>42.3</v>
      </c>
      <c r="Y109" s="97" t="n">
        <v>22.1</v>
      </c>
      <c r="Z109" s="97" t="n">
        <v>6</v>
      </c>
      <c r="AA109" s="92" t="inlineStr">
        <is>
          <t>WATCHLIST</t>
        </is>
      </c>
    </row>
    <row r="110">
      <c r="A110" s="99" t="inlineStr">
        <is>
          <t>ZENSARTECH</t>
        </is>
      </c>
      <c r="B110" s="99" t="inlineStr">
        <is>
          <t>Zensar Technolgies Ltd.</t>
        </is>
      </c>
      <c r="C110" s="99" t="inlineStr">
        <is>
          <t>Information Technology</t>
        </is>
      </c>
      <c r="D110" s="99" t="inlineStr">
        <is>
          <t>BSE Smallcap</t>
        </is>
      </c>
      <c r="E110" s="99" t="n">
        <v>515.4</v>
      </c>
      <c r="F110" s="99" t="n">
        <v>1.88</v>
      </c>
      <c r="G110" s="99" t="n">
        <v>2237749</v>
      </c>
      <c r="H110" s="99" t="n">
        <v>0.99</v>
      </c>
      <c r="I110" s="99" t="n">
        <v>11687</v>
      </c>
      <c r="J110" s="99" t="inlineStr">
        <is>
          <t>Y</t>
        </is>
      </c>
      <c r="K110" s="99" t="inlineStr">
        <is>
          <t>Y</t>
        </is>
      </c>
      <c r="L110" s="99" t="inlineStr">
        <is>
          <t>N</t>
        </is>
      </c>
      <c r="M110" s="99" t="n">
        <v>62.7</v>
      </c>
      <c r="N110" s="99" t="inlineStr">
        <is>
          <t>Y</t>
        </is>
      </c>
      <c r="O110" s="99" t="n">
        <v>26.74</v>
      </c>
      <c r="P110" s="99" t="inlineStr">
        <is>
          <t>N</t>
        </is>
      </c>
      <c r="Q110" s="99" t="inlineStr">
        <is>
          <t>N/A</t>
        </is>
      </c>
      <c r="R110" s="99" t="inlineStr">
        <is>
          <t>N</t>
        </is>
      </c>
      <c r="S110" s="99" t="n">
        <v>18.8</v>
      </c>
      <c r="T110" s="99" t="n">
        <v>3.1</v>
      </c>
      <c r="U110" s="99" t="inlineStr">
        <is>
          <t>Y</t>
        </is>
      </c>
      <c r="V110" s="99" t="n">
        <v>15</v>
      </c>
      <c r="W110" s="99" t="n">
        <v>17.6</v>
      </c>
      <c r="X110" s="99" t="n">
        <v>1.68</v>
      </c>
      <c r="Y110" s="99" t="n">
        <v>5.4</v>
      </c>
      <c r="Z110" s="99" t="n">
        <v>6</v>
      </c>
      <c r="AA110" s="94" t="inlineStr">
        <is>
          <t>WATCHLIST</t>
        </is>
      </c>
    </row>
    <row r="111">
      <c r="A111" s="97" t="inlineStr">
        <is>
          <t>ACMESOLAR</t>
        </is>
      </c>
      <c r="B111" s="97" t="inlineStr">
        <is>
          <t>ACME Solar Holdings Ltd.</t>
        </is>
      </c>
      <c r="C111" s="97" t="inlineStr">
        <is>
          <t>Power</t>
        </is>
      </c>
      <c r="D111" s="97" t="inlineStr">
        <is>
          <t>BSE Smallcap</t>
        </is>
      </c>
      <c r="E111" s="97" t="n">
        <v>365.85</v>
      </c>
      <c r="F111" s="97" t="n">
        <v>0.77</v>
      </c>
      <c r="G111" s="97" t="n">
        <v>2104262</v>
      </c>
      <c r="H111" s="97" t="n">
        <v>1.69</v>
      </c>
      <c r="I111" s="97" t="n">
        <v>25596</v>
      </c>
      <c r="J111" s="97" t="inlineStr">
        <is>
          <t>Y</t>
        </is>
      </c>
      <c r="K111" s="97" t="inlineStr">
        <is>
          <t>Y</t>
        </is>
      </c>
      <c r="L111" s="97" t="inlineStr">
        <is>
          <t>Y</t>
        </is>
      </c>
      <c r="M111" s="97" t="n">
        <v>39</v>
      </c>
      <c r="N111" s="97" t="inlineStr">
        <is>
          <t>N</t>
        </is>
      </c>
      <c r="O111" s="97" t="n">
        <v>14.53</v>
      </c>
      <c r="P111" s="97" t="inlineStr">
        <is>
          <t>N</t>
        </is>
      </c>
      <c r="Q111" s="97" t="inlineStr">
        <is>
          <t>N/A</t>
        </is>
      </c>
      <c r="R111" s="97" t="inlineStr">
        <is>
          <t>N</t>
        </is>
      </c>
      <c r="S111" s="97" t="n">
        <v>2.7</v>
      </c>
      <c r="T111" s="97" t="n">
        <v>21.1</v>
      </c>
      <c r="U111" s="97" t="inlineStr">
        <is>
          <t>Y</t>
        </is>
      </c>
      <c r="V111" s="97" t="n">
        <v>44.4</v>
      </c>
      <c r="W111" s="97" t="n">
        <v>10.4</v>
      </c>
      <c r="X111" s="97" t="n">
        <v>393.19</v>
      </c>
      <c r="Y111" s="97" t="n">
        <v>22.5</v>
      </c>
      <c r="Z111" s="97" t="n">
        <v>5</v>
      </c>
      <c r="AA111" s="92" t="inlineStr">
        <is>
          <t>WATCHLIST</t>
        </is>
      </c>
    </row>
    <row r="112">
      <c r="A112" s="99" t="inlineStr">
        <is>
          <t>AUBANK</t>
        </is>
      </c>
      <c r="B112" s="99" t="inlineStr">
        <is>
          <t>AU Small Finance Bank Ltd.</t>
        </is>
      </c>
      <c r="C112" s="99" t="inlineStr">
        <is>
          <t>Financial Services</t>
        </is>
      </c>
      <c r="D112" s="99" t="inlineStr">
        <is>
          <t>Large/Midcap</t>
        </is>
      </c>
      <c r="E112" s="99" t="n">
        <v>1052.2</v>
      </c>
      <c r="F112" s="99" t="n">
        <v>4.8</v>
      </c>
      <c r="G112" s="99" t="n">
        <v>5047131</v>
      </c>
      <c r="H112" s="99" t="n">
        <v>2.68</v>
      </c>
      <c r="I112" s="99" t="n">
        <v>78774</v>
      </c>
      <c r="J112" s="99" t="inlineStr">
        <is>
          <t>Y</t>
        </is>
      </c>
      <c r="K112" s="99" t="inlineStr">
        <is>
          <t>Y</t>
        </is>
      </c>
      <c r="L112" s="99" t="inlineStr">
        <is>
          <t>Y</t>
        </is>
      </c>
      <c r="M112" s="99" t="n">
        <v>47.1</v>
      </c>
      <c r="N112" s="99" t="inlineStr">
        <is>
          <t>N</t>
        </is>
      </c>
      <c r="O112" s="99" t="n">
        <v>29.81</v>
      </c>
      <c r="P112" s="99" t="inlineStr">
        <is>
          <t>Y</t>
        </is>
      </c>
      <c r="Q112" s="99" t="inlineStr">
        <is>
          <t>N/A</t>
        </is>
      </c>
      <c r="R112" s="99" t="inlineStr">
        <is>
          <t>N</t>
        </is>
      </c>
      <c r="S112" s="99" t="n">
        <v>2</v>
      </c>
      <c r="T112" s="99" t="n">
        <v>4</v>
      </c>
      <c r="U112" s="99" t="inlineStr">
        <is>
          <t>Y</t>
        </is>
      </c>
      <c r="V112" s="99" t="n">
        <v>30</v>
      </c>
      <c r="W112" s="99" t="inlineStr">
        <is>
          <t>N/A</t>
        </is>
      </c>
      <c r="X112" s="99" t="inlineStr">
        <is>
          <t>N/A</t>
        </is>
      </c>
      <c r="Y112" s="99" t="n">
        <v>-4.3</v>
      </c>
      <c r="Z112" s="99" t="n">
        <v>5</v>
      </c>
      <c r="AA112" s="94" t="inlineStr">
        <is>
          <t>WATCHLIST</t>
        </is>
      </c>
    </row>
    <row r="113">
      <c r="A113" s="97" t="inlineStr">
        <is>
          <t>AADHARHFC</t>
        </is>
      </c>
      <c r="B113" s="97" t="inlineStr">
        <is>
          <t>Aadhar Housing Finance Ltd.</t>
        </is>
      </c>
      <c r="C113" s="97" t="inlineStr">
        <is>
          <t>Financial Services</t>
        </is>
      </c>
      <c r="D113" s="97" t="inlineStr">
        <is>
          <t>BSE Smallcap</t>
        </is>
      </c>
      <c r="E113" s="97" t="n">
        <v>495</v>
      </c>
      <c r="F113" s="97" t="n">
        <v>-1.16</v>
      </c>
      <c r="G113" s="97" t="n">
        <v>136978</v>
      </c>
      <c r="H113" s="97" t="n">
        <v>0.37</v>
      </c>
      <c r="I113" s="97" t="n">
        <v>21954</v>
      </c>
      <c r="J113" s="97" t="inlineStr">
        <is>
          <t>Y</t>
        </is>
      </c>
      <c r="K113" s="97" t="inlineStr">
        <is>
          <t>N</t>
        </is>
      </c>
      <c r="L113" s="97" t="inlineStr">
        <is>
          <t>Y</t>
        </is>
      </c>
      <c r="M113" s="97" t="n">
        <v>17.9</v>
      </c>
      <c r="N113" s="97" t="inlineStr">
        <is>
          <t>N</t>
        </is>
      </c>
      <c r="O113" s="97" t="n">
        <v>14.76</v>
      </c>
      <c r="P113" s="97" t="inlineStr">
        <is>
          <t>N</t>
        </is>
      </c>
      <c r="Q113" s="97" t="inlineStr">
        <is>
          <t>N/A</t>
        </is>
      </c>
      <c r="R113" s="97" t="inlineStr">
        <is>
          <t>N</t>
        </is>
      </c>
      <c r="S113" s="97" t="n">
        <v>-4.3</v>
      </c>
      <c r="T113" s="97" t="n">
        <v>1.7</v>
      </c>
      <c r="U113" s="97" t="inlineStr">
        <is>
          <t>Y</t>
        </is>
      </c>
      <c r="V113" s="97" t="n">
        <v>20.3</v>
      </c>
      <c r="W113" s="97" t="n">
        <v>15.8</v>
      </c>
      <c r="X113" s="97" t="n">
        <v>255.57</v>
      </c>
      <c r="Y113" s="97" t="n">
        <v>10.6</v>
      </c>
      <c r="Z113" s="97" t="n">
        <v>5</v>
      </c>
      <c r="AA113" s="92" t="inlineStr">
        <is>
          <t>WATCHLIST</t>
        </is>
      </c>
    </row>
    <row r="114">
      <c r="A114" s="99" t="inlineStr">
        <is>
          <t>AARTIIND</t>
        </is>
      </c>
      <c r="B114" s="99" t="inlineStr">
        <is>
          <t>Aarti Industries Ltd.</t>
        </is>
      </c>
      <c r="C114" s="99" t="inlineStr">
        <is>
          <t>Chemicals</t>
        </is>
      </c>
      <c r="D114" s="99" t="inlineStr">
        <is>
          <t>BSE Smallcap</t>
        </is>
      </c>
      <c r="E114" s="99" t="n">
        <v>486.1</v>
      </c>
      <c r="F114" s="99" t="n">
        <v>1.74</v>
      </c>
      <c r="G114" s="99" t="n">
        <v>357510</v>
      </c>
      <c r="H114" s="99" t="n">
        <v>0.65</v>
      </c>
      <c r="I114" s="99" t="n">
        <v>17632</v>
      </c>
      <c r="J114" s="99" t="inlineStr">
        <is>
          <t>Y</t>
        </is>
      </c>
      <c r="K114" s="99" t="inlineStr">
        <is>
          <t>Y</t>
        </is>
      </c>
      <c r="L114" s="99" t="inlineStr">
        <is>
          <t>Y</t>
        </is>
      </c>
      <c r="M114" s="99" t="n">
        <v>53.8</v>
      </c>
      <c r="N114" s="99" t="inlineStr">
        <is>
          <t>Y</t>
        </is>
      </c>
      <c r="O114" s="99" t="n">
        <v>16.15</v>
      </c>
      <c r="P114" s="99" t="inlineStr">
        <is>
          <t>N</t>
        </is>
      </c>
      <c r="Q114" s="99" t="inlineStr">
        <is>
          <t>N/A</t>
        </is>
      </c>
      <c r="R114" s="99" t="inlineStr">
        <is>
          <t>N</t>
        </is>
      </c>
      <c r="S114" s="99" t="n">
        <v>4.6</v>
      </c>
      <c r="T114" s="99" t="n">
        <v>-3.8</v>
      </c>
      <c r="U114" s="99" t="inlineStr">
        <is>
          <t>N</t>
        </is>
      </c>
      <c r="V114" s="99" t="n">
        <v>41.3</v>
      </c>
      <c r="W114" s="99" t="n">
        <v>7.2</v>
      </c>
      <c r="X114" s="99" t="n">
        <v>83.39</v>
      </c>
      <c r="Y114" s="99" t="n">
        <v>3</v>
      </c>
      <c r="Z114" s="99" t="n">
        <v>5</v>
      </c>
      <c r="AA114" s="94" t="inlineStr">
        <is>
          <t>WATCHLIST</t>
        </is>
      </c>
    </row>
    <row r="115">
      <c r="A115" s="97" t="inlineStr">
        <is>
          <t>ADANIPORTS</t>
        </is>
      </c>
      <c r="B115" s="97" t="inlineStr">
        <is>
          <t>Adani Ports and Special Economic Zone Ltd.</t>
        </is>
      </c>
      <c r="C115" s="97" t="inlineStr">
        <is>
          <t>Services</t>
        </is>
      </c>
      <c r="D115" s="97" t="inlineStr">
        <is>
          <t>Large/Midcap</t>
        </is>
      </c>
      <c r="E115" s="97" t="n">
        <v>1770.4</v>
      </c>
      <c r="F115" s="97" t="n">
        <v>0.12</v>
      </c>
      <c r="G115" s="97" t="n">
        <v>2266975</v>
      </c>
      <c r="H115" s="97" t="n">
        <v>1.19</v>
      </c>
      <c r="I115" s="97" t="n">
        <v>407893</v>
      </c>
      <c r="J115" s="97" t="inlineStr">
        <is>
          <t>Y</t>
        </is>
      </c>
      <c r="K115" s="97" t="inlineStr">
        <is>
          <t>N</t>
        </is>
      </c>
      <c r="L115" s="97" t="inlineStr">
        <is>
          <t>Y</t>
        </is>
      </c>
      <c r="M115" s="97" t="n">
        <v>35.5</v>
      </c>
      <c r="N115" s="97" t="inlineStr">
        <is>
          <t>N</t>
        </is>
      </c>
      <c r="O115" s="97" t="n">
        <v>35.32</v>
      </c>
      <c r="P115" s="97" t="inlineStr">
        <is>
          <t>N</t>
        </is>
      </c>
      <c r="Q115" s="97" t="inlineStr">
        <is>
          <t>N/A</t>
        </is>
      </c>
      <c r="R115" s="97" t="inlineStr">
        <is>
          <t>N</t>
        </is>
      </c>
      <c r="S115" s="97" t="n">
        <v>-1.2</v>
      </c>
      <c r="T115" s="97" t="n">
        <v>7.7</v>
      </c>
      <c r="U115" s="97" t="inlineStr">
        <is>
          <t>Y</t>
        </is>
      </c>
      <c r="V115" s="97" t="n">
        <v>30.4</v>
      </c>
      <c r="W115" s="97" t="n">
        <v>15.6</v>
      </c>
      <c r="X115" s="97" t="n">
        <v>64.05</v>
      </c>
      <c r="Y115" s="97" t="n">
        <v>9</v>
      </c>
      <c r="Z115" s="97" t="n">
        <v>5</v>
      </c>
      <c r="AA115" s="92" t="inlineStr">
        <is>
          <t>WATCHLIST</t>
        </is>
      </c>
    </row>
    <row r="116">
      <c r="A116" s="99" t="inlineStr">
        <is>
          <t>ABCAPITAL</t>
        </is>
      </c>
      <c r="B116" s="99" t="inlineStr">
        <is>
          <t>Aditya Birla Capital Ltd.</t>
        </is>
      </c>
      <c r="C116" s="99" t="inlineStr">
        <is>
          <t>Financial Services</t>
        </is>
      </c>
      <c r="D116" s="99" t="inlineStr">
        <is>
          <t>Large/Midcap</t>
        </is>
      </c>
      <c r="E116" s="99" t="n">
        <v>393.85</v>
      </c>
      <c r="F116" s="99" t="n">
        <v>0.41</v>
      </c>
      <c r="G116" s="99" t="n">
        <v>3424162</v>
      </c>
      <c r="H116" s="99" t="n">
        <v>0.82</v>
      </c>
      <c r="I116" s="99" t="n">
        <v>109567</v>
      </c>
      <c r="J116" s="99" t="inlineStr">
        <is>
          <t>Y</t>
        </is>
      </c>
      <c r="K116" s="99" t="inlineStr">
        <is>
          <t>Y</t>
        </is>
      </c>
      <c r="L116" s="99" t="inlineStr">
        <is>
          <t>Y</t>
        </is>
      </c>
      <c r="M116" s="99" t="n">
        <v>41.5</v>
      </c>
      <c r="N116" s="99" t="inlineStr">
        <is>
          <t>N</t>
        </is>
      </c>
      <c r="O116" s="99" t="n">
        <v>11.01</v>
      </c>
      <c r="P116" s="99" t="inlineStr">
        <is>
          <t>N</t>
        </is>
      </c>
      <c r="Q116" s="99" t="inlineStr">
        <is>
          <t>N/A</t>
        </is>
      </c>
      <c r="R116" s="99" t="inlineStr">
        <is>
          <t>N</t>
        </is>
      </c>
      <c r="S116" s="99" t="n">
        <v>1</v>
      </c>
      <c r="T116" s="99" t="n">
        <v>13.4</v>
      </c>
      <c r="U116" s="99" t="inlineStr">
        <is>
          <t>Y</t>
        </is>
      </c>
      <c r="V116" s="99" t="n">
        <v>28.1</v>
      </c>
      <c r="W116" s="99" t="n">
        <v>11.2</v>
      </c>
      <c r="X116" s="99" t="n">
        <v>495.94</v>
      </c>
      <c r="Y116" s="99" t="n">
        <v>19.5</v>
      </c>
      <c r="Z116" s="99" t="n">
        <v>5</v>
      </c>
      <c r="AA116" s="94" t="inlineStr">
        <is>
          <t>WATCHLIST</t>
        </is>
      </c>
    </row>
    <row r="117">
      <c r="A117" s="97" t="inlineStr">
        <is>
          <t>ALKEM</t>
        </is>
      </c>
      <c r="B117" s="97" t="inlineStr">
        <is>
          <t>Alkem Laboratories Ltd.</t>
        </is>
      </c>
      <c r="C117" s="97" t="inlineStr">
        <is>
          <t>Healthcare</t>
        </is>
      </c>
      <c r="D117" s="97" t="inlineStr">
        <is>
          <t>Large/Midcap</t>
        </is>
      </c>
      <c r="E117" s="97" t="n">
        <v>5613</v>
      </c>
      <c r="F117" s="97" t="n">
        <v>-0.36</v>
      </c>
      <c r="G117" s="97" t="n">
        <v>112113</v>
      </c>
      <c r="H117" s="97" t="n">
        <v>1.56</v>
      </c>
      <c r="I117" s="97" t="n">
        <v>67112</v>
      </c>
      <c r="J117" s="97" t="inlineStr">
        <is>
          <t>Y</t>
        </is>
      </c>
      <c r="K117" s="97" t="inlineStr">
        <is>
          <t>Y</t>
        </is>
      </c>
      <c r="L117" s="97" t="inlineStr">
        <is>
          <t>Y</t>
        </is>
      </c>
      <c r="M117" s="97" t="n">
        <v>46.6</v>
      </c>
      <c r="N117" s="97" t="inlineStr">
        <is>
          <t>N</t>
        </is>
      </c>
      <c r="O117" s="97" t="n">
        <v>122.82</v>
      </c>
      <c r="P117" s="97" t="inlineStr">
        <is>
          <t>N</t>
        </is>
      </c>
      <c r="Q117" s="97" t="inlineStr">
        <is>
          <t>N/A</t>
        </is>
      </c>
      <c r="R117" s="97" t="inlineStr">
        <is>
          <t>N</t>
        </is>
      </c>
      <c r="S117" s="97" t="n">
        <v>3.7</v>
      </c>
      <c r="T117" s="97" t="n">
        <v>4.3</v>
      </c>
      <c r="U117" s="97" t="inlineStr">
        <is>
          <t>Y</t>
        </is>
      </c>
      <c r="V117" s="97" t="n">
        <v>29.2</v>
      </c>
      <c r="W117" s="97" t="n">
        <v>17.6</v>
      </c>
      <c r="X117" s="97" t="n">
        <v>14.27</v>
      </c>
      <c r="Y117" s="97" t="n">
        <v>-62.8</v>
      </c>
      <c r="Z117" s="97" t="n">
        <v>5</v>
      </c>
      <c r="AA117" s="92" t="inlineStr">
        <is>
          <t>WATCHLIST</t>
        </is>
      </c>
    </row>
    <row r="118">
      <c r="A118" s="99" t="inlineStr">
        <is>
          <t>AJANTPHARM</t>
        </is>
      </c>
      <c r="B118" s="99" t="inlineStr">
        <is>
          <t>Ajanta Pharmaceuticals Ltd.</t>
        </is>
      </c>
      <c r="C118" s="99" t="inlineStr">
        <is>
          <t>Healthcare</t>
        </is>
      </c>
      <c r="D118" s="99" t="inlineStr">
        <is>
          <t>Large/Midcap</t>
        </is>
      </c>
      <c r="E118" s="99" t="n">
        <v>3369.5</v>
      </c>
      <c r="F118" s="99" t="n">
        <v>-2.05</v>
      </c>
      <c r="G118" s="99" t="n">
        <v>50410</v>
      </c>
      <c r="H118" s="99" t="n">
        <v>0.4</v>
      </c>
      <c r="I118" s="99" t="n">
        <v>42304</v>
      </c>
      <c r="J118" s="99" t="inlineStr">
        <is>
          <t>Y</t>
        </is>
      </c>
      <c r="K118" s="99" t="inlineStr">
        <is>
          <t>Y</t>
        </is>
      </c>
      <c r="L118" s="99" t="inlineStr">
        <is>
          <t>Y</t>
        </is>
      </c>
      <c r="M118" s="99" t="n">
        <v>49.7</v>
      </c>
      <c r="N118" s="99" t="inlineStr">
        <is>
          <t>N</t>
        </is>
      </c>
      <c r="O118" s="99" t="n">
        <v>102.98</v>
      </c>
      <c r="P118" s="99" t="inlineStr">
        <is>
          <t>N</t>
        </is>
      </c>
      <c r="Q118" s="99" t="inlineStr">
        <is>
          <t>N/A</t>
        </is>
      </c>
      <c r="R118" s="99" t="inlineStr">
        <is>
          <t>N</t>
        </is>
      </c>
      <c r="S118" s="99" t="n">
        <v>6.2</v>
      </c>
      <c r="T118" s="99" t="n">
        <v>20.6</v>
      </c>
      <c r="U118" s="99" t="inlineStr">
        <is>
          <t>Y</t>
        </is>
      </c>
      <c r="V118" s="99" t="n">
        <v>40</v>
      </c>
      <c r="W118" s="99" t="n">
        <v>25.4</v>
      </c>
      <c r="X118" s="99" t="n">
        <v>5.75</v>
      </c>
      <c r="Y118" s="99" t="n">
        <v>-2.6</v>
      </c>
      <c r="Z118" s="99" t="n">
        <v>5</v>
      </c>
      <c r="AA118" s="94" t="inlineStr">
        <is>
          <t>WATCHLIST</t>
        </is>
      </c>
    </row>
    <row r="119">
      <c r="A119" s="97" t="inlineStr">
        <is>
          <t>ABDL</t>
        </is>
      </c>
      <c r="B119" s="97" t="inlineStr">
        <is>
          <t>Allied Blenders and Distillers Ltd.</t>
        </is>
      </c>
      <c r="C119" s="97" t="inlineStr">
        <is>
          <t>Fast Moving Consumer Goods</t>
        </is>
      </c>
      <c r="D119" s="97" t="inlineStr">
        <is>
          <t>BSE Smallcap</t>
        </is>
      </c>
      <c r="E119" s="97" t="n">
        <v>620.75</v>
      </c>
      <c r="F119" s="97" t="n">
        <v>3.02</v>
      </c>
      <c r="G119" s="97" t="n">
        <v>917748</v>
      </c>
      <c r="H119" s="97" t="n">
        <v>4.67</v>
      </c>
      <c r="I119" s="97" t="n">
        <v>17462</v>
      </c>
      <c r="J119" s="97" t="inlineStr">
        <is>
          <t>Y</t>
        </is>
      </c>
      <c r="K119" s="97" t="inlineStr">
        <is>
          <t>Y</t>
        </is>
      </c>
      <c r="L119" s="97" t="inlineStr">
        <is>
          <t>Y</t>
        </is>
      </c>
      <c r="M119" s="97" t="n">
        <v>23.5</v>
      </c>
      <c r="N119" s="97" t="inlineStr">
        <is>
          <t>N</t>
        </is>
      </c>
      <c r="O119" s="97" t="n">
        <v>24</v>
      </c>
      <c r="P119" s="97" t="inlineStr">
        <is>
          <t>N</t>
        </is>
      </c>
      <c r="Q119" s="97" t="inlineStr">
        <is>
          <t>N/A</t>
        </is>
      </c>
      <c r="R119" s="97" t="inlineStr">
        <is>
          <t>N</t>
        </is>
      </c>
      <c r="S119" s="97" t="n">
        <v>0</v>
      </c>
      <c r="T119" s="97" t="n">
        <v>15.5</v>
      </c>
      <c r="U119" s="97" t="inlineStr">
        <is>
          <t>Y</t>
        </is>
      </c>
      <c r="V119" s="97" t="n">
        <v>79.2</v>
      </c>
      <c r="W119" s="97" t="inlineStr">
        <is>
          <t>N/A</t>
        </is>
      </c>
      <c r="X119" s="97" t="n">
        <v>68.25</v>
      </c>
      <c r="Y119" s="97" t="n">
        <v>20.1</v>
      </c>
      <c r="Z119" s="97" t="n">
        <v>5</v>
      </c>
      <c r="AA119" s="92" t="inlineStr">
        <is>
          <t>WATCHLIST</t>
        </is>
      </c>
    </row>
    <row r="120">
      <c r="A120" s="99" t="inlineStr">
        <is>
          <t>ANANDRATHI</t>
        </is>
      </c>
      <c r="B120" s="99" t="inlineStr">
        <is>
          <t>Anand Rathi Wealth Ltd.</t>
        </is>
      </c>
      <c r="C120" s="99" t="inlineStr">
        <is>
          <t>Financial Services</t>
        </is>
      </c>
      <c r="D120" s="99" t="inlineStr">
        <is>
          <t>BSE Smallcap</t>
        </is>
      </c>
      <c r="E120" s="99" t="n">
        <v>2042.1</v>
      </c>
      <c r="F120" s="99" t="n">
        <v>-0.34</v>
      </c>
      <c r="G120" s="99" t="n">
        <v>231997</v>
      </c>
      <c r="H120" s="99" t="n">
        <v>1.34</v>
      </c>
      <c r="I120" s="99" t="n">
        <v>34073</v>
      </c>
      <c r="J120" s="99" t="inlineStr">
        <is>
          <t>Y</t>
        </is>
      </c>
      <c r="K120" s="99" t="inlineStr">
        <is>
          <t>Y</t>
        </is>
      </c>
      <c r="L120" s="99" t="inlineStr">
        <is>
          <t>Y</t>
        </is>
      </c>
      <c r="M120" s="99" t="n">
        <v>40.5</v>
      </c>
      <c r="N120" s="99" t="inlineStr">
        <is>
          <t>N</t>
        </is>
      </c>
      <c r="O120" s="99" t="n">
        <v>56.17</v>
      </c>
      <c r="P120" s="99" t="inlineStr">
        <is>
          <t>N</t>
        </is>
      </c>
      <c r="Q120" s="99" t="inlineStr">
        <is>
          <t>N/A</t>
        </is>
      </c>
      <c r="R120" s="99" t="inlineStr">
        <is>
          <t>N</t>
        </is>
      </c>
      <c r="S120" s="99" t="n">
        <v>5.9</v>
      </c>
      <c r="T120" s="99" t="n">
        <v>14.5</v>
      </c>
      <c r="U120" s="99" t="inlineStr">
        <is>
          <t>Y</t>
        </is>
      </c>
      <c r="V120" s="99" t="n">
        <v>74.40000000000001</v>
      </c>
      <c r="W120" s="99" t="inlineStr">
        <is>
          <t>N/A</t>
        </is>
      </c>
      <c r="X120" s="99" t="n">
        <v>8.25</v>
      </c>
      <c r="Y120" s="99" t="n">
        <v>57.9</v>
      </c>
      <c r="Z120" s="99" t="n">
        <v>5</v>
      </c>
      <c r="AA120" s="94" t="inlineStr">
        <is>
          <t>WATCHLIST</t>
        </is>
      </c>
    </row>
    <row r="121">
      <c r="A121" s="97" t="inlineStr">
        <is>
          <t>APARINDS</t>
        </is>
      </c>
      <c r="B121" s="97" t="inlineStr">
        <is>
          <t>Apar Industries Ltd.</t>
        </is>
      </c>
      <c r="C121" s="97" t="inlineStr">
        <is>
          <t>Capital Goods</t>
        </is>
      </c>
      <c r="D121" s="97" t="inlineStr">
        <is>
          <t>BSE Smallcap</t>
        </is>
      </c>
      <c r="E121" s="97" t="n">
        <v>13889</v>
      </c>
      <c r="F121" s="97" t="n">
        <v>3.47</v>
      </c>
      <c r="G121" s="97" t="n">
        <v>485027</v>
      </c>
      <c r="H121" s="97" t="n">
        <v>7.36</v>
      </c>
      <c r="I121" s="97" t="n">
        <v>56449</v>
      </c>
      <c r="J121" s="97" t="inlineStr">
        <is>
          <t>Y</t>
        </is>
      </c>
      <c r="K121" s="97" t="inlineStr">
        <is>
          <t>N</t>
        </is>
      </c>
      <c r="L121" s="97" t="inlineStr">
        <is>
          <t>Y</t>
        </is>
      </c>
      <c r="M121" s="97" t="n">
        <v>44.5</v>
      </c>
      <c r="N121" s="97" t="inlineStr">
        <is>
          <t>N</t>
        </is>
      </c>
      <c r="O121" s="97" t="n">
        <v>589.29</v>
      </c>
      <c r="P121" s="97" t="inlineStr">
        <is>
          <t>Y</t>
        </is>
      </c>
      <c r="Q121" s="97" t="inlineStr">
        <is>
          <t>N/A</t>
        </is>
      </c>
      <c r="R121" s="97" t="inlineStr">
        <is>
          <t>N</t>
        </is>
      </c>
      <c r="S121" s="97" t="n">
        <v>-13.1</v>
      </c>
      <c r="T121" s="97" t="n">
        <v>12.5</v>
      </c>
      <c r="U121" s="97" t="inlineStr">
        <is>
          <t>Y</t>
        </is>
      </c>
      <c r="V121" s="97" t="n">
        <v>47.9</v>
      </c>
      <c r="W121" s="97" t="inlineStr">
        <is>
          <t>N/A</t>
        </is>
      </c>
      <c r="X121" s="97" t="n">
        <v>17.72</v>
      </c>
      <c r="Y121" s="97" t="n">
        <v>84.40000000000001</v>
      </c>
      <c r="Z121" s="97" t="n">
        <v>5</v>
      </c>
      <c r="AA121" s="92" t="inlineStr">
        <is>
          <t>WATCHLIST</t>
        </is>
      </c>
    </row>
    <row r="122">
      <c r="A122" s="99" t="inlineStr">
        <is>
          <t>ASIANPAINT</t>
        </is>
      </c>
      <c r="B122" s="99" t="inlineStr">
        <is>
          <t>Asian Paints Ltd.</t>
        </is>
      </c>
      <c r="C122" s="99" t="inlineStr">
        <is>
          <t>Consumer Durables</t>
        </is>
      </c>
      <c r="D122" s="99" t="inlineStr">
        <is>
          <t>Large/Midcap</t>
        </is>
      </c>
      <c r="E122" s="99" t="n">
        <v>2637.9</v>
      </c>
      <c r="F122" s="99" t="n">
        <v>-1.16</v>
      </c>
      <c r="G122" s="99" t="n">
        <v>645563</v>
      </c>
      <c r="H122" s="99" t="n">
        <v>0.92</v>
      </c>
      <c r="I122" s="99" t="n">
        <v>259812</v>
      </c>
      <c r="J122" s="99" t="inlineStr">
        <is>
          <t>Y</t>
        </is>
      </c>
      <c r="K122" s="99" t="inlineStr">
        <is>
          <t>N</t>
        </is>
      </c>
      <c r="L122" s="99" t="inlineStr">
        <is>
          <t>Y</t>
        </is>
      </c>
      <c r="M122" s="99" t="n">
        <v>26.1</v>
      </c>
      <c r="N122" s="99" t="inlineStr">
        <is>
          <t>N</t>
        </is>
      </c>
      <c r="O122" s="99" t="n">
        <v>47.51</v>
      </c>
      <c r="P122" s="99" t="inlineStr">
        <is>
          <t>N</t>
        </is>
      </c>
      <c r="Q122" s="99" t="inlineStr">
        <is>
          <t>N/A</t>
        </is>
      </c>
      <c r="R122" s="99" t="inlineStr">
        <is>
          <t>N</t>
        </is>
      </c>
      <c r="S122" s="99" t="n">
        <v>0</v>
      </c>
      <c r="T122" s="99" t="n">
        <v>9.1</v>
      </c>
      <c r="U122" s="99" t="inlineStr">
        <is>
          <t>Y</t>
        </is>
      </c>
      <c r="V122" s="99" t="n">
        <v>60.1</v>
      </c>
      <c r="W122" s="99" t="n">
        <v>20.9</v>
      </c>
      <c r="X122" s="99" t="n">
        <v>17.85</v>
      </c>
      <c r="Y122" s="99" t="n">
        <v>10.6</v>
      </c>
      <c r="Z122" s="99" t="n">
        <v>5</v>
      </c>
      <c r="AA122" s="94" t="inlineStr">
        <is>
          <t>WATCHLIST</t>
        </is>
      </c>
    </row>
    <row r="123">
      <c r="A123" s="97" t="inlineStr">
        <is>
          <t>ASTERDM</t>
        </is>
      </c>
      <c r="B123" s="97" t="inlineStr">
        <is>
          <t>Aster DM Healthcare Ltd.</t>
        </is>
      </c>
      <c r="C123" s="97" t="inlineStr">
        <is>
          <t>Healthcare</t>
        </is>
      </c>
      <c r="D123" s="97" t="inlineStr">
        <is>
          <t>BSE Smallcap</t>
        </is>
      </c>
      <c r="E123" s="97" t="n">
        <v>785.65</v>
      </c>
      <c r="F123" s="97" t="n">
        <v>0.17</v>
      </c>
      <c r="G123" s="97" t="n">
        <v>731330</v>
      </c>
      <c r="H123" s="97" t="n">
        <v>2.05</v>
      </c>
      <c r="I123" s="97" t="n">
        <v>69770</v>
      </c>
      <c r="J123" s="97" t="inlineStr">
        <is>
          <t>Y</t>
        </is>
      </c>
      <c r="K123" s="97" t="inlineStr">
        <is>
          <t>Y</t>
        </is>
      </c>
      <c r="L123" s="97" t="inlineStr">
        <is>
          <t>Y</t>
        </is>
      </c>
      <c r="M123" s="97" t="n">
        <v>47.5</v>
      </c>
      <c r="N123" s="97" t="inlineStr">
        <is>
          <t>N</t>
        </is>
      </c>
      <c r="O123" s="97" t="n">
        <v>20.23</v>
      </c>
      <c r="P123" s="97" t="inlineStr">
        <is>
          <t>N</t>
        </is>
      </c>
      <c r="Q123" s="97" t="inlineStr">
        <is>
          <t>N/A</t>
        </is>
      </c>
      <c r="R123" s="97" t="inlineStr">
        <is>
          <t>N</t>
        </is>
      </c>
      <c r="S123" s="97" t="n">
        <v>2.4</v>
      </c>
      <c r="T123" s="97" t="n">
        <v>12.7</v>
      </c>
      <c r="U123" s="97" t="inlineStr">
        <is>
          <t>Y</t>
        </is>
      </c>
      <c r="V123" s="97" t="n">
        <v>106.3</v>
      </c>
      <c r="W123" s="97" t="n">
        <v>10.1</v>
      </c>
      <c r="X123" s="97" t="n">
        <v>45.92</v>
      </c>
      <c r="Y123" s="97" t="n">
        <v>167.2</v>
      </c>
      <c r="Z123" s="97" t="n">
        <v>5</v>
      </c>
      <c r="AA123" s="92" t="inlineStr">
        <is>
          <t>WATCHLIST</t>
        </is>
      </c>
    </row>
    <row r="124">
      <c r="A124" s="99" t="inlineStr">
        <is>
          <t>ATHERENERG</t>
        </is>
      </c>
      <c r="B124" s="99" t="inlineStr">
        <is>
          <t>Ather Energy Ltd.</t>
        </is>
      </c>
      <c r="C124" s="99" t="inlineStr">
        <is>
          <t>Automobile and Auto Components</t>
        </is>
      </c>
      <c r="D124" s="99" t="inlineStr">
        <is>
          <t>BSE Smallcap</t>
        </is>
      </c>
      <c r="E124" s="99" t="n">
        <v>1214.9</v>
      </c>
      <c r="F124" s="99" t="n">
        <v>0.51</v>
      </c>
      <c r="G124" s="99" t="n">
        <v>1911132</v>
      </c>
      <c r="H124" s="99" t="n">
        <v>0.64</v>
      </c>
      <c r="I124" s="99" t="n">
        <v>47882</v>
      </c>
      <c r="J124" s="99" t="inlineStr">
        <is>
          <t>Y</t>
        </is>
      </c>
      <c r="K124" s="99" t="inlineStr">
        <is>
          <t>Y</t>
        </is>
      </c>
      <c r="L124" s="99" t="inlineStr">
        <is>
          <t>Y</t>
        </is>
      </c>
      <c r="M124" s="99" t="n">
        <v>59.5</v>
      </c>
      <c r="N124" s="99" t="inlineStr">
        <is>
          <t>Y</t>
        </is>
      </c>
      <c r="O124" s="99" t="n">
        <v>61.46</v>
      </c>
      <c r="P124" s="99" t="inlineStr">
        <is>
          <t>N</t>
        </is>
      </c>
      <c r="Q124" s="99" t="inlineStr">
        <is>
          <t>N/A</t>
        </is>
      </c>
      <c r="R124" s="99" t="inlineStr">
        <is>
          <t>N</t>
        </is>
      </c>
      <c r="S124" s="99" t="n">
        <v>21.9</v>
      </c>
      <c r="T124" s="99" t="n">
        <v>30.4</v>
      </c>
      <c r="U124" s="99" t="inlineStr">
        <is>
          <t>Y</t>
        </is>
      </c>
      <c r="V124" s="99" t="inlineStr">
        <is>
          <t>N/A</t>
        </is>
      </c>
      <c r="W124" s="99" t="n">
        <v>-33.7</v>
      </c>
      <c r="X124" s="99" t="n">
        <v>25.82</v>
      </c>
      <c r="Y124" s="99" t="n">
        <v>-18.5</v>
      </c>
      <c r="Z124" s="99" t="n">
        <v>5</v>
      </c>
      <c r="AA124" s="94" t="inlineStr">
        <is>
          <t>WATCHLIST</t>
        </is>
      </c>
    </row>
    <row r="125">
      <c r="A125" s="97" t="inlineStr">
        <is>
          <t>AUROPHARMA</t>
        </is>
      </c>
      <c r="B125" s="97" t="inlineStr">
        <is>
          <t>Aurobindo Pharma Ltd.</t>
        </is>
      </c>
      <c r="C125" s="97" t="inlineStr">
        <is>
          <t>Healthcare</t>
        </is>
      </c>
      <c r="D125" s="97" t="inlineStr">
        <is>
          <t>Large/Midcap</t>
        </is>
      </c>
      <c r="E125" s="97" t="n">
        <v>1549.4</v>
      </c>
      <c r="F125" s="97" t="n">
        <v>1.14</v>
      </c>
      <c r="G125" s="97" t="n">
        <v>850225</v>
      </c>
      <c r="H125" s="97" t="n">
        <v>0.79</v>
      </c>
      <c r="I125" s="97" t="n">
        <v>89149</v>
      </c>
      <c r="J125" s="97" t="inlineStr">
        <is>
          <t>Y</t>
        </is>
      </c>
      <c r="K125" s="97" t="inlineStr">
        <is>
          <t>Y</t>
        </is>
      </c>
      <c r="L125" s="97" t="inlineStr">
        <is>
          <t>Y</t>
        </is>
      </c>
      <c r="M125" s="97" t="n">
        <v>43.1</v>
      </c>
      <c r="N125" s="97" t="inlineStr">
        <is>
          <t>N</t>
        </is>
      </c>
      <c r="O125" s="97" t="n">
        <v>38.06</v>
      </c>
      <c r="P125" s="97" t="inlineStr">
        <is>
          <t>N</t>
        </is>
      </c>
      <c r="Q125" s="97" t="inlineStr">
        <is>
          <t>N/A</t>
        </is>
      </c>
      <c r="R125" s="97" t="inlineStr">
        <is>
          <t>N</t>
        </is>
      </c>
      <c r="S125" s="97" t="n">
        <v>-0.1</v>
      </c>
      <c r="T125" s="97" t="n">
        <v>11.9</v>
      </c>
      <c r="U125" s="97" t="inlineStr">
        <is>
          <t>Y</t>
        </is>
      </c>
      <c r="V125" s="97" t="n">
        <v>25.4</v>
      </c>
      <c r="W125" s="97" t="n">
        <v>9.9</v>
      </c>
      <c r="X125" s="97" t="n">
        <v>21.31</v>
      </c>
      <c r="Y125" s="97" t="n">
        <v>1.2</v>
      </c>
      <c r="Z125" s="97" t="n">
        <v>5</v>
      </c>
      <c r="AA125" s="92" t="inlineStr">
        <is>
          <t>WATCHLIST</t>
        </is>
      </c>
    </row>
    <row r="126">
      <c r="A126" s="99" t="inlineStr">
        <is>
          <t>BAJAJFINSV</t>
        </is>
      </c>
      <c r="B126" s="99" t="inlineStr">
        <is>
          <t>Bajaj Finserv Ltd.</t>
        </is>
      </c>
      <c r="C126" s="99" t="inlineStr">
        <is>
          <t>Financial Services</t>
        </is>
      </c>
      <c r="D126" s="99" t="inlineStr">
        <is>
          <t>Large/Midcap</t>
        </is>
      </c>
      <c r="E126" s="99" t="n">
        <v>1876.7</v>
      </c>
      <c r="F126" s="99" t="n">
        <v>-0.67</v>
      </c>
      <c r="G126" s="99" t="n">
        <v>1412443</v>
      </c>
      <c r="H126" s="99" t="n">
        <v>1.08</v>
      </c>
      <c r="I126" s="99" t="n">
        <v>305838</v>
      </c>
      <c r="J126" s="99" t="inlineStr">
        <is>
          <t>Y</t>
        </is>
      </c>
      <c r="K126" s="99" t="inlineStr">
        <is>
          <t>Y</t>
        </is>
      </c>
      <c r="L126" s="99" t="inlineStr">
        <is>
          <t>N</t>
        </is>
      </c>
      <c r="M126" s="99" t="n">
        <v>51</v>
      </c>
      <c r="N126" s="99" t="inlineStr">
        <is>
          <t>Y</t>
        </is>
      </c>
      <c r="O126" s="99" t="n">
        <v>39.8</v>
      </c>
      <c r="P126" s="99" t="inlineStr">
        <is>
          <t>N</t>
        </is>
      </c>
      <c r="Q126" s="99" t="inlineStr">
        <is>
          <t>N/A</t>
        </is>
      </c>
      <c r="R126" s="99" t="inlineStr">
        <is>
          <t>N</t>
        </is>
      </c>
      <c r="S126" s="99" t="n">
        <v>6.7</v>
      </c>
      <c r="T126" s="99" t="n">
        <v>6.9</v>
      </c>
      <c r="U126" s="99" t="inlineStr">
        <is>
          <t>Y</t>
        </is>
      </c>
      <c r="V126" s="99" t="n">
        <v>31.4</v>
      </c>
      <c r="W126" s="99" t="n">
        <v>14.6</v>
      </c>
      <c r="X126" s="99" t="n">
        <v>256.4</v>
      </c>
      <c r="Y126" s="99" t="n">
        <v>13.9</v>
      </c>
      <c r="Z126" s="99" t="n">
        <v>5</v>
      </c>
      <c r="AA126" s="94" t="inlineStr">
        <is>
          <t>WATCHLIST</t>
        </is>
      </c>
    </row>
    <row r="127">
      <c r="A127" s="97" t="inlineStr">
        <is>
          <t>BHEL</t>
        </is>
      </c>
      <c r="B127" s="97" t="inlineStr">
        <is>
          <t>Bharat Heavy Electricals Ltd.</t>
        </is>
      </c>
      <c r="C127" s="97" t="inlineStr">
        <is>
          <t>Capital Goods</t>
        </is>
      </c>
      <c r="D127" s="97" t="inlineStr">
        <is>
          <t>Large/Midcap</t>
        </is>
      </c>
      <c r="E127" s="97" t="n">
        <v>415.95</v>
      </c>
      <c r="F127" s="97" t="n">
        <v>-0.32</v>
      </c>
      <c r="G127" s="97" t="n">
        <v>9042974</v>
      </c>
      <c r="H127" s="97" t="n">
        <v>0.97</v>
      </c>
      <c r="I127" s="97" t="n">
        <v>144836</v>
      </c>
      <c r="J127" s="97" t="inlineStr">
        <is>
          <t>Y</t>
        </is>
      </c>
      <c r="K127" s="97" t="inlineStr">
        <is>
          <t>Y</t>
        </is>
      </c>
      <c r="L127" s="97" t="inlineStr">
        <is>
          <t>Y</t>
        </is>
      </c>
      <c r="M127" s="97" t="n">
        <v>68.7</v>
      </c>
      <c r="N127" s="97" t="inlineStr">
        <is>
          <t>Y</t>
        </is>
      </c>
      <c r="O127" s="97" t="n">
        <v>15.41</v>
      </c>
      <c r="P127" s="97" t="inlineStr">
        <is>
          <t>N</t>
        </is>
      </c>
      <c r="Q127" s="97" t="inlineStr">
        <is>
          <t>N/A</t>
        </is>
      </c>
      <c r="R127" s="97" t="inlineStr">
        <is>
          <t>N</t>
        </is>
      </c>
      <c r="S127" s="97" t="n">
        <v>3.9</v>
      </c>
      <c r="T127" s="97" t="n">
        <v>18.8</v>
      </c>
      <c r="U127" s="97" t="inlineStr">
        <is>
          <t>Y</t>
        </is>
      </c>
      <c r="V127" s="97" t="n">
        <v>59.5</v>
      </c>
      <c r="W127" s="97" t="inlineStr">
        <is>
          <t>N/A</t>
        </is>
      </c>
      <c r="X127" s="97" t="n">
        <v>31.31</v>
      </c>
      <c r="Y127" s="97" t="n">
        <v>-70.8</v>
      </c>
      <c r="Z127" s="97" t="n">
        <v>5</v>
      </c>
      <c r="AA127" s="92" t="inlineStr">
        <is>
          <t>WATCHLIST</t>
        </is>
      </c>
    </row>
    <row r="128">
      <c r="A128" s="99" t="inlineStr">
        <is>
          <t>BHARATFORG</t>
        </is>
      </c>
      <c r="B128" s="99" t="inlineStr">
        <is>
          <t>Bharat Forge Ltd.</t>
        </is>
      </c>
      <c r="C128" s="99" t="inlineStr">
        <is>
          <t>Automobile and Auto Components</t>
        </is>
      </c>
      <c r="D128" s="99" t="inlineStr">
        <is>
          <t>Large/Midcap</t>
        </is>
      </c>
      <c r="E128" s="99" t="n">
        <v>2151.6</v>
      </c>
      <c r="F128" s="99" t="n">
        <v>-1.09</v>
      </c>
      <c r="G128" s="99" t="n">
        <v>634484</v>
      </c>
      <c r="H128" s="99" t="n">
        <v>0.84</v>
      </c>
      <c r="I128" s="99" t="n">
        <v>104285</v>
      </c>
      <c r="J128" s="99" t="inlineStr">
        <is>
          <t>Y</t>
        </is>
      </c>
      <c r="K128" s="99" t="inlineStr">
        <is>
          <t>Y</t>
        </is>
      </c>
      <c r="L128" s="99" t="inlineStr">
        <is>
          <t>Y</t>
        </is>
      </c>
      <c r="M128" s="99" t="n">
        <v>52</v>
      </c>
      <c r="N128" s="99" t="inlineStr">
        <is>
          <t>Y</t>
        </is>
      </c>
      <c r="O128" s="99" t="n">
        <v>52.78</v>
      </c>
      <c r="P128" s="99" t="inlineStr">
        <is>
          <t>N</t>
        </is>
      </c>
      <c r="Q128" s="99" t="inlineStr">
        <is>
          <t>N/A</t>
        </is>
      </c>
      <c r="R128" s="99" t="inlineStr">
        <is>
          <t>N</t>
        </is>
      </c>
      <c r="S128" s="99" t="n">
        <v>0.8</v>
      </c>
      <c r="T128" s="99" t="n">
        <v>13.5</v>
      </c>
      <c r="U128" s="99" t="inlineStr">
        <is>
          <t>Y</t>
        </is>
      </c>
      <c r="V128" s="99" t="n">
        <v>96.59999999999999</v>
      </c>
      <c r="W128" s="99" t="n">
        <v>11.6</v>
      </c>
      <c r="X128" s="99" t="n">
        <v>76.47</v>
      </c>
      <c r="Y128" s="99" t="n">
        <v>-12</v>
      </c>
      <c r="Z128" s="99" t="n">
        <v>5</v>
      </c>
      <c r="AA128" s="94" t="inlineStr">
        <is>
          <t>WATCHLIST</t>
        </is>
      </c>
    </row>
    <row r="129">
      <c r="A129" s="97" t="inlineStr">
        <is>
          <t>BLUESTARCO</t>
        </is>
      </c>
      <c r="B129" s="97" t="inlineStr">
        <is>
          <t>Blue Star Ltd.</t>
        </is>
      </c>
      <c r="C129" s="97" t="inlineStr">
        <is>
          <t>Consumer Durables</t>
        </is>
      </c>
      <c r="D129" s="97" t="inlineStr">
        <is>
          <t>Large/Midcap</t>
        </is>
      </c>
      <c r="E129" s="97" t="n">
        <v>1643.2</v>
      </c>
      <c r="F129" s="97" t="n">
        <v>0.37</v>
      </c>
      <c r="G129" s="97" t="n">
        <v>135209</v>
      </c>
      <c r="H129" s="97" t="n">
        <v>0.72</v>
      </c>
      <c r="I129" s="97" t="n">
        <v>33783</v>
      </c>
      <c r="J129" s="97" t="inlineStr">
        <is>
          <t>Y</t>
        </is>
      </c>
      <c r="K129" s="97" t="inlineStr">
        <is>
          <t>Y</t>
        </is>
      </c>
      <c r="L129" s="97" t="inlineStr">
        <is>
          <t>N</t>
        </is>
      </c>
      <c r="M129" s="97" t="n">
        <v>55.9</v>
      </c>
      <c r="N129" s="97" t="inlineStr">
        <is>
          <t>Y</t>
        </is>
      </c>
      <c r="O129" s="97" t="n">
        <v>49.59</v>
      </c>
      <c r="P129" s="97" t="inlineStr">
        <is>
          <t>N</t>
        </is>
      </c>
      <c r="Q129" s="97" t="inlineStr">
        <is>
          <t>N/A</t>
        </is>
      </c>
      <c r="R129" s="97" t="inlineStr">
        <is>
          <t>N</t>
        </is>
      </c>
      <c r="S129" s="97" t="n">
        <v>1.1</v>
      </c>
      <c r="T129" s="97" t="n">
        <v>-6.9</v>
      </c>
      <c r="U129" s="97" t="inlineStr">
        <is>
          <t>N</t>
        </is>
      </c>
      <c r="V129" s="97" t="n">
        <v>63.7</v>
      </c>
      <c r="W129" s="97" t="n">
        <v>16.2</v>
      </c>
      <c r="X129" s="97" t="n">
        <v>23.59</v>
      </c>
      <c r="Y129" s="97" t="n">
        <v>181.5</v>
      </c>
      <c r="Z129" s="97" t="n">
        <v>5</v>
      </c>
      <c r="AA129" s="92" t="inlineStr">
        <is>
          <t>WATCHLIST</t>
        </is>
      </c>
    </row>
    <row r="130">
      <c r="A130" s="99" t="inlineStr">
        <is>
          <t>BIOCON</t>
        </is>
      </c>
      <c r="B130" s="99" t="inlineStr">
        <is>
          <t>Biocon Ltd.</t>
        </is>
      </c>
      <c r="C130" s="99" t="inlineStr">
        <is>
          <t>Healthcare</t>
        </is>
      </c>
      <c r="D130" s="99" t="inlineStr">
        <is>
          <t>Large/Midcap</t>
        </is>
      </c>
      <c r="E130" s="99" t="n">
        <v>436.25</v>
      </c>
      <c r="F130" s="99" t="n">
        <v>0.6</v>
      </c>
      <c r="G130" s="99" t="n">
        <v>2570388</v>
      </c>
      <c r="H130" s="99" t="n">
        <v>0.58</v>
      </c>
      <c r="I130" s="99" t="n">
        <v>71034</v>
      </c>
      <c r="J130" s="99" t="inlineStr">
        <is>
          <t>Y</t>
        </is>
      </c>
      <c r="K130" s="99" t="inlineStr">
        <is>
          <t>Y</t>
        </is>
      </c>
      <c r="L130" s="99" t="inlineStr">
        <is>
          <t>Y</t>
        </is>
      </c>
      <c r="M130" s="99" t="n">
        <v>66.09999999999999</v>
      </c>
      <c r="N130" s="99" t="inlineStr">
        <is>
          <t>Y</t>
        </is>
      </c>
      <c r="O130" s="99" t="n">
        <v>13.03</v>
      </c>
      <c r="P130" s="99" t="inlineStr">
        <is>
          <t>N</t>
        </is>
      </c>
      <c r="Q130" s="99" t="inlineStr">
        <is>
          <t>N/A</t>
        </is>
      </c>
      <c r="R130" s="99" t="inlineStr">
        <is>
          <t>N</t>
        </is>
      </c>
      <c r="S130" s="99" t="n">
        <v>5.2</v>
      </c>
      <c r="T130" s="99" t="n">
        <v>21.8</v>
      </c>
      <c r="U130" s="99" t="inlineStr">
        <is>
          <t>Y</t>
        </is>
      </c>
      <c r="V130" s="99" t="n">
        <v>153.6</v>
      </c>
      <c r="W130" s="99" t="n">
        <v>1.1</v>
      </c>
      <c r="X130" s="99" t="n">
        <v>42.15</v>
      </c>
      <c r="Y130" s="99" t="n">
        <v>-12.4</v>
      </c>
      <c r="Z130" s="99" t="n">
        <v>5</v>
      </c>
      <c r="AA130" s="94" t="inlineStr">
        <is>
          <t>WATCHLIST</t>
        </is>
      </c>
    </row>
    <row r="131">
      <c r="A131" s="97" t="inlineStr">
        <is>
          <t>CARTRADE</t>
        </is>
      </c>
      <c r="B131" s="97" t="inlineStr">
        <is>
          <t>Cartrade Tech Ltd.</t>
        </is>
      </c>
      <c r="C131" s="97" t="inlineStr">
        <is>
          <t>Consumer Services</t>
        </is>
      </c>
      <c r="D131" s="97" t="inlineStr">
        <is>
          <t>NSE Smallcap</t>
        </is>
      </c>
      <c r="E131" s="97" t="n">
        <v>2656.4</v>
      </c>
      <c r="F131" s="97" t="n">
        <v>-1.33</v>
      </c>
      <c r="G131" s="97" t="n">
        <v>376776</v>
      </c>
      <c r="H131" s="97" t="n">
        <v>1.25</v>
      </c>
      <c r="I131" s="97" t="n">
        <v>14394</v>
      </c>
      <c r="J131" s="97" t="inlineStr">
        <is>
          <t>Y</t>
        </is>
      </c>
      <c r="K131" s="97" t="inlineStr">
        <is>
          <t>Y</t>
        </is>
      </c>
      <c r="L131" s="97" t="inlineStr">
        <is>
          <t>Y</t>
        </is>
      </c>
      <c r="M131" s="97" t="n">
        <v>41.2</v>
      </c>
      <c r="N131" s="97" t="inlineStr">
        <is>
          <t>N</t>
        </is>
      </c>
      <c r="O131" s="97" t="n">
        <v>124.89</v>
      </c>
      <c r="P131" s="97" t="inlineStr">
        <is>
          <t>N</t>
        </is>
      </c>
      <c r="Q131" s="97" t="inlineStr">
        <is>
          <t>N/A</t>
        </is>
      </c>
      <c r="R131" s="97" t="inlineStr">
        <is>
          <t>N</t>
        </is>
      </c>
      <c r="S131" s="97" t="n">
        <v>-1.2</v>
      </c>
      <c r="T131" s="97" t="n">
        <v>61.8</v>
      </c>
      <c r="U131" s="97" t="inlineStr">
        <is>
          <t>Y</t>
        </is>
      </c>
      <c r="V131" s="97" t="n">
        <v>66.7</v>
      </c>
      <c r="W131" s="97" t="n">
        <v>9.800000000000001</v>
      </c>
      <c r="X131" s="97" t="n">
        <v>5.36</v>
      </c>
      <c r="Y131" s="97" t="n">
        <v>15.7</v>
      </c>
      <c r="Z131" s="97" t="n">
        <v>5</v>
      </c>
      <c r="AA131" s="92" t="inlineStr">
        <is>
          <t>WATCHLIST</t>
        </is>
      </c>
    </row>
    <row r="132">
      <c r="A132" s="99" t="inlineStr">
        <is>
          <t>CASTROLIND</t>
        </is>
      </c>
      <c r="B132" s="99" t="inlineStr">
        <is>
          <t>Castrol India Ltd.</t>
        </is>
      </c>
      <c r="C132" s="99" t="inlineStr">
        <is>
          <t>Oil Gas &amp; Consumable Fuels</t>
        </is>
      </c>
      <c r="D132" s="99" t="inlineStr">
        <is>
          <t>BSE Smallcap</t>
        </is>
      </c>
      <c r="E132" s="99" t="n">
        <v>184.79</v>
      </c>
      <c r="F132" s="99" t="n">
        <v>-0.27</v>
      </c>
      <c r="G132" s="99" t="n">
        <v>1334968</v>
      </c>
      <c r="H132" s="99" t="n">
        <v>0.72</v>
      </c>
      <c r="I132" s="99" t="n">
        <v>18232</v>
      </c>
      <c r="J132" s="99" t="inlineStr">
        <is>
          <t>Y</t>
        </is>
      </c>
      <c r="K132" s="99" t="inlineStr">
        <is>
          <t>Y</t>
        </is>
      </c>
      <c r="L132" s="99" t="inlineStr">
        <is>
          <t>Y</t>
        </is>
      </c>
      <c r="M132" s="99" t="n">
        <v>55.1</v>
      </c>
      <c r="N132" s="99" t="inlineStr">
        <is>
          <t>Y</t>
        </is>
      </c>
      <c r="O132" s="99" t="n">
        <v>1.67</v>
      </c>
      <c r="P132" s="99" t="inlineStr">
        <is>
          <t>N</t>
        </is>
      </c>
      <c r="Q132" s="99" t="inlineStr">
        <is>
          <t>N/A</t>
        </is>
      </c>
      <c r="R132" s="99" t="inlineStr">
        <is>
          <t>N</t>
        </is>
      </c>
      <c r="S132" s="99" t="n">
        <v>-0.1</v>
      </c>
      <c r="T132" s="99" t="n">
        <v>0.5</v>
      </c>
      <c r="U132" s="99" t="inlineStr">
        <is>
          <t>Y</t>
        </is>
      </c>
      <c r="V132" s="99" t="n">
        <v>19</v>
      </c>
      <c r="W132" s="99" t="inlineStr">
        <is>
          <t>N/A</t>
        </is>
      </c>
      <c r="X132" s="99" t="n">
        <v>3.31</v>
      </c>
      <c r="Y132" s="99" t="n">
        <v>-1</v>
      </c>
      <c r="Z132" s="99" t="n">
        <v>5</v>
      </c>
      <c r="AA132" s="94" t="inlineStr">
        <is>
          <t>WATCHLIST</t>
        </is>
      </c>
    </row>
    <row r="133">
      <c r="A133" s="97" t="inlineStr">
        <is>
          <t>CHENNPETRO</t>
        </is>
      </c>
      <c r="B133" s="97" t="inlineStr">
        <is>
          <t>Chennai Petroleum Corporation Ltd.</t>
        </is>
      </c>
      <c r="C133" s="97" t="inlineStr">
        <is>
          <t>Oil Gas &amp; Consumable Fuels</t>
        </is>
      </c>
      <c r="D133" s="97" t="inlineStr">
        <is>
          <t>BSE Smallcap</t>
        </is>
      </c>
      <c r="E133" s="97" t="n">
        <v>1168.8</v>
      </c>
      <c r="F133" s="97" t="n">
        <v>-3.79</v>
      </c>
      <c r="G133" s="97" t="n">
        <v>1629065</v>
      </c>
      <c r="H133" s="97" t="n">
        <v>0.42</v>
      </c>
      <c r="I133" s="97" t="n">
        <v>17405</v>
      </c>
      <c r="J133" s="97" t="inlineStr">
        <is>
          <t>Y</t>
        </is>
      </c>
      <c r="K133" s="97" t="inlineStr">
        <is>
          <t>Y</t>
        </is>
      </c>
      <c r="L133" s="97" t="inlineStr">
        <is>
          <t>Y</t>
        </is>
      </c>
      <c r="M133" s="97" t="n">
        <v>57.1</v>
      </c>
      <c r="N133" s="97" t="inlineStr">
        <is>
          <t>Y</t>
        </is>
      </c>
      <c r="O133" s="97" t="n">
        <v>74.58</v>
      </c>
      <c r="P133" s="97" t="inlineStr">
        <is>
          <t>N</t>
        </is>
      </c>
      <c r="Q133" s="97" t="inlineStr">
        <is>
          <t>N/A</t>
        </is>
      </c>
      <c r="R133" s="97" t="inlineStr">
        <is>
          <t>N</t>
        </is>
      </c>
      <c r="S133" s="97" t="n">
        <v>6.3</v>
      </c>
      <c r="T133" s="97" t="n">
        <v>4</v>
      </c>
      <c r="U133" s="97" t="inlineStr">
        <is>
          <t>Y</t>
        </is>
      </c>
      <c r="V133" s="97" t="n">
        <v>4.3</v>
      </c>
      <c r="W133" s="97" t="inlineStr">
        <is>
          <t>N/A</t>
        </is>
      </c>
      <c r="X133" s="97" t="n">
        <v>17.68</v>
      </c>
      <c r="Y133" s="97" t="n">
        <v>-27.5</v>
      </c>
      <c r="Z133" s="97" t="n">
        <v>5</v>
      </c>
      <c r="AA133" s="92" t="inlineStr">
        <is>
          <t>WATCHLIST</t>
        </is>
      </c>
    </row>
    <row r="134">
      <c r="A134" s="99" t="inlineStr">
        <is>
          <t>CUB</t>
        </is>
      </c>
      <c r="B134" s="99" t="inlineStr">
        <is>
          <t>City Union Bank Ltd.</t>
        </is>
      </c>
      <c r="C134" s="99" t="inlineStr">
        <is>
          <t>Financial Services</t>
        </is>
      </c>
      <c r="D134" s="99" t="inlineStr">
        <is>
          <t>BSE Smallcap</t>
        </is>
      </c>
      <c r="E134" s="99" t="n">
        <v>219.75</v>
      </c>
      <c r="F134" s="99" t="n">
        <v>-0.06</v>
      </c>
      <c r="G134" s="99" t="n">
        <v>1635177</v>
      </c>
      <c r="H134" s="99" t="n">
        <v>0.64</v>
      </c>
      <c r="I134" s="99" t="n">
        <v>21941</v>
      </c>
      <c r="J134" s="99" t="inlineStr">
        <is>
          <t>Y</t>
        </is>
      </c>
      <c r="K134" s="99" t="inlineStr">
        <is>
          <t>Y</t>
        </is>
      </c>
      <c r="L134" s="99" t="inlineStr">
        <is>
          <t>Y</t>
        </is>
      </c>
      <c r="M134" s="99" t="n">
        <v>45</v>
      </c>
      <c r="N134" s="99" t="inlineStr">
        <is>
          <t>N</t>
        </is>
      </c>
      <c r="O134" s="99" t="n">
        <v>7.16</v>
      </c>
      <c r="P134" s="99" t="inlineStr">
        <is>
          <t>N</t>
        </is>
      </c>
      <c r="Q134" s="99" t="inlineStr">
        <is>
          <t>N/A</t>
        </is>
      </c>
      <c r="R134" s="99" t="inlineStr">
        <is>
          <t>N</t>
        </is>
      </c>
      <c r="S134" s="99" t="n">
        <v>10.8</v>
      </c>
      <c r="T134" s="99" t="n">
        <v>6</v>
      </c>
      <c r="U134" s="99" t="inlineStr">
        <is>
          <t>Y</t>
        </is>
      </c>
      <c r="V134" s="99" t="n">
        <v>16.6</v>
      </c>
      <c r="W134" s="99" t="n">
        <v>13.2</v>
      </c>
      <c r="X134" s="99" t="inlineStr">
        <is>
          <t>N/A</t>
        </is>
      </c>
      <c r="Y134" s="99" t="n">
        <v>8.300000000000001</v>
      </c>
      <c r="Z134" s="99" t="n">
        <v>5</v>
      </c>
      <c r="AA134" s="94" t="inlineStr">
        <is>
          <t>WATCHLIST</t>
        </is>
      </c>
    </row>
    <row r="135">
      <c r="A135" s="97" t="inlineStr">
        <is>
          <t>CIPLA</t>
        </is>
      </c>
      <c r="B135" s="97" t="inlineStr">
        <is>
          <t>Cipla Ltd.</t>
        </is>
      </c>
      <c r="C135" s="97" t="inlineStr">
        <is>
          <t>Healthcare</t>
        </is>
      </c>
      <c r="D135" s="97" t="inlineStr">
        <is>
          <t>Large/Midcap</t>
        </is>
      </c>
      <c r="E135" s="97" t="n">
        <v>1410.6</v>
      </c>
      <c r="F135" s="97" t="n">
        <v>1.26</v>
      </c>
      <c r="G135" s="97" t="n">
        <v>2917791</v>
      </c>
      <c r="H135" s="97" t="n">
        <v>1.2</v>
      </c>
      <c r="I135" s="97" t="n">
        <v>113858</v>
      </c>
      <c r="J135" s="97" t="inlineStr">
        <is>
          <t>Y</t>
        </is>
      </c>
      <c r="K135" s="97" t="inlineStr">
        <is>
          <t>N</t>
        </is>
      </c>
      <c r="L135" s="97" t="inlineStr">
        <is>
          <t>Y</t>
        </is>
      </c>
      <c r="M135" s="97" t="n">
        <v>33.3</v>
      </c>
      <c r="N135" s="97" t="inlineStr">
        <is>
          <t>N</t>
        </is>
      </c>
      <c r="O135" s="97" t="n">
        <v>33.81</v>
      </c>
      <c r="P135" s="97" t="inlineStr">
        <is>
          <t>Y</t>
        </is>
      </c>
      <c r="Q135" s="97" t="inlineStr">
        <is>
          <t>N/A</t>
        </is>
      </c>
      <c r="R135" s="97" t="inlineStr">
        <is>
          <t>N</t>
        </is>
      </c>
      <c r="S135" s="97" t="n">
        <v>-1.8</v>
      </c>
      <c r="T135" s="97" t="n">
        <v>8.5</v>
      </c>
      <c r="U135" s="97" t="inlineStr">
        <is>
          <t>Y</t>
        </is>
      </c>
      <c r="V135" s="97" t="n">
        <v>33.8</v>
      </c>
      <c r="W135" s="97" t="inlineStr">
        <is>
          <t>N/A</t>
        </is>
      </c>
      <c r="X135" s="97" t="n">
        <v>1.78</v>
      </c>
      <c r="Y135" s="97" t="n">
        <v>42.3</v>
      </c>
      <c r="Z135" s="97" t="n">
        <v>5</v>
      </c>
      <c r="AA135" s="92" t="inlineStr">
        <is>
          <t>WATCHLIST</t>
        </is>
      </c>
    </row>
    <row r="136">
      <c r="A136" s="99" t="inlineStr">
        <is>
          <t>DEEPAKNTR</t>
        </is>
      </c>
      <c r="B136" s="99" t="inlineStr">
        <is>
          <t>Deepak Nitrite Ltd.</t>
        </is>
      </c>
      <c r="C136" s="99" t="inlineStr">
        <is>
          <t>Chemicals</t>
        </is>
      </c>
      <c r="D136" s="99" t="inlineStr">
        <is>
          <t>BSE Smallcap</t>
        </is>
      </c>
      <c r="E136" s="99" t="n">
        <v>1678.9</v>
      </c>
      <c r="F136" s="99" t="n">
        <v>2.24</v>
      </c>
      <c r="G136" s="99" t="n">
        <v>95397</v>
      </c>
      <c r="H136" s="99" t="n">
        <v>0.92</v>
      </c>
      <c r="I136" s="99" t="n">
        <v>22899</v>
      </c>
      <c r="J136" s="99" t="inlineStr">
        <is>
          <t>Y</t>
        </is>
      </c>
      <c r="K136" s="99" t="inlineStr">
        <is>
          <t>Y</t>
        </is>
      </c>
      <c r="L136" s="99" t="inlineStr">
        <is>
          <t>Y</t>
        </is>
      </c>
      <c r="M136" s="99" t="n">
        <v>59.7</v>
      </c>
      <c r="N136" s="99" t="inlineStr">
        <is>
          <t>Y</t>
        </is>
      </c>
      <c r="O136" s="99" t="n">
        <v>53.05</v>
      </c>
      <c r="P136" s="99" t="inlineStr">
        <is>
          <t>N</t>
        </is>
      </c>
      <c r="Q136" s="99" t="inlineStr">
        <is>
          <t>N/A</t>
        </is>
      </c>
      <c r="R136" s="99" t="inlineStr">
        <is>
          <t>N</t>
        </is>
      </c>
      <c r="S136" s="99" t="n">
        <v>4.2</v>
      </c>
      <c r="T136" s="99" t="n">
        <v>-1.8</v>
      </c>
      <c r="U136" s="99" t="inlineStr">
        <is>
          <t>N</t>
        </is>
      </c>
      <c r="V136" s="99" t="n">
        <v>40.8</v>
      </c>
      <c r="W136" s="99" t="n">
        <v>9.800000000000001</v>
      </c>
      <c r="X136" s="99" t="n">
        <v>27.9</v>
      </c>
      <c r="Y136" s="99" t="n">
        <v>120.2</v>
      </c>
      <c r="Z136" s="99" t="n">
        <v>5</v>
      </c>
      <c r="AA136" s="94" t="inlineStr">
        <is>
          <t>WATCHLIST</t>
        </is>
      </c>
    </row>
    <row r="137">
      <c r="A137" s="97" t="inlineStr">
        <is>
          <t>ELGIEQUIP</t>
        </is>
      </c>
      <c r="B137" s="97" t="inlineStr">
        <is>
          <t>Elgi Equipments Ltd.</t>
        </is>
      </c>
      <c r="C137" s="97" t="inlineStr">
        <is>
          <t>Capital Goods</t>
        </is>
      </c>
      <c r="D137" s="97" t="inlineStr">
        <is>
          <t>BSE Smallcap</t>
        </is>
      </c>
      <c r="E137" s="97" t="n">
        <v>577.3</v>
      </c>
      <c r="F137" s="97" t="n">
        <v>-1.49</v>
      </c>
      <c r="G137" s="97" t="n">
        <v>173421</v>
      </c>
      <c r="H137" s="97" t="n">
        <v>0.49</v>
      </c>
      <c r="I137" s="97" t="n">
        <v>18248</v>
      </c>
      <c r="J137" s="97" t="inlineStr">
        <is>
          <t>Y</t>
        </is>
      </c>
      <c r="K137" s="97" t="inlineStr">
        <is>
          <t>N</t>
        </is>
      </c>
      <c r="L137" s="97" t="inlineStr">
        <is>
          <t>Y</t>
        </is>
      </c>
      <c r="M137" s="97" t="n">
        <v>44.9</v>
      </c>
      <c r="N137" s="97" t="inlineStr">
        <is>
          <t>N</t>
        </is>
      </c>
      <c r="O137" s="97" t="n">
        <v>17.68</v>
      </c>
      <c r="P137" s="97" t="inlineStr">
        <is>
          <t>N</t>
        </is>
      </c>
      <c r="Q137" s="97" t="inlineStr">
        <is>
          <t>N/A</t>
        </is>
      </c>
      <c r="R137" s="97" t="inlineStr">
        <is>
          <t>N</t>
        </is>
      </c>
      <c r="S137" s="97" t="n">
        <v>-3.7</v>
      </c>
      <c r="T137" s="97" t="n">
        <v>2.9</v>
      </c>
      <c r="U137" s="97" t="inlineStr">
        <is>
          <t>Y</t>
        </is>
      </c>
      <c r="V137" s="97" t="n">
        <v>42.5</v>
      </c>
      <c r="W137" s="97" t="n">
        <v>21</v>
      </c>
      <c r="X137" s="97" t="n">
        <v>23.89</v>
      </c>
      <c r="Y137" s="97" t="n">
        <v>34.5</v>
      </c>
      <c r="Z137" s="97" t="n">
        <v>5</v>
      </c>
      <c r="AA137" s="92" t="inlineStr">
        <is>
          <t>WATCHLIST</t>
        </is>
      </c>
    </row>
    <row r="138">
      <c r="A138" s="99" t="inlineStr">
        <is>
          <t>ETERNAL</t>
        </is>
      </c>
      <c r="B138" s="99" t="inlineStr">
        <is>
          <t>Eternal Ltd.</t>
        </is>
      </c>
      <c r="C138" s="99" t="inlineStr">
        <is>
          <t>Consumer Services</t>
        </is>
      </c>
      <c r="D138" s="99" t="inlineStr">
        <is>
          <t>Large/Midcap</t>
        </is>
      </c>
      <c r="E138" s="99" t="n">
        <v>295.85</v>
      </c>
      <c r="F138" s="99" t="n">
        <v>5.66</v>
      </c>
      <c r="G138" s="99" t="n">
        <v>48012383</v>
      </c>
      <c r="H138" s="99" t="n">
        <v>0.86</v>
      </c>
      <c r="I138" s="99" t="n">
        <v>272342</v>
      </c>
      <c r="J138" s="99" t="inlineStr">
        <is>
          <t>Y</t>
        </is>
      </c>
      <c r="K138" s="99" t="inlineStr">
        <is>
          <t>Y</t>
        </is>
      </c>
      <c r="L138" s="99" t="inlineStr">
        <is>
          <t>Y</t>
        </is>
      </c>
      <c r="M138" s="99" t="n">
        <v>55.2</v>
      </c>
      <c r="N138" s="99" t="inlineStr">
        <is>
          <t>Y</t>
        </is>
      </c>
      <c r="O138" s="99" t="n">
        <v>10.53</v>
      </c>
      <c r="P138" s="99" t="inlineStr">
        <is>
          <t>N</t>
        </is>
      </c>
      <c r="Q138" s="99" t="inlineStr">
        <is>
          <t>N/A</t>
        </is>
      </c>
      <c r="R138" s="99" t="inlineStr">
        <is>
          <t>N</t>
        </is>
      </c>
      <c r="S138" s="99" t="n">
        <v>16.2</v>
      </c>
      <c r="T138" s="99" t="n">
        <v>20.2</v>
      </c>
      <c r="U138" s="99" t="inlineStr">
        <is>
          <t>Y</t>
        </is>
      </c>
      <c r="V138" s="99" t="n">
        <v>657.4</v>
      </c>
      <c r="W138" s="99" t="inlineStr">
        <is>
          <t>N/A</t>
        </is>
      </c>
      <c r="X138" s="99" t="n">
        <v>14.83</v>
      </c>
      <c r="Y138" s="99" t="n">
        <v>-47.1</v>
      </c>
      <c r="Z138" s="99" t="n">
        <v>5</v>
      </c>
      <c r="AA138" s="94" t="inlineStr">
        <is>
          <t>WATCHLIST</t>
        </is>
      </c>
    </row>
    <row r="139">
      <c r="A139" s="97" t="inlineStr">
        <is>
          <t>GMRAIRPORT</t>
        </is>
      </c>
      <c r="B139" s="97" t="inlineStr">
        <is>
          <t>GMR Airports Ltd.</t>
        </is>
      </c>
      <c r="C139" s="97" t="inlineStr">
        <is>
          <t>Services</t>
        </is>
      </c>
      <c r="D139" s="97" t="inlineStr">
        <is>
          <t>Large/Midcap</t>
        </is>
      </c>
      <c r="E139" s="97" t="n">
        <v>107.12</v>
      </c>
      <c r="F139" s="97" t="n">
        <v>-0.23</v>
      </c>
      <c r="G139" s="97" t="n">
        <v>7913951</v>
      </c>
      <c r="H139" s="97" t="n">
        <v>0.41</v>
      </c>
      <c r="I139" s="97" t="n">
        <v>114037</v>
      </c>
      <c r="J139" s="97" t="inlineStr">
        <is>
          <t>Y</t>
        </is>
      </c>
      <c r="K139" s="97" t="inlineStr">
        <is>
          <t>Y</t>
        </is>
      </c>
      <c r="L139" s="97" t="inlineStr">
        <is>
          <t>Y</t>
        </is>
      </c>
      <c r="M139" s="97" t="n">
        <v>33.3</v>
      </c>
      <c r="N139" s="97" t="inlineStr">
        <is>
          <t>N</t>
        </is>
      </c>
      <c r="O139" s="97" t="n">
        <v>2.51</v>
      </c>
      <c r="P139" s="97" t="inlineStr">
        <is>
          <t>N</t>
        </is>
      </c>
      <c r="Q139" s="97" t="inlineStr">
        <is>
          <t>N/A</t>
        </is>
      </c>
      <c r="R139" s="97" t="inlineStr">
        <is>
          <t>N</t>
        </is>
      </c>
      <c r="S139" s="97" t="n">
        <v>-1</v>
      </c>
      <c r="T139" s="97" t="n">
        <v>11.5</v>
      </c>
      <c r="U139" s="97" t="inlineStr">
        <is>
          <t>Y</t>
        </is>
      </c>
      <c r="V139" s="97" t="n">
        <v>830.8</v>
      </c>
      <c r="W139" s="97" t="inlineStr">
        <is>
          <t>N/A</t>
        </is>
      </c>
      <c r="X139" s="97" t="inlineStr">
        <is>
          <t>N/A</t>
        </is>
      </c>
      <c r="Y139" s="97" t="n">
        <v>148.2</v>
      </c>
      <c r="Z139" s="97" t="n">
        <v>5</v>
      </c>
      <c r="AA139" s="92" t="inlineStr">
        <is>
          <t>WATCHLIST</t>
        </is>
      </c>
    </row>
    <row r="140">
      <c r="A140" s="99" t="inlineStr">
        <is>
          <t>GLAND</t>
        </is>
      </c>
      <c r="B140" s="99" t="inlineStr">
        <is>
          <t>Gland Pharma Ltd.</t>
        </is>
      </c>
      <c r="C140" s="99" t="inlineStr">
        <is>
          <t>Healthcare</t>
        </is>
      </c>
      <c r="D140" s="99" t="inlineStr">
        <is>
          <t>BSE Smallcap</t>
        </is>
      </c>
      <c r="E140" s="99" t="n">
        <v>2427.1</v>
      </c>
      <c r="F140" s="99" t="n">
        <v>1.99</v>
      </c>
      <c r="G140" s="99" t="n">
        <v>300623</v>
      </c>
      <c r="H140" s="99" t="n">
        <v>0.88</v>
      </c>
      <c r="I140" s="99" t="n">
        <v>40037</v>
      </c>
      <c r="J140" s="99" t="inlineStr">
        <is>
          <t>Y</t>
        </is>
      </c>
      <c r="K140" s="99" t="inlineStr">
        <is>
          <t>Y</t>
        </is>
      </c>
      <c r="L140" s="99" t="inlineStr">
        <is>
          <t>Y</t>
        </is>
      </c>
      <c r="M140" s="99" t="n">
        <v>37.5</v>
      </c>
      <c r="N140" s="99" t="inlineStr">
        <is>
          <t>N</t>
        </is>
      </c>
      <c r="O140" s="99" t="n">
        <v>80.31999999999999</v>
      </c>
      <c r="P140" s="99" t="inlineStr">
        <is>
          <t>N</t>
        </is>
      </c>
      <c r="Q140" s="99" t="inlineStr">
        <is>
          <t>N/A</t>
        </is>
      </c>
      <c r="R140" s="99" t="inlineStr">
        <is>
          <t>N</t>
        </is>
      </c>
      <c r="S140" s="99" t="n">
        <v>5.1</v>
      </c>
      <c r="T140" s="99" t="n">
        <v>39</v>
      </c>
      <c r="U140" s="99" t="inlineStr">
        <is>
          <t>Y</t>
        </is>
      </c>
      <c r="V140" s="99" t="n">
        <v>38.2</v>
      </c>
      <c r="W140" s="99" t="n">
        <v>10.5</v>
      </c>
      <c r="X140" s="99" t="n">
        <v>2.74</v>
      </c>
      <c r="Y140" s="99" t="n">
        <v>40.2</v>
      </c>
      <c r="Z140" s="99" t="n">
        <v>5</v>
      </c>
      <c r="AA140" s="94" t="inlineStr">
        <is>
          <t>WATCHLIST</t>
        </is>
      </c>
    </row>
    <row r="141">
      <c r="A141" s="97" t="inlineStr">
        <is>
          <t>GRAPHITE</t>
        </is>
      </c>
      <c r="B141" s="97" t="inlineStr">
        <is>
          <t>Graphite India Ltd.</t>
        </is>
      </c>
      <c r="C141" s="97" t="inlineStr">
        <is>
          <t>Capital Goods</t>
        </is>
      </c>
      <c r="D141" s="97" t="inlineStr">
        <is>
          <t>BSE Smallcap</t>
        </is>
      </c>
      <c r="E141" s="97" t="n">
        <v>672.75</v>
      </c>
      <c r="F141" s="97" t="n">
        <v>2.26</v>
      </c>
      <c r="G141" s="97" t="n">
        <v>4550797</v>
      </c>
      <c r="H141" s="97" t="n">
        <v>1.91</v>
      </c>
      <c r="I141" s="97" t="n">
        <v>12947</v>
      </c>
      <c r="J141" s="97" t="inlineStr">
        <is>
          <t>Y</t>
        </is>
      </c>
      <c r="K141" s="97" t="inlineStr">
        <is>
          <t>Y</t>
        </is>
      </c>
      <c r="L141" s="97" t="inlineStr">
        <is>
          <t>Y</t>
        </is>
      </c>
      <c r="M141" s="97" t="n">
        <v>65.7</v>
      </c>
      <c r="N141" s="97" t="inlineStr">
        <is>
          <t>Y</t>
        </is>
      </c>
      <c r="O141" s="97" t="n">
        <v>26.24</v>
      </c>
      <c r="P141" s="97" t="inlineStr">
        <is>
          <t>Y</t>
        </is>
      </c>
      <c r="Q141" s="97" t="inlineStr">
        <is>
          <t>N/A</t>
        </is>
      </c>
      <c r="R141" s="97" t="inlineStr">
        <is>
          <t>N</t>
        </is>
      </c>
      <c r="S141" s="97" t="n">
        <v>12.5</v>
      </c>
      <c r="T141" s="97" t="n">
        <v>-7.8</v>
      </c>
      <c r="U141" s="97" t="inlineStr">
        <is>
          <t>N</t>
        </is>
      </c>
      <c r="V141" s="97" t="n">
        <v>74</v>
      </c>
      <c r="W141" s="97" t="n">
        <v>2.9</v>
      </c>
      <c r="X141" s="97" t="n">
        <v>6.29</v>
      </c>
      <c r="Y141" s="97" t="n">
        <v>-252.9</v>
      </c>
      <c r="Z141" s="97" t="n">
        <v>5</v>
      </c>
      <c r="AA141" s="92" t="inlineStr">
        <is>
          <t>WATCHLIST</t>
        </is>
      </c>
    </row>
    <row r="142">
      <c r="A142" s="99" t="inlineStr">
        <is>
          <t>GESHIP</t>
        </is>
      </c>
      <c r="B142" s="99" t="inlineStr">
        <is>
          <t>Great Eastern Shipping Co. Ltd.</t>
        </is>
      </c>
      <c r="C142" s="99" t="inlineStr">
        <is>
          <t>Services</t>
        </is>
      </c>
      <c r="D142" s="99" t="inlineStr">
        <is>
          <t>BSE Smallcap</t>
        </is>
      </c>
      <c r="E142" s="99" t="n">
        <v>1398.6</v>
      </c>
      <c r="F142" s="99" t="n">
        <v>-2.73</v>
      </c>
      <c r="G142" s="99" t="n">
        <v>488878</v>
      </c>
      <c r="H142" s="99" t="n">
        <v>1.59</v>
      </c>
      <c r="I142" s="99" t="n">
        <v>19968</v>
      </c>
      <c r="J142" s="99" t="inlineStr">
        <is>
          <t>Y</t>
        </is>
      </c>
      <c r="K142" s="99" t="inlineStr">
        <is>
          <t>N</t>
        </is>
      </c>
      <c r="L142" s="99" t="inlineStr">
        <is>
          <t>Y</t>
        </is>
      </c>
      <c r="M142" s="99" t="n">
        <v>52.2</v>
      </c>
      <c r="N142" s="99" t="inlineStr">
        <is>
          <t>Y</t>
        </is>
      </c>
      <c r="O142" s="99" t="n">
        <v>46.85</v>
      </c>
      <c r="P142" s="99" t="inlineStr">
        <is>
          <t>N</t>
        </is>
      </c>
      <c r="Q142" s="99" t="inlineStr">
        <is>
          <t>N/A</t>
        </is>
      </c>
      <c r="R142" s="99" t="inlineStr">
        <is>
          <t>N</t>
        </is>
      </c>
      <c r="S142" s="99" t="n">
        <v>-6.4</v>
      </c>
      <c r="T142" s="99" t="n">
        <v>-10.3</v>
      </c>
      <c r="U142" s="99" t="inlineStr">
        <is>
          <t>N</t>
        </is>
      </c>
      <c r="V142" s="99" t="n">
        <v>7</v>
      </c>
      <c r="W142" s="99" t="n">
        <v>18.8</v>
      </c>
      <c r="X142" s="99" t="n">
        <v>6.41</v>
      </c>
      <c r="Y142" s="99" t="n">
        <v>28.5</v>
      </c>
      <c r="Z142" s="99" t="n">
        <v>5</v>
      </c>
      <c r="AA142" s="94" t="inlineStr">
        <is>
          <t>WATCHLIST</t>
        </is>
      </c>
    </row>
    <row r="143">
      <c r="A143" s="97" t="inlineStr">
        <is>
          <t>HEG</t>
        </is>
      </c>
      <c r="B143" s="97" t="inlineStr">
        <is>
          <t>H.E.G. Ltd.</t>
        </is>
      </c>
      <c r="C143" s="97" t="inlineStr">
        <is>
          <t>Capital Goods</t>
        </is>
      </c>
      <c r="D143" s="97" t="inlineStr">
        <is>
          <t>BSE Smallcap</t>
        </is>
      </c>
      <c r="E143" s="97" t="n">
        <v>652.5</v>
      </c>
      <c r="F143" s="97" t="n">
        <v>1.45</v>
      </c>
      <c r="G143" s="97" t="n">
        <v>3378029</v>
      </c>
      <c r="H143" s="97" t="n">
        <v>0.37</v>
      </c>
      <c r="I143" s="97" t="n">
        <v>12592</v>
      </c>
      <c r="J143" s="97" t="inlineStr">
        <is>
          <t>Y</t>
        </is>
      </c>
      <c r="K143" s="97" t="inlineStr">
        <is>
          <t>Y</t>
        </is>
      </c>
      <c r="L143" s="97" t="inlineStr">
        <is>
          <t>Y</t>
        </is>
      </c>
      <c r="M143" s="97" t="n">
        <v>77.8</v>
      </c>
      <c r="N143" s="97" t="inlineStr">
        <is>
          <t>N</t>
        </is>
      </c>
      <c r="O143" s="97" t="n">
        <v>30.42</v>
      </c>
      <c r="P143" s="97" t="inlineStr">
        <is>
          <t>N</t>
        </is>
      </c>
      <c r="Q143" s="97" t="inlineStr">
        <is>
          <t>N/A</t>
        </is>
      </c>
      <c r="R143" s="97" t="inlineStr">
        <is>
          <t>N</t>
        </is>
      </c>
      <c r="S143" s="97" t="n">
        <v>26.4</v>
      </c>
      <c r="T143" s="97" t="n">
        <v>10.5</v>
      </c>
      <c r="U143" s="97" t="inlineStr">
        <is>
          <t>Y</t>
        </is>
      </c>
      <c r="V143" s="97" t="n">
        <v>34.5</v>
      </c>
      <c r="W143" s="97" t="inlineStr">
        <is>
          <t>N/A</t>
        </is>
      </c>
      <c r="X143" s="97" t="n">
        <v>16.73</v>
      </c>
      <c r="Y143" s="97" t="n">
        <v>207.5</v>
      </c>
      <c r="Z143" s="97" t="n">
        <v>5</v>
      </c>
      <c r="AA143" s="92" t="inlineStr">
        <is>
          <t>WATCHLIST</t>
        </is>
      </c>
    </row>
    <row r="144">
      <c r="A144" s="99" t="inlineStr">
        <is>
          <t>FLUOROCHEM</t>
        </is>
      </c>
      <c r="B144" s="99" t="inlineStr">
        <is>
          <t>Gujarat Fluorochemicals Ltd.</t>
        </is>
      </c>
      <c r="C144" s="99" t="inlineStr">
        <is>
          <t>Chemicals</t>
        </is>
      </c>
      <c r="D144" s="99" t="inlineStr">
        <is>
          <t>Large/Midcap</t>
        </is>
      </c>
      <c r="E144" s="99" t="n">
        <v>4573.7</v>
      </c>
      <c r="F144" s="99" t="n">
        <v>-0.08</v>
      </c>
      <c r="G144" s="99" t="n">
        <v>97679</v>
      </c>
      <c r="H144" s="99" t="n">
        <v>0.25</v>
      </c>
      <c r="I144" s="99" t="n">
        <v>50130</v>
      </c>
      <c r="J144" s="99" t="inlineStr">
        <is>
          <t>Y</t>
        </is>
      </c>
      <c r="K144" s="99" t="inlineStr">
        <is>
          <t>Y</t>
        </is>
      </c>
      <c r="L144" s="99" t="inlineStr">
        <is>
          <t>Y</t>
        </is>
      </c>
      <c r="M144" s="99" t="n">
        <v>81.09999999999999</v>
      </c>
      <c r="N144" s="99" t="inlineStr">
        <is>
          <t>N</t>
        </is>
      </c>
      <c r="O144" s="99" t="n">
        <v>140.18</v>
      </c>
      <c r="P144" s="99" t="inlineStr">
        <is>
          <t>N</t>
        </is>
      </c>
      <c r="Q144" s="99" t="inlineStr">
        <is>
          <t>N/A</t>
        </is>
      </c>
      <c r="R144" s="99" t="inlineStr">
        <is>
          <t>N</t>
        </is>
      </c>
      <c r="S144" s="99" t="n">
        <v>17.2</v>
      </c>
      <c r="T144" s="99" t="n">
        <v>36.5</v>
      </c>
      <c r="U144" s="99" t="inlineStr">
        <is>
          <t>Y</t>
        </is>
      </c>
      <c r="V144" s="99" t="n">
        <v>87.5</v>
      </c>
      <c r="W144" s="99" t="n">
        <v>7.5</v>
      </c>
      <c r="X144" s="99" t="n">
        <v>28.94</v>
      </c>
      <c r="Y144" s="99" t="n">
        <v>8.699999999999999</v>
      </c>
      <c r="Z144" s="99" t="n">
        <v>5</v>
      </c>
      <c r="AA144" s="94" t="inlineStr">
        <is>
          <t>WATCHLIST</t>
        </is>
      </c>
    </row>
    <row r="145">
      <c r="A145" s="97" t="inlineStr">
        <is>
          <t>HCLTECH</t>
        </is>
      </c>
      <c r="B145" s="97" t="inlineStr">
        <is>
          <t>HCL Technologies Ltd.</t>
        </is>
      </c>
      <c r="C145" s="97" t="inlineStr">
        <is>
          <t>Information Technology</t>
        </is>
      </c>
      <c r="D145" s="97" t="inlineStr">
        <is>
          <t>Large/Midcap</t>
        </is>
      </c>
      <c r="E145" s="97" t="n">
        <v>1295.9</v>
      </c>
      <c r="F145" s="97" t="n">
        <v>1.96</v>
      </c>
      <c r="G145" s="97" t="n">
        <v>3847049</v>
      </c>
      <c r="H145" s="97" t="n">
        <v>1.46</v>
      </c>
      <c r="I145" s="97" t="n">
        <v>350640</v>
      </c>
      <c r="J145" s="97" t="inlineStr">
        <is>
          <t>Y</t>
        </is>
      </c>
      <c r="K145" s="97" t="inlineStr">
        <is>
          <t>Y</t>
        </is>
      </c>
      <c r="L145" s="97" t="inlineStr">
        <is>
          <t>N</t>
        </is>
      </c>
      <c r="M145" s="97" t="n">
        <v>73.5</v>
      </c>
      <c r="N145" s="97" t="inlineStr">
        <is>
          <t>N</t>
        </is>
      </c>
      <c r="O145" s="97" t="n">
        <v>37.32</v>
      </c>
      <c r="P145" s="97" t="inlineStr">
        <is>
          <t>N</t>
        </is>
      </c>
      <c r="Q145" s="97" t="inlineStr">
        <is>
          <t>N/A</t>
        </is>
      </c>
      <c r="R145" s="97" t="inlineStr">
        <is>
          <t>N</t>
        </is>
      </c>
      <c r="S145" s="97" t="n">
        <v>19.2</v>
      </c>
      <c r="T145" s="97" t="n">
        <v>9.6</v>
      </c>
      <c r="U145" s="97" t="inlineStr">
        <is>
          <t>Y</t>
        </is>
      </c>
      <c r="V145" s="97" t="n">
        <v>19.8</v>
      </c>
      <c r="W145" s="97" t="n">
        <v>24.1</v>
      </c>
      <c r="X145" s="97" t="n">
        <v>7.06</v>
      </c>
      <c r="Y145" s="97" t="n">
        <v>3</v>
      </c>
      <c r="Z145" s="97" t="n">
        <v>5</v>
      </c>
      <c r="AA145" s="92" t="inlineStr">
        <is>
          <t>WATCHLIST</t>
        </is>
      </c>
    </row>
    <row r="146">
      <c r="A146" s="99" t="inlineStr">
        <is>
          <t>HSCL</t>
        </is>
      </c>
      <c r="B146" s="99" t="inlineStr">
        <is>
          <t>Himadri Speciality Chemical Ltd.</t>
        </is>
      </c>
      <c r="C146" s="99" t="inlineStr">
        <is>
          <t>Chemicals</t>
        </is>
      </c>
      <c r="D146" s="99" t="inlineStr">
        <is>
          <t>BSE Smallcap</t>
        </is>
      </c>
      <c r="E146" s="99" t="n">
        <v>790.45</v>
      </c>
      <c r="F146" s="99" t="n">
        <v>0.11</v>
      </c>
      <c r="G146" s="99" t="n">
        <v>7101930</v>
      </c>
      <c r="H146" s="99" t="n">
        <v>0.61</v>
      </c>
      <c r="I146" s="99" t="n">
        <v>39883</v>
      </c>
      <c r="J146" s="99" t="inlineStr">
        <is>
          <t>Y</t>
        </is>
      </c>
      <c r="K146" s="99" t="inlineStr">
        <is>
          <t>Y</t>
        </is>
      </c>
      <c r="L146" s="99" t="inlineStr">
        <is>
          <t>Y</t>
        </is>
      </c>
      <c r="M146" s="99" t="n">
        <v>83.8</v>
      </c>
      <c r="N146" s="99" t="inlineStr">
        <is>
          <t>N</t>
        </is>
      </c>
      <c r="O146" s="99" t="n">
        <v>30.16</v>
      </c>
      <c r="P146" s="99" t="inlineStr">
        <is>
          <t>N</t>
        </is>
      </c>
      <c r="Q146" s="99" t="inlineStr">
        <is>
          <t>N/A</t>
        </is>
      </c>
      <c r="R146" s="99" t="inlineStr">
        <is>
          <t>N</t>
        </is>
      </c>
      <c r="S146" s="99" t="n">
        <v>16.8</v>
      </c>
      <c r="T146" s="99" t="n">
        <v>30.6</v>
      </c>
      <c r="U146" s="99" t="inlineStr">
        <is>
          <t>Y</t>
        </is>
      </c>
      <c r="V146" s="99" t="n">
        <v>49.5</v>
      </c>
      <c r="W146" s="99" t="inlineStr">
        <is>
          <t>N/A</t>
        </is>
      </c>
      <c r="X146" s="99" t="n">
        <v>16.17</v>
      </c>
      <c r="Y146" s="99" t="n">
        <v>14.3</v>
      </c>
      <c r="Z146" s="99" t="n">
        <v>5</v>
      </c>
      <c r="AA146" s="94" t="inlineStr">
        <is>
          <t>WATCHLIST</t>
        </is>
      </c>
    </row>
    <row r="147">
      <c r="A147" s="97" t="inlineStr">
        <is>
          <t>HYUNDAI</t>
        </is>
      </c>
      <c r="B147" s="97" t="inlineStr">
        <is>
          <t>Hyundai Motor India Ltd.</t>
        </is>
      </c>
      <c r="C147" s="97" t="inlineStr">
        <is>
          <t>Automobile and Auto Components</t>
        </is>
      </c>
      <c r="D147" s="97" t="inlineStr">
        <is>
          <t>Large/Midcap</t>
        </is>
      </c>
      <c r="E147" s="97" t="n">
        <v>1952.6</v>
      </c>
      <c r="F147" s="97" t="n">
        <v>-0.09</v>
      </c>
      <c r="G147" s="97" t="n">
        <v>917025</v>
      </c>
      <c r="H147" s="97" t="n">
        <v>1.62</v>
      </c>
      <c r="I147" s="97" t="n">
        <v>161257</v>
      </c>
      <c r="J147" s="97" t="inlineStr">
        <is>
          <t>Y</t>
        </is>
      </c>
      <c r="K147" s="97" t="inlineStr">
        <is>
          <t>Y</t>
        </is>
      </c>
      <c r="L147" s="97" t="inlineStr">
        <is>
          <t>N</t>
        </is>
      </c>
      <c r="M147" s="97" t="n">
        <v>42.7</v>
      </c>
      <c r="N147" s="97" t="inlineStr">
        <is>
          <t>N</t>
        </is>
      </c>
      <c r="O147" s="97" t="n">
        <v>52.81</v>
      </c>
      <c r="P147" s="97" t="inlineStr">
        <is>
          <t>N</t>
        </is>
      </c>
      <c r="Q147" s="97" t="inlineStr">
        <is>
          <t>N/A</t>
        </is>
      </c>
      <c r="R147" s="97" t="inlineStr">
        <is>
          <t>N</t>
        </is>
      </c>
      <c r="S147" s="97" t="n">
        <v>-0.6</v>
      </c>
      <c r="T147" s="97" t="n">
        <v>7.8</v>
      </c>
      <c r="U147" s="97" t="inlineStr">
        <is>
          <t>Y</t>
        </is>
      </c>
      <c r="V147" s="97" t="n">
        <v>29.7</v>
      </c>
      <c r="W147" s="97" t="n">
        <v>29.9</v>
      </c>
      <c r="X147" s="97" t="n">
        <v>5.48</v>
      </c>
      <c r="Y147" s="97" t="n">
        <v>1.7</v>
      </c>
      <c r="Z147" s="97" t="n">
        <v>5</v>
      </c>
      <c r="AA147" s="92" t="inlineStr">
        <is>
          <t>WATCHLIST</t>
        </is>
      </c>
    </row>
    <row r="148">
      <c r="A148" s="99" t="inlineStr">
        <is>
          <t>IDBI</t>
        </is>
      </c>
      <c r="B148" s="99" t="inlineStr">
        <is>
          <t>IDBI Bank Ltd.</t>
        </is>
      </c>
      <c r="C148" s="99" t="inlineStr">
        <is>
          <t>Financial Services</t>
        </is>
      </c>
      <c r="D148" s="99" t="inlineStr">
        <is>
          <t>NSE Smallcap</t>
        </is>
      </c>
      <c r="E148" s="99" t="n">
        <v>84.48</v>
      </c>
      <c r="F148" s="99" t="n">
        <v>-0.53</v>
      </c>
      <c r="G148" s="99" t="n">
        <v>4321340</v>
      </c>
      <c r="H148" s="99" t="n">
        <v>0.63</v>
      </c>
      <c r="I148" s="99" t="n">
        <v>90836</v>
      </c>
      <c r="J148" s="99" t="inlineStr">
        <is>
          <t>Y</t>
        </is>
      </c>
      <c r="K148" s="99" t="inlineStr">
        <is>
          <t>Y</t>
        </is>
      </c>
      <c r="L148" s="99" t="inlineStr">
        <is>
          <t>N</t>
        </is>
      </c>
      <c r="M148" s="99" t="n">
        <v>53.3</v>
      </c>
      <c r="N148" s="99" t="inlineStr">
        <is>
          <t>Y</t>
        </is>
      </c>
      <c r="O148" s="99" t="n">
        <v>2.69</v>
      </c>
      <c r="P148" s="99" t="inlineStr">
        <is>
          <t>N</t>
        </is>
      </c>
      <c r="Q148" s="99" t="inlineStr">
        <is>
          <t>N/A</t>
        </is>
      </c>
      <c r="R148" s="99" t="inlineStr">
        <is>
          <t>N</t>
        </is>
      </c>
      <c r="S148" s="99" t="n">
        <v>-2</v>
      </c>
      <c r="T148" s="99" t="n">
        <v>11.7</v>
      </c>
      <c r="U148" s="99" t="inlineStr">
        <is>
          <t>Y</t>
        </is>
      </c>
      <c r="V148" s="99" t="n">
        <v>9.800000000000001</v>
      </c>
      <c r="W148" s="99" t="n">
        <v>13.9</v>
      </c>
      <c r="X148" s="99" t="inlineStr">
        <is>
          <t>N/A</t>
        </is>
      </c>
      <c r="Y148" s="99" t="n">
        <v>6</v>
      </c>
      <c r="Z148" s="99" t="n">
        <v>5</v>
      </c>
      <c r="AA148" s="94" t="inlineStr">
        <is>
          <t>WATCHLIST</t>
        </is>
      </c>
    </row>
    <row r="149">
      <c r="A149" s="97" t="inlineStr">
        <is>
          <t>INDIACEM</t>
        </is>
      </c>
      <c r="B149" s="97" t="inlineStr">
        <is>
          <t>India Cements Ltd.</t>
        </is>
      </c>
      <c r="C149" s="97" t="inlineStr">
        <is>
          <t>Construction Materials</t>
        </is>
      </c>
      <c r="D149" s="97" t="inlineStr">
        <is>
          <t>BSE Smallcap</t>
        </is>
      </c>
      <c r="E149" s="97" t="n">
        <v>407</v>
      </c>
      <c r="F149" s="97" t="n">
        <v>-0.29</v>
      </c>
      <c r="G149" s="97" t="n">
        <v>168482</v>
      </c>
      <c r="H149" s="97" t="n">
        <v>0.24</v>
      </c>
      <c r="I149" s="97" t="n">
        <v>12345</v>
      </c>
      <c r="J149" s="97" t="inlineStr">
        <is>
          <t>Y</t>
        </is>
      </c>
      <c r="K149" s="97" t="inlineStr">
        <is>
          <t>Y</t>
        </is>
      </c>
      <c r="L149" s="97" t="inlineStr">
        <is>
          <t>Y</t>
        </is>
      </c>
      <c r="M149" s="97" t="n">
        <v>63.5</v>
      </c>
      <c r="N149" s="97" t="inlineStr">
        <is>
          <t>Y</t>
        </is>
      </c>
      <c r="O149" s="97" t="n">
        <v>13.87</v>
      </c>
      <c r="P149" s="97" t="inlineStr">
        <is>
          <t>N</t>
        </is>
      </c>
      <c r="Q149" s="97" t="inlineStr">
        <is>
          <t>N/A</t>
        </is>
      </c>
      <c r="R149" s="97" t="inlineStr">
        <is>
          <t>N</t>
        </is>
      </c>
      <c r="S149" s="97" t="n">
        <v>6.3</v>
      </c>
      <c r="T149" s="97" t="n">
        <v>1.7</v>
      </c>
      <c r="U149" s="97" t="inlineStr">
        <is>
          <t>Y</t>
        </is>
      </c>
      <c r="V149" s="97" t="n">
        <v>134.1</v>
      </c>
      <c r="W149" s="97" t="inlineStr">
        <is>
          <t>N/A</t>
        </is>
      </c>
      <c r="X149" s="97" t="n">
        <v>12.89</v>
      </c>
      <c r="Y149" s="97" t="n">
        <v>-54.9</v>
      </c>
      <c r="Z149" s="97" t="n">
        <v>5</v>
      </c>
      <c r="AA149" s="92" t="inlineStr">
        <is>
          <t>WATCHLIST</t>
        </is>
      </c>
    </row>
    <row r="150">
      <c r="A150" s="99" t="inlineStr">
        <is>
          <t>INDUSINDBK</t>
        </is>
      </c>
      <c r="B150" s="99" t="inlineStr">
        <is>
          <t>IndusInd Bank Ltd.</t>
        </is>
      </c>
      <c r="C150" s="99" t="inlineStr">
        <is>
          <t>Financial Services</t>
        </is>
      </c>
      <c r="D150" s="99" t="inlineStr">
        <is>
          <t>Large/Midcap</t>
        </is>
      </c>
      <c r="E150" s="99" t="n">
        <v>996.05</v>
      </c>
      <c r="F150" s="99" t="n">
        <v>-0.9399999999999999</v>
      </c>
      <c r="G150" s="99" t="n">
        <v>1995292</v>
      </c>
      <c r="H150" s="99" t="n">
        <v>0.34</v>
      </c>
      <c r="I150" s="99" t="n">
        <v>78431</v>
      </c>
      <c r="J150" s="99" t="inlineStr">
        <is>
          <t>Y</t>
        </is>
      </c>
      <c r="K150" s="99" t="inlineStr">
        <is>
          <t>Y</t>
        </is>
      </c>
      <c r="L150" s="99" t="inlineStr">
        <is>
          <t>Y</t>
        </is>
      </c>
      <c r="M150" s="99" t="n">
        <v>46.9</v>
      </c>
      <c r="N150" s="99" t="inlineStr">
        <is>
          <t>N</t>
        </is>
      </c>
      <c r="O150" s="99" t="n">
        <v>28.03</v>
      </c>
      <c r="P150" s="99" t="inlineStr">
        <is>
          <t>N</t>
        </is>
      </c>
      <c r="Q150" s="99" t="inlineStr">
        <is>
          <t>N/A</t>
        </is>
      </c>
      <c r="R150" s="99" t="inlineStr">
        <is>
          <t>N</t>
        </is>
      </c>
      <c r="S150" s="99" t="n">
        <v>8.6</v>
      </c>
      <c r="T150" s="99" t="n">
        <v>9.6</v>
      </c>
      <c r="U150" s="99" t="inlineStr">
        <is>
          <t>Y</t>
        </is>
      </c>
      <c r="V150" s="99" t="n">
        <v>59.5</v>
      </c>
      <c r="W150" s="99" t="inlineStr">
        <is>
          <t>N/A</t>
        </is>
      </c>
      <c r="X150" s="99" t="inlineStr">
        <is>
          <t>N/A</t>
        </is>
      </c>
      <c r="Y150" s="99" t="n">
        <v>74.5</v>
      </c>
      <c r="Z150" s="99" t="n">
        <v>5</v>
      </c>
      <c r="AA150" s="94" t="inlineStr">
        <is>
          <t>WATCHLIST</t>
        </is>
      </c>
    </row>
    <row r="151">
      <c r="A151" s="97" t="inlineStr">
        <is>
          <t>NAUKRI</t>
        </is>
      </c>
      <c r="B151" s="97" t="inlineStr">
        <is>
          <t>Info Edge (India) Ltd.</t>
        </is>
      </c>
      <c r="C151" s="97" t="inlineStr">
        <is>
          <t>Consumer Services</t>
        </is>
      </c>
      <c r="D151" s="97" t="inlineStr">
        <is>
          <t>Large/Midcap</t>
        </is>
      </c>
      <c r="E151" s="97" t="n">
        <v>1165.5</v>
      </c>
      <c r="F151" s="97" t="n">
        <v>-0.07000000000000001</v>
      </c>
      <c r="G151" s="97" t="n">
        <v>1248750</v>
      </c>
      <c r="H151" s="97" t="n">
        <v>0.5600000000000001</v>
      </c>
      <c r="I151" s="97" t="n">
        <v>77359</v>
      </c>
      <c r="J151" s="97" t="inlineStr">
        <is>
          <t>Y</t>
        </is>
      </c>
      <c r="K151" s="97" t="inlineStr">
        <is>
          <t>Y</t>
        </is>
      </c>
      <c r="L151" s="97" t="inlineStr">
        <is>
          <t>Y</t>
        </is>
      </c>
      <c r="M151" s="97" t="n">
        <v>74.2</v>
      </c>
      <c r="N151" s="97" t="inlineStr">
        <is>
          <t>N</t>
        </is>
      </c>
      <c r="O151" s="97" t="n">
        <v>41.07</v>
      </c>
      <c r="P151" s="97" t="inlineStr">
        <is>
          <t>N</t>
        </is>
      </c>
      <c r="Q151" s="97" t="inlineStr">
        <is>
          <t>N/A</t>
        </is>
      </c>
      <c r="R151" s="97" t="inlineStr">
        <is>
          <t>N</t>
        </is>
      </c>
      <c r="S151" s="97" t="n">
        <v>19.7</v>
      </c>
      <c r="T151" s="97" t="n">
        <v>18.3</v>
      </c>
      <c r="U151" s="97" t="inlineStr">
        <is>
          <t>Y</t>
        </is>
      </c>
      <c r="V151" s="97" t="n">
        <v>53.4</v>
      </c>
      <c r="W151" s="97" t="n">
        <v>4.6</v>
      </c>
      <c r="X151" s="97" t="n">
        <v>0.64</v>
      </c>
      <c r="Y151" s="97" t="n">
        <v>108.2</v>
      </c>
      <c r="Z151" s="97" t="n">
        <v>5</v>
      </c>
      <c r="AA151" s="92" t="inlineStr">
        <is>
          <t>WATCHLIST</t>
        </is>
      </c>
    </row>
    <row r="152">
      <c r="A152" s="99" t="inlineStr">
        <is>
          <t>JBMA</t>
        </is>
      </c>
      <c r="B152" s="99" t="inlineStr">
        <is>
          <t>JBM Auto Ltd.</t>
        </is>
      </c>
      <c r="C152" s="99" t="inlineStr">
        <is>
          <t>Automobile and Auto Components</t>
        </is>
      </c>
      <c r="D152" s="99" t="inlineStr">
        <is>
          <t>BSE Smallcap</t>
        </is>
      </c>
      <c r="E152" s="99" t="n">
        <v>665</v>
      </c>
      <c r="F152" s="99" t="n">
        <v>1.36</v>
      </c>
      <c r="G152" s="99" t="n">
        <v>185743</v>
      </c>
      <c r="H152" s="99" t="n">
        <v>0.51</v>
      </c>
      <c r="I152" s="99" t="n">
        <v>15727</v>
      </c>
      <c r="J152" s="99" t="inlineStr">
        <is>
          <t>Y</t>
        </is>
      </c>
      <c r="K152" s="99" t="inlineStr">
        <is>
          <t>N</t>
        </is>
      </c>
      <c r="L152" s="99" t="inlineStr">
        <is>
          <t>Y</t>
        </is>
      </c>
      <c r="M152" s="99" t="n">
        <v>46.6</v>
      </c>
      <c r="N152" s="99" t="inlineStr">
        <is>
          <t>N</t>
        </is>
      </c>
      <c r="O152" s="99" t="n">
        <v>17.76</v>
      </c>
      <c r="P152" s="99" t="inlineStr">
        <is>
          <t>N</t>
        </is>
      </c>
      <c r="Q152" s="99" t="inlineStr">
        <is>
          <t>N/A</t>
        </is>
      </c>
      <c r="R152" s="99" t="inlineStr">
        <is>
          <t>N</t>
        </is>
      </c>
      <c r="S152" s="99" t="n">
        <v>-3.8</v>
      </c>
      <c r="T152" s="99" t="n">
        <v>5.9</v>
      </c>
      <c r="U152" s="99" t="inlineStr">
        <is>
          <t>Y</t>
        </is>
      </c>
      <c r="V152" s="99" t="n">
        <v>70.90000000000001</v>
      </c>
      <c r="W152" s="99" t="n">
        <v>16</v>
      </c>
      <c r="X152" s="99" t="n">
        <v>190.28</v>
      </c>
      <c r="Y152" s="99" t="n">
        <v>34.7</v>
      </c>
      <c r="Z152" s="99" t="n">
        <v>5</v>
      </c>
      <c r="AA152" s="94" t="inlineStr">
        <is>
          <t>WATCHLIST</t>
        </is>
      </c>
    </row>
    <row r="153">
      <c r="A153" s="97" t="inlineStr">
        <is>
          <t>JSWCEMENT</t>
        </is>
      </c>
      <c r="B153" s="97" t="inlineStr">
        <is>
          <t>JSW Cement Ltd.</t>
        </is>
      </c>
      <c r="C153" s="97" t="inlineStr">
        <is>
          <t>Construction Materials</t>
        </is>
      </c>
      <c r="D153" s="97" t="inlineStr">
        <is>
          <t>BSE Smallcap</t>
        </is>
      </c>
      <c r="E153" s="97" t="n">
        <v>132.12</v>
      </c>
      <c r="F153" s="97" t="n">
        <v>-1.29</v>
      </c>
      <c r="G153" s="97" t="n">
        <v>1298867</v>
      </c>
      <c r="H153" s="97" t="n">
        <v>0.59</v>
      </c>
      <c r="I153" s="97" t="n">
        <v>18028</v>
      </c>
      <c r="J153" s="97" t="inlineStr">
        <is>
          <t>Y</t>
        </is>
      </c>
      <c r="K153" s="97" t="inlineStr">
        <is>
          <t>Y</t>
        </is>
      </c>
      <c r="L153" s="97" t="inlineStr">
        <is>
          <t>Y</t>
        </is>
      </c>
      <c r="M153" s="97" t="n">
        <v>42.5</v>
      </c>
      <c r="N153" s="97" t="inlineStr">
        <is>
          <t>N</t>
        </is>
      </c>
      <c r="O153" s="97" t="n">
        <v>3.53</v>
      </c>
      <c r="P153" s="97" t="inlineStr">
        <is>
          <t>N</t>
        </is>
      </c>
      <c r="Q153" s="97" t="inlineStr">
        <is>
          <t>N/A</t>
        </is>
      </c>
      <c r="R153" s="97" t="inlineStr">
        <is>
          <t>N</t>
        </is>
      </c>
      <c r="S153" s="97" t="n">
        <v>-0.5</v>
      </c>
      <c r="T153" s="97" t="n">
        <v>7.1</v>
      </c>
      <c r="U153" s="97" t="inlineStr">
        <is>
          <t>Y</t>
        </is>
      </c>
      <c r="V153" s="97" t="inlineStr">
        <is>
          <t>N/A</t>
        </is>
      </c>
      <c r="W153" s="97" t="n">
        <v>-18</v>
      </c>
      <c r="X153" s="97" t="n">
        <v>68.39</v>
      </c>
      <c r="Y153" s="97" t="n">
        <v>161.3</v>
      </c>
      <c r="Z153" s="97" t="n">
        <v>5</v>
      </c>
      <c r="AA153" s="92" t="inlineStr">
        <is>
          <t>WATCHLIST</t>
        </is>
      </c>
    </row>
    <row r="154">
      <c r="A154" s="99" t="inlineStr">
        <is>
          <t>JSL</t>
        </is>
      </c>
      <c r="B154" s="99" t="inlineStr">
        <is>
          <t>Jindal Stainless Ltd.</t>
        </is>
      </c>
      <c r="C154" s="99" t="inlineStr">
        <is>
          <t>Metals &amp; Mining</t>
        </is>
      </c>
      <c r="D154" s="99" t="inlineStr">
        <is>
          <t>Large/Midcap</t>
        </is>
      </c>
      <c r="E154" s="99" t="n">
        <v>714.25</v>
      </c>
      <c r="F154" s="99" t="n">
        <v>-2.94</v>
      </c>
      <c r="G154" s="99" t="n">
        <v>313931</v>
      </c>
      <c r="H154" s="99" t="n">
        <v>0.85</v>
      </c>
      <c r="I154" s="99" t="n">
        <v>59654</v>
      </c>
      <c r="J154" s="99" t="inlineStr">
        <is>
          <t>Y</t>
        </is>
      </c>
      <c r="K154" s="99" t="inlineStr">
        <is>
          <t>Y</t>
        </is>
      </c>
      <c r="L154" s="99" t="inlineStr">
        <is>
          <t>N</t>
        </is>
      </c>
      <c r="M154" s="99" t="n">
        <v>55.2</v>
      </c>
      <c r="N154" s="99" t="inlineStr">
        <is>
          <t>Y</t>
        </is>
      </c>
      <c r="O154" s="99" t="n">
        <v>16.71</v>
      </c>
      <c r="P154" s="99" t="inlineStr">
        <is>
          <t>N</t>
        </is>
      </c>
      <c r="Q154" s="99" t="inlineStr">
        <is>
          <t>N/A</t>
        </is>
      </c>
      <c r="R154" s="99" t="inlineStr">
        <is>
          <t>N</t>
        </is>
      </c>
      <c r="S154" s="99" t="n">
        <v>3</v>
      </c>
      <c r="T154" s="99" t="n">
        <v>-8.300000000000001</v>
      </c>
      <c r="U154" s="99" t="inlineStr">
        <is>
          <t>N</t>
        </is>
      </c>
      <c r="V154" s="99" t="n">
        <v>18.7</v>
      </c>
      <c r="W154" s="99" t="n">
        <v>17.4</v>
      </c>
      <c r="X154" s="99" t="n">
        <v>37.52</v>
      </c>
      <c r="Y154" s="99" t="n">
        <v>1.8</v>
      </c>
      <c r="Z154" s="99" t="n">
        <v>5</v>
      </c>
      <c r="AA154" s="94" t="inlineStr">
        <is>
          <t>WATCHLIST</t>
        </is>
      </c>
    </row>
    <row r="155">
      <c r="A155" s="97" t="inlineStr">
        <is>
          <t>KPRMILL</t>
        </is>
      </c>
      <c r="B155" s="97" t="inlineStr">
        <is>
          <t>K.P.R. Mill Ltd.</t>
        </is>
      </c>
      <c r="C155" s="97" t="inlineStr">
        <is>
          <t>Textiles</t>
        </is>
      </c>
      <c r="D155" s="97" t="inlineStr">
        <is>
          <t>Large/Midcap</t>
        </is>
      </c>
      <c r="E155" s="97" t="n">
        <v>1056</v>
      </c>
      <c r="F155" s="97" t="n">
        <v>-0.52</v>
      </c>
      <c r="G155" s="97" t="n">
        <v>225674</v>
      </c>
      <c r="H155" s="97" t="n">
        <v>0.45</v>
      </c>
      <c r="I155" s="97" t="n">
        <v>36170</v>
      </c>
      <c r="J155" s="97" t="inlineStr">
        <is>
          <t>Y</t>
        </is>
      </c>
      <c r="K155" s="97" t="inlineStr">
        <is>
          <t>N</t>
        </is>
      </c>
      <c r="L155" s="97" t="inlineStr">
        <is>
          <t>Y</t>
        </is>
      </c>
      <c r="M155" s="97" t="n">
        <v>31.7</v>
      </c>
      <c r="N155" s="97" t="inlineStr">
        <is>
          <t>N</t>
        </is>
      </c>
      <c r="O155" s="97" t="n">
        <v>40.64</v>
      </c>
      <c r="P155" s="97" t="inlineStr">
        <is>
          <t>N</t>
        </is>
      </c>
      <c r="Q155" s="97" t="inlineStr">
        <is>
          <t>N/A</t>
        </is>
      </c>
      <c r="R155" s="97" t="inlineStr">
        <is>
          <t>N</t>
        </is>
      </c>
      <c r="S155" s="97" t="n">
        <v>-10.9</v>
      </c>
      <c r="T155" s="97" t="n">
        <v>13.4</v>
      </c>
      <c r="U155" s="97" t="inlineStr">
        <is>
          <t>Y</t>
        </is>
      </c>
      <c r="V155" s="97" t="n">
        <v>41.6</v>
      </c>
      <c r="W155" s="97" t="n">
        <v>16.2</v>
      </c>
      <c r="X155" s="97" t="n">
        <v>10.46</v>
      </c>
      <c r="Y155" s="97" t="n">
        <v>8.9</v>
      </c>
      <c r="Z155" s="97" t="n">
        <v>5</v>
      </c>
      <c r="AA155" s="92" t="inlineStr">
        <is>
          <t>WATCHLIST</t>
        </is>
      </c>
    </row>
    <row r="156">
      <c r="A156" s="99" t="inlineStr">
        <is>
          <t>KALYANKJIL</t>
        </is>
      </c>
      <c r="B156" s="99" t="inlineStr">
        <is>
          <t>Kalyan Jewellers India Ltd.</t>
        </is>
      </c>
      <c r="C156" s="99" t="inlineStr">
        <is>
          <t>Consumer Durables</t>
        </is>
      </c>
      <c r="D156" s="99" t="inlineStr">
        <is>
          <t>Large/Midcap</t>
        </is>
      </c>
      <c r="E156" s="99" t="n">
        <v>564.6</v>
      </c>
      <c r="F156" s="99" t="n">
        <v>-1.56</v>
      </c>
      <c r="G156" s="99" t="n">
        <v>16629166</v>
      </c>
      <c r="H156" s="99" t="n">
        <v>0.82</v>
      </c>
      <c r="I156" s="99" t="n">
        <v>58309</v>
      </c>
      <c r="J156" s="99" t="inlineStr">
        <is>
          <t>Y</t>
        </is>
      </c>
      <c r="K156" s="99" t="inlineStr">
        <is>
          <t>Y</t>
        </is>
      </c>
      <c r="L156" s="99" t="inlineStr">
        <is>
          <t>Y</t>
        </is>
      </c>
      <c r="M156" s="99" t="n">
        <v>86.90000000000001</v>
      </c>
      <c r="N156" s="99" t="inlineStr">
        <is>
          <t>N</t>
        </is>
      </c>
      <c r="O156" s="99" t="n">
        <v>32.39</v>
      </c>
      <c r="P156" s="99" t="inlineStr">
        <is>
          <t>N</t>
        </is>
      </c>
      <c r="Q156" s="99" t="inlineStr">
        <is>
          <t>N/A</t>
        </is>
      </c>
      <c r="R156" s="99" t="inlineStr">
        <is>
          <t>N</t>
        </is>
      </c>
      <c r="S156" s="99" t="n">
        <v>49.7</v>
      </c>
      <c r="T156" s="99" t="n">
        <v>37.2</v>
      </c>
      <c r="U156" s="99" t="inlineStr">
        <is>
          <t>Y</t>
        </is>
      </c>
      <c r="V156" s="99" t="n">
        <v>43.9</v>
      </c>
      <c r="W156" s="99" t="n">
        <v>24.3</v>
      </c>
      <c r="X156" s="99" t="n">
        <v>96.97</v>
      </c>
      <c r="Y156" s="99" t="n">
        <v>-1.6</v>
      </c>
      <c r="Z156" s="99" t="n">
        <v>5</v>
      </c>
      <c r="AA156" s="94" t="inlineStr">
        <is>
          <t>WATCHLIST</t>
        </is>
      </c>
    </row>
    <row r="157">
      <c r="A157" s="97" t="inlineStr">
        <is>
          <t>KAJARIACER</t>
        </is>
      </c>
      <c r="B157" s="97" t="inlineStr">
        <is>
          <t>Kajaria Ceramics Ltd.</t>
        </is>
      </c>
      <c r="C157" s="97" t="inlineStr">
        <is>
          <t>Consumer Durables</t>
        </is>
      </c>
      <c r="D157" s="97" t="inlineStr">
        <is>
          <t>BSE Smallcap</t>
        </is>
      </c>
      <c r="E157" s="97" t="n">
        <v>1214.9</v>
      </c>
      <c r="F157" s="97" t="n">
        <v>0.44</v>
      </c>
      <c r="G157" s="97" t="n">
        <v>130038</v>
      </c>
      <c r="H157" s="97" t="n">
        <v>0.53</v>
      </c>
      <c r="I157" s="97" t="n">
        <v>19171</v>
      </c>
      <c r="J157" s="97" t="inlineStr">
        <is>
          <t>Y</t>
        </is>
      </c>
      <c r="K157" s="97" t="inlineStr">
        <is>
          <t>Y</t>
        </is>
      </c>
      <c r="L157" s="97" t="inlineStr">
        <is>
          <t>Y</t>
        </is>
      </c>
      <c r="M157" s="97" t="n">
        <v>49.7</v>
      </c>
      <c r="N157" s="97" t="inlineStr">
        <is>
          <t>N</t>
        </is>
      </c>
      <c r="O157" s="97" t="n">
        <v>28.04</v>
      </c>
      <c r="P157" s="97" t="inlineStr">
        <is>
          <t>N</t>
        </is>
      </c>
      <c r="Q157" s="97" t="inlineStr">
        <is>
          <t>N/A</t>
        </is>
      </c>
      <c r="R157" s="97" t="inlineStr">
        <is>
          <t>N</t>
        </is>
      </c>
      <c r="S157" s="97" t="n">
        <v>1.8</v>
      </c>
      <c r="T157" s="97" t="n">
        <v>-0.7</v>
      </c>
      <c r="U157" s="97" t="inlineStr">
        <is>
          <t>N</t>
        </is>
      </c>
      <c r="V157" s="97" t="n">
        <v>39.8</v>
      </c>
      <c r="W157" s="97" t="n">
        <v>16.5</v>
      </c>
      <c r="X157" s="97" t="n">
        <v>7.3</v>
      </c>
      <c r="Y157" s="97" t="n">
        <v>77.59999999999999</v>
      </c>
      <c r="Z157" s="97" t="n">
        <v>5</v>
      </c>
      <c r="AA157" s="92" t="inlineStr">
        <is>
          <t>WATCHLIST</t>
        </is>
      </c>
    </row>
    <row r="158">
      <c r="A158" s="99" t="inlineStr">
        <is>
          <t>KFINTECH</t>
        </is>
      </c>
      <c r="B158" s="99" t="inlineStr">
        <is>
          <t>Kfin Technologies Ltd.</t>
        </is>
      </c>
      <c r="C158" s="99" t="inlineStr">
        <is>
          <t>Financial Services</t>
        </is>
      </c>
      <c r="D158" s="99" t="inlineStr">
        <is>
          <t>BSE Smallcap</t>
        </is>
      </c>
      <c r="E158" s="99" t="n">
        <v>949.25</v>
      </c>
      <c r="F158" s="99" t="n">
        <v>10.67</v>
      </c>
      <c r="G158" s="99" t="n">
        <v>10620157</v>
      </c>
      <c r="H158" s="99" t="n">
        <v>21.68</v>
      </c>
      <c r="I158" s="99" t="n">
        <v>16407</v>
      </c>
      <c r="J158" s="99" t="inlineStr">
        <is>
          <t>Y</t>
        </is>
      </c>
      <c r="K158" s="99" t="inlineStr">
        <is>
          <t>Y</t>
        </is>
      </c>
      <c r="L158" s="99" t="inlineStr">
        <is>
          <t>N</t>
        </is>
      </c>
      <c r="M158" s="99" t="n">
        <v>65.40000000000001</v>
      </c>
      <c r="N158" s="99" t="inlineStr">
        <is>
          <t>Y</t>
        </is>
      </c>
      <c r="O158" s="99" t="n">
        <v>33.16</v>
      </c>
      <c r="P158" s="99" t="inlineStr">
        <is>
          <t>Y</t>
        </is>
      </c>
      <c r="Q158" s="99" t="inlineStr">
        <is>
          <t>N/A</t>
        </is>
      </c>
      <c r="R158" s="99" t="inlineStr">
        <is>
          <t>N</t>
        </is>
      </c>
      <c r="S158" s="99" t="n">
        <v>10.3</v>
      </c>
      <c r="T158" s="99" t="n">
        <v>7.8</v>
      </c>
      <c r="U158" s="99" t="inlineStr">
        <is>
          <t>Y</t>
        </is>
      </c>
      <c r="V158" s="99" t="n">
        <v>43.5</v>
      </c>
      <c r="W158" s="99" t="inlineStr">
        <is>
          <t>N/A</t>
        </is>
      </c>
      <c r="X158" s="99" t="n">
        <v>3.31</v>
      </c>
      <c r="Y158" s="99" t="n">
        <v>-7.3</v>
      </c>
      <c r="Z158" s="99" t="n">
        <v>5</v>
      </c>
      <c r="AA158" s="94" t="inlineStr">
        <is>
          <t>WATCHLIST</t>
        </is>
      </c>
    </row>
    <row r="159">
      <c r="A159" s="97" t="inlineStr">
        <is>
          <t>LTF</t>
        </is>
      </c>
      <c r="B159" s="97" t="inlineStr">
        <is>
          <t>L&amp;T Finance Ltd.</t>
        </is>
      </c>
      <c r="C159" s="97" t="inlineStr">
        <is>
          <t>Financial Services</t>
        </is>
      </c>
      <c r="D159" s="97" t="inlineStr">
        <is>
          <t>Large/Midcap</t>
        </is>
      </c>
      <c r="E159" s="97" t="n">
        <v>312.25</v>
      </c>
      <c r="F159" s="97" t="n">
        <v>3.26</v>
      </c>
      <c r="G159" s="97" t="n">
        <v>5922451</v>
      </c>
      <c r="H159" s="97" t="n">
        <v>1.63</v>
      </c>
      <c r="I159" s="97" t="n">
        <v>78239</v>
      </c>
      <c r="J159" s="97" t="inlineStr">
        <is>
          <t>Y</t>
        </is>
      </c>
      <c r="K159" s="97" t="inlineStr">
        <is>
          <t>Y</t>
        </is>
      </c>
      <c r="L159" s="97" t="inlineStr">
        <is>
          <t>Y</t>
        </is>
      </c>
      <c r="M159" s="97" t="n">
        <v>33.2</v>
      </c>
      <c r="N159" s="97" t="inlineStr">
        <is>
          <t>N</t>
        </is>
      </c>
      <c r="O159" s="97" t="n">
        <v>10.4</v>
      </c>
      <c r="P159" s="97" t="inlineStr">
        <is>
          <t>N</t>
        </is>
      </c>
      <c r="Q159" s="97" t="inlineStr">
        <is>
          <t>N/A</t>
        </is>
      </c>
      <c r="R159" s="97" t="inlineStr">
        <is>
          <t>N</t>
        </is>
      </c>
      <c r="S159" s="97" t="n">
        <v>4.7</v>
      </c>
      <c r="T159" s="97" t="n">
        <v>13.2</v>
      </c>
      <c r="U159" s="97" t="inlineStr">
        <is>
          <t>Y</t>
        </is>
      </c>
      <c r="V159" s="97" t="n">
        <v>23.9</v>
      </c>
      <c r="W159" s="97" t="inlineStr">
        <is>
          <t>N/A</t>
        </is>
      </c>
      <c r="X159" s="97" t="n">
        <v>393.44</v>
      </c>
      <c r="Y159" s="97" t="n">
        <v>11.9</v>
      </c>
      <c r="Z159" s="97" t="n">
        <v>5</v>
      </c>
      <c r="AA159" s="92" t="inlineStr">
        <is>
          <t>WATCHLIST</t>
        </is>
      </c>
    </row>
    <row r="160">
      <c r="A160" s="99" t="inlineStr">
        <is>
          <t>LICHSGFIN</t>
        </is>
      </c>
      <c r="B160" s="99" t="inlineStr">
        <is>
          <t>LIC Housing Finance Ltd.</t>
        </is>
      </c>
      <c r="C160" s="99" t="inlineStr">
        <is>
          <t>Financial Services</t>
        </is>
      </c>
      <c r="D160" s="99" t="inlineStr">
        <is>
          <t>Large/Midcap</t>
        </is>
      </c>
      <c r="E160" s="99" t="n">
        <v>551.75</v>
      </c>
      <c r="F160" s="99" t="n">
        <v>2.37</v>
      </c>
      <c r="G160" s="99" t="n">
        <v>763125</v>
      </c>
      <c r="H160" s="99" t="n">
        <v>1.31</v>
      </c>
      <c r="I160" s="99" t="n">
        <v>30350</v>
      </c>
      <c r="J160" s="99" t="inlineStr">
        <is>
          <t>Y</t>
        </is>
      </c>
      <c r="K160" s="99" t="inlineStr">
        <is>
          <t>Y</t>
        </is>
      </c>
      <c r="L160" s="99" t="inlineStr">
        <is>
          <t>Y</t>
        </is>
      </c>
      <c r="M160" s="99" t="n">
        <v>54.9</v>
      </c>
      <c r="N160" s="99" t="inlineStr">
        <is>
          <t>Y</t>
        </is>
      </c>
      <c r="O160" s="99" t="n">
        <v>11.28</v>
      </c>
      <c r="P160" s="99" t="inlineStr">
        <is>
          <t>N</t>
        </is>
      </c>
      <c r="Q160" s="99" t="inlineStr">
        <is>
          <t>N/A</t>
        </is>
      </c>
      <c r="R160" s="99" t="inlineStr">
        <is>
          <t>N</t>
        </is>
      </c>
      <c r="S160" s="99" t="n">
        <v>0.6</v>
      </c>
      <c r="T160" s="99" t="n">
        <v>-0.1</v>
      </c>
      <c r="U160" s="99" t="inlineStr">
        <is>
          <t>N</t>
        </is>
      </c>
      <c r="V160" s="99" t="n">
        <v>5.3</v>
      </c>
      <c r="W160" s="99" t="n">
        <v>14.4</v>
      </c>
      <c r="X160" s="99" t="n">
        <v>642.52</v>
      </c>
      <c r="Y160" s="99" t="n">
        <v>6.8</v>
      </c>
      <c r="Z160" s="99" t="n">
        <v>5</v>
      </c>
      <c r="AA160" s="94" t="inlineStr">
        <is>
          <t>WATCHLIST</t>
        </is>
      </c>
    </row>
    <row r="161">
      <c r="A161" s="97" t="inlineStr">
        <is>
          <t>LTM</t>
        </is>
      </c>
      <c r="B161" s="97" t="inlineStr">
        <is>
          <t>LTM Ltd.</t>
        </is>
      </c>
      <c r="C161" s="97" t="inlineStr">
        <is>
          <t>Information Technology</t>
        </is>
      </c>
      <c r="D161" s="97" t="inlineStr">
        <is>
          <t>Large/Midcap</t>
        </is>
      </c>
      <c r="E161" s="97" t="n">
        <v>4190.8</v>
      </c>
      <c r="F161" s="97" t="n">
        <v>2.42</v>
      </c>
      <c r="G161" s="97" t="n">
        <v>468632</v>
      </c>
      <c r="H161" s="97" t="n">
        <v>1.91</v>
      </c>
      <c r="I161" s="97" t="n">
        <v>124241</v>
      </c>
      <c r="J161" s="97" t="inlineStr">
        <is>
          <t>Y</t>
        </is>
      </c>
      <c r="K161" s="97" t="inlineStr">
        <is>
          <t>Y</t>
        </is>
      </c>
      <c r="L161" s="97" t="inlineStr">
        <is>
          <t>N</t>
        </is>
      </c>
      <c r="M161" s="97" t="n">
        <v>69.59999999999999</v>
      </c>
      <c r="N161" s="97" t="inlineStr">
        <is>
          <t>Y</t>
        </is>
      </c>
      <c r="O161" s="97" t="n">
        <v>135.01</v>
      </c>
      <c r="P161" s="97" t="inlineStr">
        <is>
          <t>N</t>
        </is>
      </c>
      <c r="Q161" s="97" t="inlineStr">
        <is>
          <t>N/A</t>
        </is>
      </c>
      <c r="R161" s="97" t="inlineStr">
        <is>
          <t>N</t>
        </is>
      </c>
      <c r="S161" s="97" t="n">
        <v>11.6</v>
      </c>
      <c r="T161" s="97" t="n">
        <v>-0.1</v>
      </c>
      <c r="U161" s="97" t="inlineStr">
        <is>
          <t>N</t>
        </is>
      </c>
      <c r="V161" s="97" t="n">
        <v>23.8</v>
      </c>
      <c r="W161" s="97" t="n">
        <v>22</v>
      </c>
      <c r="X161" s="97" t="n">
        <v>9.869999999999999</v>
      </c>
      <c r="Y161" s="97" t="n">
        <v>5.3</v>
      </c>
      <c r="Z161" s="97" t="n">
        <v>5</v>
      </c>
      <c r="AA161" s="92" t="inlineStr">
        <is>
          <t>WATCHLIST</t>
        </is>
      </c>
    </row>
    <row r="162">
      <c r="A162" s="99" t="inlineStr">
        <is>
          <t>THELEELA</t>
        </is>
      </c>
      <c r="B162" s="99" t="inlineStr">
        <is>
          <t>Leela Palaces Hotels &amp; Resorts Ltd.</t>
        </is>
      </c>
      <c r="C162" s="99" t="inlineStr">
        <is>
          <t>Consumer Services</t>
        </is>
      </c>
      <c r="D162" s="99" t="inlineStr">
        <is>
          <t>BSE Smallcap</t>
        </is>
      </c>
      <c r="E162" s="99" t="n">
        <v>474.7</v>
      </c>
      <c r="F162" s="99" t="n">
        <v>-0.26</v>
      </c>
      <c r="G162" s="99" t="n">
        <v>153341</v>
      </c>
      <c r="H162" s="99" t="n">
        <v>0.6</v>
      </c>
      <c r="I162" s="99" t="n">
        <v>15883</v>
      </c>
      <c r="J162" s="99" t="inlineStr">
        <is>
          <t>Y</t>
        </is>
      </c>
      <c r="K162" s="99" t="inlineStr">
        <is>
          <t>Y</t>
        </is>
      </c>
      <c r="L162" s="99" t="inlineStr">
        <is>
          <t>Y</t>
        </is>
      </c>
      <c r="M162" s="99" t="n">
        <v>34.7</v>
      </c>
      <c r="N162" s="99" t="inlineStr">
        <is>
          <t>N</t>
        </is>
      </c>
      <c r="O162" s="99" t="n">
        <v>16.9</v>
      </c>
      <c r="P162" s="99" t="inlineStr">
        <is>
          <t>N</t>
        </is>
      </c>
      <c r="Q162" s="99" t="inlineStr">
        <is>
          <t>N/A</t>
        </is>
      </c>
      <c r="R162" s="99" t="inlineStr">
        <is>
          <t>N</t>
        </is>
      </c>
      <c r="S162" s="99" t="n">
        <v>-1.7</v>
      </c>
      <c r="T162" s="99" t="n">
        <v>13.5</v>
      </c>
      <c r="U162" s="99" t="inlineStr">
        <is>
          <t>Y</t>
        </is>
      </c>
      <c r="V162" s="99" t="n">
        <v>38.2</v>
      </c>
      <c r="W162" s="99" t="n">
        <v>8</v>
      </c>
      <c r="X162" s="99" t="n">
        <v>28.07</v>
      </c>
      <c r="Y162" s="99" t="n">
        <v>16.2</v>
      </c>
      <c r="Z162" s="99" t="n">
        <v>5</v>
      </c>
      <c r="AA162" s="94" t="inlineStr">
        <is>
          <t>WATCHLIST</t>
        </is>
      </c>
    </row>
    <row r="163">
      <c r="A163" s="97" t="inlineStr">
        <is>
          <t>M&amp;MFIN</t>
        </is>
      </c>
      <c r="B163" s="97" t="inlineStr">
        <is>
          <t>Mahindra &amp; Mahindra Financial Services Ltd.</t>
        </is>
      </c>
      <c r="C163" s="97" t="inlineStr">
        <is>
          <t>Financial Services</t>
        </is>
      </c>
      <c r="D163" s="97" t="inlineStr">
        <is>
          <t>Large/Midcap</t>
        </is>
      </c>
      <c r="E163" s="97" t="n">
        <v>356.5</v>
      </c>
      <c r="F163" s="97" t="n">
        <v>-3.74</v>
      </c>
      <c r="G163" s="97" t="n">
        <v>4252062</v>
      </c>
      <c r="H163" s="97" t="n">
        <v>0.15</v>
      </c>
      <c r="I163" s="97" t="n">
        <v>50440</v>
      </c>
      <c r="J163" s="97" t="inlineStr">
        <is>
          <t>Y</t>
        </is>
      </c>
      <c r="K163" s="97" t="inlineStr">
        <is>
          <t>Y</t>
        </is>
      </c>
      <c r="L163" s="97" t="inlineStr">
        <is>
          <t>Y</t>
        </is>
      </c>
      <c r="M163" s="97" t="n">
        <v>65.59999999999999</v>
      </c>
      <c r="N163" s="97" t="inlineStr">
        <is>
          <t>Y</t>
        </is>
      </c>
      <c r="O163" s="97" t="n">
        <v>14.38</v>
      </c>
      <c r="P163" s="97" t="inlineStr">
        <is>
          <t>N</t>
        </is>
      </c>
      <c r="Q163" s="97" t="inlineStr">
        <is>
          <t>N/A</t>
        </is>
      </c>
      <c r="R163" s="97" t="inlineStr">
        <is>
          <t>N</t>
        </is>
      </c>
      <c r="S163" s="97" t="n">
        <v>11.2</v>
      </c>
      <c r="T163" s="97" t="n">
        <v>14.2</v>
      </c>
      <c r="U163" s="97" t="inlineStr">
        <is>
          <t>Y</t>
        </is>
      </c>
      <c r="V163" s="97" t="n">
        <v>15.5</v>
      </c>
      <c r="W163" s="97" t="inlineStr">
        <is>
          <t>N/A</t>
        </is>
      </c>
      <c r="X163" s="97" t="n">
        <v>429.85</v>
      </c>
      <c r="Y163" s="97" t="n">
        <v>-1.3</v>
      </c>
      <c r="Z163" s="97" t="n">
        <v>5</v>
      </c>
      <c r="AA163" s="92" t="inlineStr">
        <is>
          <t>WATCHLIST</t>
        </is>
      </c>
    </row>
    <row r="164">
      <c r="A164" s="99" t="inlineStr">
        <is>
          <t>MAXHEALTH</t>
        </is>
      </c>
      <c r="B164" s="99" t="inlineStr">
        <is>
          <t>Max Healthcare Institute Ltd.</t>
        </is>
      </c>
      <c r="C164" s="99" t="inlineStr">
        <is>
          <t>Healthcare</t>
        </is>
      </c>
      <c r="D164" s="99" t="inlineStr">
        <is>
          <t>Large/Midcap</t>
        </is>
      </c>
      <c r="E164" s="99" t="n">
        <v>1080.4</v>
      </c>
      <c r="F164" s="99" t="n">
        <v>-0.35</v>
      </c>
      <c r="G164" s="99" t="n">
        <v>983063</v>
      </c>
      <c r="H164" s="99" t="n">
        <v>0.63</v>
      </c>
      <c r="I164" s="99" t="n">
        <v>108478</v>
      </c>
      <c r="J164" s="99" t="inlineStr">
        <is>
          <t>Y</t>
        </is>
      </c>
      <c r="K164" s="99" t="inlineStr">
        <is>
          <t>Y</t>
        </is>
      </c>
      <c r="L164" s="99" t="inlineStr">
        <is>
          <t>Y</t>
        </is>
      </c>
      <c r="M164" s="99" t="n">
        <v>32.6</v>
      </c>
      <c r="N164" s="99" t="inlineStr">
        <is>
          <t>N</t>
        </is>
      </c>
      <c r="O164" s="99" t="n">
        <v>26.31</v>
      </c>
      <c r="P164" s="99" t="inlineStr">
        <is>
          <t>N</t>
        </is>
      </c>
      <c r="Q164" s="99" t="inlineStr">
        <is>
          <t>N/A</t>
        </is>
      </c>
      <c r="R164" s="99" t="inlineStr">
        <is>
          <t>N</t>
        </is>
      </c>
      <c r="S164" s="99" t="n">
        <v>-3.4</v>
      </c>
      <c r="T164" s="99" t="n">
        <v>7.9</v>
      </c>
      <c r="U164" s="99" t="inlineStr">
        <is>
          <t>Y</t>
        </is>
      </c>
      <c r="V164" s="99" t="n">
        <v>75.3</v>
      </c>
      <c r="W164" s="99" t="n">
        <v>14.3</v>
      </c>
      <c r="X164" s="99" t="n">
        <v>32.37</v>
      </c>
      <c r="Y164" s="99" t="n">
        <v>13.7</v>
      </c>
      <c r="Z164" s="99" t="n">
        <v>5</v>
      </c>
      <c r="AA164" s="94" t="inlineStr">
        <is>
          <t>WATCHLIST</t>
        </is>
      </c>
    </row>
    <row r="165">
      <c r="A165" s="97" t="inlineStr">
        <is>
          <t>MINDACORP</t>
        </is>
      </c>
      <c r="B165" s="97" t="inlineStr">
        <is>
          <t>Minda Corporation Ltd.</t>
        </is>
      </c>
      <c r="C165" s="97" t="inlineStr">
        <is>
          <t>Automobile and Auto Components</t>
        </is>
      </c>
      <c r="D165" s="97" t="inlineStr">
        <is>
          <t>BSE Smallcap</t>
        </is>
      </c>
      <c r="E165" s="97" t="n">
        <v>676.45</v>
      </c>
      <c r="F165" s="97" t="n">
        <v>2.84</v>
      </c>
      <c r="G165" s="97" t="n">
        <v>192716</v>
      </c>
      <c r="H165" s="97" t="n">
        <v>1.29</v>
      </c>
      <c r="I165" s="97" t="n">
        <v>16300</v>
      </c>
      <c r="J165" s="97" t="inlineStr">
        <is>
          <t>Y</t>
        </is>
      </c>
      <c r="K165" s="97" t="inlineStr">
        <is>
          <t>Y</t>
        </is>
      </c>
      <c r="L165" s="97" t="inlineStr">
        <is>
          <t>Y</t>
        </is>
      </c>
      <c r="M165" s="97" t="n">
        <v>42.6</v>
      </c>
      <c r="N165" s="97" t="inlineStr">
        <is>
          <t>N</t>
        </is>
      </c>
      <c r="O165" s="97" t="n">
        <v>20.44</v>
      </c>
      <c r="P165" s="97" t="inlineStr">
        <is>
          <t>N</t>
        </is>
      </c>
      <c r="Q165" s="97" t="inlineStr">
        <is>
          <t>N/A</t>
        </is>
      </c>
      <c r="R165" s="97" t="inlineStr">
        <is>
          <t>N</t>
        </is>
      </c>
      <c r="S165" s="97" t="n">
        <v>1.1</v>
      </c>
      <c r="T165" s="97" t="n">
        <v>30.5</v>
      </c>
      <c r="U165" s="97" t="inlineStr">
        <is>
          <t>Y</t>
        </is>
      </c>
      <c r="V165" s="97" t="n">
        <v>45.9</v>
      </c>
      <c r="W165" s="97" t="n">
        <v>14.7</v>
      </c>
      <c r="X165" s="97" t="n">
        <v>55.35</v>
      </c>
      <c r="Y165" s="97" t="n">
        <v>45.4</v>
      </c>
      <c r="Z165" s="97" t="n">
        <v>5</v>
      </c>
      <c r="AA165" s="92" t="inlineStr">
        <is>
          <t>WATCHLIST</t>
        </is>
      </c>
    </row>
    <row r="166">
      <c r="A166" s="99" t="inlineStr">
        <is>
          <t>MCX</t>
        </is>
      </c>
      <c r="B166" s="99" t="inlineStr">
        <is>
          <t>Multi Commodity Exchange of India Ltd.</t>
        </is>
      </c>
      <c r="C166" s="99" t="inlineStr">
        <is>
          <t>Financial Services</t>
        </is>
      </c>
      <c r="D166" s="99" t="inlineStr">
        <is>
          <t>Large/Midcap</t>
        </is>
      </c>
      <c r="E166" s="99" t="n">
        <v>2755.1</v>
      </c>
      <c r="F166" s="99" t="n">
        <v>0.92</v>
      </c>
      <c r="G166" s="99" t="n">
        <v>932313</v>
      </c>
      <c r="H166" s="99" t="n">
        <v>0.77</v>
      </c>
      <c r="I166" s="99" t="n">
        <v>70121</v>
      </c>
      <c r="J166" s="99" t="inlineStr">
        <is>
          <t>Y</t>
        </is>
      </c>
      <c r="K166" s="99" t="inlineStr">
        <is>
          <t>N</t>
        </is>
      </c>
      <c r="L166" s="99" t="inlineStr">
        <is>
          <t>Y</t>
        </is>
      </c>
      <c r="M166" s="99" t="n">
        <v>59.1</v>
      </c>
      <c r="N166" s="99" t="inlineStr">
        <is>
          <t>Y</t>
        </is>
      </c>
      <c r="O166" s="99" t="n">
        <v>84.09999999999999</v>
      </c>
      <c r="P166" s="99" t="inlineStr">
        <is>
          <t>N</t>
        </is>
      </c>
      <c r="Q166" s="99" t="inlineStr">
        <is>
          <t>N/A</t>
        </is>
      </c>
      <c r="R166" s="99" t="inlineStr">
        <is>
          <t>N</t>
        </is>
      </c>
      <c r="S166" s="99" t="n">
        <v>-2.5</v>
      </c>
      <c r="T166" s="99" t="n">
        <v>-6.9</v>
      </c>
      <c r="U166" s="99" t="inlineStr">
        <is>
          <t>N</t>
        </is>
      </c>
      <c r="V166" s="99" t="n">
        <v>52.4</v>
      </c>
      <c r="W166" s="99" t="n">
        <v>37.9</v>
      </c>
      <c r="X166" s="99" t="n">
        <v>0.11</v>
      </c>
      <c r="Y166" s="99" t="n">
        <v>32.1</v>
      </c>
      <c r="Z166" s="99" t="n">
        <v>5</v>
      </c>
      <c r="AA166" s="94" t="inlineStr">
        <is>
          <t>WATCHLIST</t>
        </is>
      </c>
    </row>
    <row r="167">
      <c r="A167" s="97" t="inlineStr">
        <is>
          <t>MPHASIS</t>
        </is>
      </c>
      <c r="B167" s="97" t="inlineStr">
        <is>
          <t>MphasiS Ltd.</t>
        </is>
      </c>
      <c r="C167" s="97" t="inlineStr">
        <is>
          <t>Information Technology</t>
        </is>
      </c>
      <c r="D167" s="97" t="inlineStr">
        <is>
          <t>Large/Midcap</t>
        </is>
      </c>
      <c r="E167" s="97" t="n">
        <v>2332.7</v>
      </c>
      <c r="F167" s="97" t="n">
        <v>1.95</v>
      </c>
      <c r="G167" s="97" t="n">
        <v>726071</v>
      </c>
      <c r="H167" s="97" t="n">
        <v>0.7</v>
      </c>
      <c r="I167" s="97" t="n">
        <v>44512</v>
      </c>
      <c r="J167" s="97" t="inlineStr">
        <is>
          <t>Y</t>
        </is>
      </c>
      <c r="K167" s="97" t="inlineStr">
        <is>
          <t>Y</t>
        </is>
      </c>
      <c r="L167" s="97" t="inlineStr">
        <is>
          <t>N</t>
        </is>
      </c>
      <c r="M167" s="97" t="n">
        <v>51.6</v>
      </c>
      <c r="N167" s="97" t="inlineStr">
        <is>
          <t>Y</t>
        </is>
      </c>
      <c r="O167" s="97" t="n">
        <v>82.95</v>
      </c>
      <c r="P167" s="97" t="inlineStr">
        <is>
          <t>N</t>
        </is>
      </c>
      <c r="Q167" s="97" t="inlineStr">
        <is>
          <t>N/A</t>
        </is>
      </c>
      <c r="R167" s="97" t="inlineStr">
        <is>
          <t>N</t>
        </is>
      </c>
      <c r="S167" s="97" t="n">
        <v>6.1</v>
      </c>
      <c r="T167" s="97" t="n">
        <v>5.6</v>
      </c>
      <c r="U167" s="97" t="inlineStr">
        <is>
          <t>Y</t>
        </is>
      </c>
      <c r="V167" s="97" t="n">
        <v>22.9</v>
      </c>
      <c r="W167" s="97" t="n">
        <v>17.7</v>
      </c>
      <c r="X167" s="97" t="n">
        <v>24.68</v>
      </c>
      <c r="Y167" s="97" t="n">
        <v>-4</v>
      </c>
      <c r="Z167" s="97" t="n">
        <v>5</v>
      </c>
      <c r="AA167" s="92" t="inlineStr">
        <is>
          <t>WATCHLIST</t>
        </is>
      </c>
    </row>
    <row r="168">
      <c r="A168" s="99" t="inlineStr">
        <is>
          <t>NHPC</t>
        </is>
      </c>
      <c r="B168" s="99" t="inlineStr">
        <is>
          <t>NHPC Ltd.</t>
        </is>
      </c>
      <c r="C168" s="99" t="inlineStr">
        <is>
          <t>Power</t>
        </is>
      </c>
      <c r="D168" s="99" t="inlineStr">
        <is>
          <t>Large/Midcap</t>
        </is>
      </c>
      <c r="E168" s="99" t="n">
        <v>79.72</v>
      </c>
      <c r="F168" s="99" t="n">
        <v>0.42</v>
      </c>
      <c r="G168" s="99" t="n">
        <v>6965651</v>
      </c>
      <c r="H168" s="99" t="n">
        <v>0.35</v>
      </c>
      <c r="I168" s="99" t="n">
        <v>80079</v>
      </c>
      <c r="J168" s="99" t="inlineStr">
        <is>
          <t>Y</t>
        </is>
      </c>
      <c r="K168" s="99" t="inlineStr">
        <is>
          <t>Y</t>
        </is>
      </c>
      <c r="L168" s="99" t="inlineStr">
        <is>
          <t>Y</t>
        </is>
      </c>
      <c r="M168" s="99" t="n">
        <v>55.9</v>
      </c>
      <c r="N168" s="99" t="inlineStr">
        <is>
          <t>Y</t>
        </is>
      </c>
      <c r="O168" s="99" t="n">
        <v>1.56</v>
      </c>
      <c r="P168" s="99" t="inlineStr">
        <is>
          <t>N</t>
        </is>
      </c>
      <c r="Q168" s="99" t="inlineStr">
        <is>
          <t>N/A</t>
        </is>
      </c>
      <c r="R168" s="99" t="inlineStr">
        <is>
          <t>N</t>
        </is>
      </c>
      <c r="S168" s="99" t="n">
        <v>0.7</v>
      </c>
      <c r="T168" s="99" t="n">
        <v>-3.8</v>
      </c>
      <c r="U168" s="99" t="inlineStr">
        <is>
          <t>N</t>
        </is>
      </c>
      <c r="V168" s="99" t="n">
        <v>28.7</v>
      </c>
      <c r="W168" s="99" t="n">
        <v>9</v>
      </c>
      <c r="X168" s="99" t="n">
        <v>113.11</v>
      </c>
      <c r="Y168" s="99" t="n">
        <v>566.4</v>
      </c>
      <c r="Z168" s="99" t="n">
        <v>5</v>
      </c>
      <c r="AA168" s="94" t="inlineStr">
        <is>
          <t>WATCHLIST</t>
        </is>
      </c>
    </row>
    <row r="169">
      <c r="A169" s="97" t="inlineStr">
        <is>
          <t>NETWEB</t>
        </is>
      </c>
      <c r="B169" s="97" t="inlineStr">
        <is>
          <t>Netweb Technologies India Ltd.</t>
        </is>
      </c>
      <c r="C169" s="97" t="inlineStr">
        <is>
          <t>Information Technology</t>
        </is>
      </c>
      <c r="D169" s="97" t="inlineStr">
        <is>
          <t>BSE Smallcap</t>
        </is>
      </c>
      <c r="E169" s="97" t="n">
        <v>4362.2</v>
      </c>
      <c r="F169" s="97" t="n">
        <v>4.96</v>
      </c>
      <c r="G169" s="97" t="n">
        <v>992864</v>
      </c>
      <c r="H169" s="97" t="n">
        <v>1.82</v>
      </c>
      <c r="I169" s="97" t="n">
        <v>24839</v>
      </c>
      <c r="J169" s="97" t="inlineStr">
        <is>
          <t>Y</t>
        </is>
      </c>
      <c r="K169" s="97" t="inlineStr">
        <is>
          <t>N</t>
        </is>
      </c>
      <c r="L169" s="97" t="inlineStr">
        <is>
          <t>Y</t>
        </is>
      </c>
      <c r="M169" s="97" t="n">
        <v>56.8</v>
      </c>
      <c r="N169" s="97" t="inlineStr">
        <is>
          <t>Y</t>
        </is>
      </c>
      <c r="O169" s="97" t="n">
        <v>146.94</v>
      </c>
      <c r="P169" s="97" t="inlineStr">
        <is>
          <t>N</t>
        </is>
      </c>
      <c r="Q169" s="97" t="inlineStr">
        <is>
          <t>N/A</t>
        </is>
      </c>
      <c r="R169" s="97" t="inlineStr">
        <is>
          <t>N</t>
        </is>
      </c>
      <c r="S169" s="97" t="n">
        <v>-11.5</v>
      </c>
      <c r="T169" s="97" t="n">
        <v>7.7</v>
      </c>
      <c r="U169" s="97" t="inlineStr">
        <is>
          <t>Y</t>
        </is>
      </c>
      <c r="V169" s="97" t="n">
        <v>114.9</v>
      </c>
      <c r="W169" s="97" t="n">
        <v>32.8</v>
      </c>
      <c r="X169" s="97" t="n">
        <v>39.02</v>
      </c>
      <c r="Y169" s="97" t="n">
        <v>-3.7</v>
      </c>
      <c r="Z169" s="97" t="n">
        <v>5</v>
      </c>
      <c r="AA169" s="92" t="inlineStr">
        <is>
          <t>WATCHLIST</t>
        </is>
      </c>
    </row>
    <row r="170">
      <c r="A170" s="99" t="inlineStr">
        <is>
          <t>NUVOCO</t>
        </is>
      </c>
      <c r="B170" s="99" t="inlineStr">
        <is>
          <t>Nuvoco Vistas Corporation Ltd.</t>
        </is>
      </c>
      <c r="C170" s="99" t="inlineStr">
        <is>
          <t>Construction Materials</t>
        </is>
      </c>
      <c r="D170" s="99" t="inlineStr">
        <is>
          <t>BSE Smallcap</t>
        </is>
      </c>
      <c r="E170" s="99" t="n">
        <v>356.05</v>
      </c>
      <c r="F170" s="99" t="n">
        <v>-1.6</v>
      </c>
      <c r="G170" s="99" t="n">
        <v>495896</v>
      </c>
      <c r="H170" s="99" t="n">
        <v>0.25</v>
      </c>
      <c r="I170" s="99" t="n">
        <v>12542</v>
      </c>
      <c r="J170" s="99" t="inlineStr">
        <is>
          <t>Y</t>
        </is>
      </c>
      <c r="K170" s="99" t="inlineStr">
        <is>
          <t>Y</t>
        </is>
      </c>
      <c r="L170" s="99" t="inlineStr">
        <is>
          <t>Y</t>
        </is>
      </c>
      <c r="M170" s="99" t="n">
        <v>63.6</v>
      </c>
      <c r="N170" s="99" t="inlineStr">
        <is>
          <t>Y</t>
        </is>
      </c>
      <c r="O170" s="99" t="n">
        <v>19.74</v>
      </c>
      <c r="P170" s="99" t="inlineStr">
        <is>
          <t>N</t>
        </is>
      </c>
      <c r="Q170" s="99" t="inlineStr">
        <is>
          <t>N/A</t>
        </is>
      </c>
      <c r="R170" s="99" t="inlineStr">
        <is>
          <t>N</t>
        </is>
      </c>
      <c r="S170" s="99" t="n">
        <v>16.5</v>
      </c>
      <c r="T170" s="99" t="n">
        <v>24.5</v>
      </c>
      <c r="U170" s="99" t="inlineStr">
        <is>
          <t>Y</t>
        </is>
      </c>
      <c r="V170" s="99" t="n">
        <v>32.5</v>
      </c>
      <c r="W170" s="99" t="inlineStr">
        <is>
          <t>N/A</t>
        </is>
      </c>
      <c r="X170" s="99" t="n">
        <v>48.06</v>
      </c>
      <c r="Y170" s="99" t="n"/>
      <c r="Z170" s="99" t="n">
        <v>5</v>
      </c>
      <c r="AA170" s="94" t="inlineStr">
        <is>
          <t>WATCHLIST</t>
        </is>
      </c>
    </row>
    <row r="171">
      <c r="A171" s="97" t="inlineStr">
        <is>
          <t>OIL</t>
        </is>
      </c>
      <c r="B171" s="97" t="inlineStr">
        <is>
          <t>Oil India Ltd.</t>
        </is>
      </c>
      <c r="C171" s="97" t="inlineStr">
        <is>
          <t>Oil Gas &amp; Consumable Fuels</t>
        </is>
      </c>
      <c r="D171" s="97" t="inlineStr">
        <is>
          <t>Large/Midcap</t>
        </is>
      </c>
      <c r="E171" s="97" t="n">
        <v>449.75</v>
      </c>
      <c r="F171" s="97" t="n">
        <v>-1.97</v>
      </c>
      <c r="G171" s="97" t="n">
        <v>2893431</v>
      </c>
      <c r="H171" s="97" t="n">
        <v>0.99</v>
      </c>
      <c r="I171" s="97" t="n">
        <v>71896</v>
      </c>
      <c r="J171" s="97" t="inlineStr">
        <is>
          <t>Y</t>
        </is>
      </c>
      <c r="K171" s="97" t="inlineStr">
        <is>
          <t>Y</t>
        </is>
      </c>
      <c r="L171" s="97" t="inlineStr">
        <is>
          <t>Y</t>
        </is>
      </c>
      <c r="M171" s="97" t="n">
        <v>61.9</v>
      </c>
      <c r="N171" s="97" t="inlineStr">
        <is>
          <t>Y</t>
        </is>
      </c>
      <c r="O171" s="97" t="n">
        <v>10.69</v>
      </c>
      <c r="P171" s="97" t="inlineStr">
        <is>
          <t>N</t>
        </is>
      </c>
      <c r="Q171" s="97" t="inlineStr">
        <is>
          <t>N/A</t>
        </is>
      </c>
      <c r="R171" s="97" t="inlineStr">
        <is>
          <t>N</t>
        </is>
      </c>
      <c r="S171" s="97" t="n">
        <v>10.8</v>
      </c>
      <c r="T171" s="97" t="n">
        <v>-8.300000000000001</v>
      </c>
      <c r="U171" s="97" t="inlineStr">
        <is>
          <t>N</t>
        </is>
      </c>
      <c r="V171" s="97" t="n">
        <v>10.9</v>
      </c>
      <c r="W171" s="97" t="n">
        <v>12.7</v>
      </c>
      <c r="X171" s="97" t="n">
        <v>58.74</v>
      </c>
      <c r="Y171" s="97" t="n">
        <v>75.7</v>
      </c>
      <c r="Z171" s="97" t="n">
        <v>5</v>
      </c>
      <c r="AA171" s="92" t="inlineStr">
        <is>
          <t>WATCHLIST</t>
        </is>
      </c>
    </row>
    <row r="172">
      <c r="A172" s="99" t="inlineStr">
        <is>
          <t>ONESOURCE</t>
        </is>
      </c>
      <c r="B172" s="99" t="inlineStr">
        <is>
          <t>Onesource Specialty Pharma Ltd.</t>
        </is>
      </c>
      <c r="C172" s="99" t="inlineStr">
        <is>
          <t>Healthcare</t>
        </is>
      </c>
      <c r="D172" s="99" t="inlineStr">
        <is>
          <t>BSE Smallcap</t>
        </is>
      </c>
      <c r="E172" s="99" t="n">
        <v>1688.9</v>
      </c>
      <c r="F172" s="99" t="n">
        <v>2.12</v>
      </c>
      <c r="G172" s="99" t="n">
        <v>717187</v>
      </c>
      <c r="H172" s="99" t="n">
        <v>3.67</v>
      </c>
      <c r="I172" s="99" t="n">
        <v>19367</v>
      </c>
      <c r="J172" s="99" t="inlineStr">
        <is>
          <t>Y</t>
        </is>
      </c>
      <c r="K172" s="99" t="inlineStr">
        <is>
          <t>N</t>
        </is>
      </c>
      <c r="L172" s="99" t="inlineStr">
        <is>
          <t>Y</t>
        </is>
      </c>
      <c r="M172" s="99" t="n">
        <v>61.2</v>
      </c>
      <c r="N172" s="99" t="inlineStr">
        <is>
          <t>Y</t>
        </is>
      </c>
      <c r="O172" s="99" t="n">
        <v>73.16</v>
      </c>
      <c r="P172" s="99" t="inlineStr">
        <is>
          <t>Y</t>
        </is>
      </c>
      <c r="Q172" s="99" t="inlineStr">
        <is>
          <t>N/A</t>
        </is>
      </c>
      <c r="R172" s="99" t="inlineStr">
        <is>
          <t>N</t>
        </is>
      </c>
      <c r="S172" s="99" t="n">
        <v>8.800000000000001</v>
      </c>
      <c r="T172" s="99" t="n">
        <v>-2.4</v>
      </c>
      <c r="U172" s="99" t="inlineStr">
        <is>
          <t>N</t>
        </is>
      </c>
      <c r="V172" s="99" t="inlineStr">
        <is>
          <t>N/A</t>
        </is>
      </c>
      <c r="W172" s="99" t="inlineStr">
        <is>
          <t>N/A</t>
        </is>
      </c>
      <c r="X172" s="99" t="n">
        <v>25.79</v>
      </c>
      <c r="Y172" s="99" t="n">
        <v>443.8</v>
      </c>
      <c r="Z172" s="99" t="n">
        <v>5</v>
      </c>
      <c r="AA172" s="94" t="inlineStr">
        <is>
          <t>WATCHLIST</t>
        </is>
      </c>
    </row>
    <row r="173">
      <c r="A173" s="97" t="inlineStr">
        <is>
          <t>OFSS</t>
        </is>
      </c>
      <c r="B173" s="97" t="inlineStr">
        <is>
          <t>Oracle Financial Services Software Ltd.</t>
        </is>
      </c>
      <c r="C173" s="97" t="inlineStr">
        <is>
          <t>Information Technology</t>
        </is>
      </c>
      <c r="D173" s="97" t="inlineStr">
        <is>
          <t>Large/Midcap</t>
        </is>
      </c>
      <c r="E173" s="97" t="n">
        <v>10652</v>
      </c>
      <c r="F173" s="97" t="n">
        <v>-1.76</v>
      </c>
      <c r="G173" s="97" t="n">
        <v>452845</v>
      </c>
      <c r="H173" s="97" t="n">
        <v>0.34</v>
      </c>
      <c r="I173" s="97" t="n">
        <v>96558</v>
      </c>
      <c r="J173" s="97" t="inlineStr">
        <is>
          <t>Y</t>
        </is>
      </c>
      <c r="K173" s="97" t="inlineStr">
        <is>
          <t>Y</t>
        </is>
      </c>
      <c r="L173" s="97" t="inlineStr">
        <is>
          <t>Y</t>
        </is>
      </c>
      <c r="M173" s="97" t="n">
        <v>40.8</v>
      </c>
      <c r="N173" s="97" t="inlineStr">
        <is>
          <t>N</t>
        </is>
      </c>
      <c r="O173" s="97" t="n">
        <v>460.14</v>
      </c>
      <c r="P173" s="97" t="inlineStr">
        <is>
          <t>N</t>
        </is>
      </c>
      <c r="Q173" s="97" t="inlineStr">
        <is>
          <t>N/A</t>
        </is>
      </c>
      <c r="R173" s="97" t="inlineStr">
        <is>
          <t>N</t>
        </is>
      </c>
      <c r="S173" s="97" t="n">
        <v>-2.7</v>
      </c>
      <c r="T173" s="97" t="n">
        <v>13.5</v>
      </c>
      <c r="U173" s="97" t="inlineStr">
        <is>
          <t>Y</t>
        </is>
      </c>
      <c r="V173" s="97" t="n">
        <v>28.4</v>
      </c>
      <c r="W173" s="97" t="inlineStr">
        <is>
          <t>N/A</t>
        </is>
      </c>
      <c r="X173" s="97" t="n">
        <v>0.41</v>
      </c>
      <c r="Y173" s="97" t="n">
        <v>68.2</v>
      </c>
      <c r="Z173" s="97" t="n">
        <v>5</v>
      </c>
      <c r="AA173" s="92" t="inlineStr">
        <is>
          <t>WATCHLIST</t>
        </is>
      </c>
    </row>
    <row r="174">
      <c r="A174" s="99" t="inlineStr">
        <is>
          <t>PNBHOUSING</t>
        </is>
      </c>
      <c r="B174" s="99" t="inlineStr">
        <is>
          <t>PNB Housing Finance Ltd.</t>
        </is>
      </c>
      <c r="C174" s="99" t="inlineStr">
        <is>
          <t>Financial Services</t>
        </is>
      </c>
      <c r="D174" s="99" t="inlineStr">
        <is>
          <t>BSE Smallcap</t>
        </is>
      </c>
      <c r="E174" s="99" t="n">
        <v>1058</v>
      </c>
      <c r="F174" s="99" t="n">
        <v>-0.82</v>
      </c>
      <c r="G174" s="99" t="n">
        <v>429139</v>
      </c>
      <c r="H174" s="99" t="n">
        <v>0.82</v>
      </c>
      <c r="I174" s="99" t="n">
        <v>28105</v>
      </c>
      <c r="J174" s="99" t="inlineStr">
        <is>
          <t>Y</t>
        </is>
      </c>
      <c r="K174" s="99" t="inlineStr">
        <is>
          <t>Y</t>
        </is>
      </c>
      <c r="L174" s="99" t="inlineStr">
        <is>
          <t>Y</t>
        </is>
      </c>
      <c r="M174" s="99" t="n">
        <v>41.7</v>
      </c>
      <c r="N174" s="99" t="inlineStr">
        <is>
          <t>N</t>
        </is>
      </c>
      <c r="O174" s="99" t="n">
        <v>31.84</v>
      </c>
      <c r="P174" s="99" t="inlineStr">
        <is>
          <t>N</t>
        </is>
      </c>
      <c r="Q174" s="99" t="inlineStr">
        <is>
          <t>N/A</t>
        </is>
      </c>
      <c r="R174" s="99" t="inlineStr">
        <is>
          <t>N</t>
        </is>
      </c>
      <c r="S174" s="99" t="n">
        <v>1.5</v>
      </c>
      <c r="T174" s="99" t="n">
        <v>0.9</v>
      </c>
      <c r="U174" s="99" t="inlineStr">
        <is>
          <t>Y</t>
        </is>
      </c>
      <c r="V174" s="99" t="n">
        <v>12.3</v>
      </c>
      <c r="W174" s="99" t="n">
        <v>12.7</v>
      </c>
      <c r="X174" s="99" t="n">
        <v>277.42</v>
      </c>
      <c r="Y174" s="99" t="n">
        <v>26</v>
      </c>
      <c r="Z174" s="99" t="n">
        <v>5</v>
      </c>
      <c r="AA174" s="94" t="inlineStr">
        <is>
          <t>WATCHLIST</t>
        </is>
      </c>
    </row>
    <row r="175">
      <c r="A175" s="97" t="inlineStr">
        <is>
          <t>PVRINOX</t>
        </is>
      </c>
      <c r="B175" s="97" t="inlineStr">
        <is>
          <t>PVR INOX Ltd.</t>
        </is>
      </c>
      <c r="C175" s="97" t="inlineStr">
        <is>
          <t>Media Entertainment &amp; Publication</t>
        </is>
      </c>
      <c r="D175" s="97" t="inlineStr">
        <is>
          <t>BSE Smallcap</t>
        </is>
      </c>
      <c r="E175" s="97" t="n">
        <v>1123.2</v>
      </c>
      <c r="F175" s="97" t="n">
        <v>5.57</v>
      </c>
      <c r="G175" s="97" t="n">
        <v>1608571</v>
      </c>
      <c r="H175" s="97" t="n">
        <v>1.22</v>
      </c>
      <c r="I175" s="97" t="n">
        <v>11030</v>
      </c>
      <c r="J175" s="97" t="inlineStr">
        <is>
          <t>Y</t>
        </is>
      </c>
      <c r="K175" s="97" t="inlineStr">
        <is>
          <t>Y</t>
        </is>
      </c>
      <c r="L175" s="97" t="inlineStr">
        <is>
          <t>Y</t>
        </is>
      </c>
      <c r="M175" s="97" t="n">
        <v>72.59999999999999</v>
      </c>
      <c r="N175" s="97" t="inlineStr">
        <is>
          <t>N</t>
        </is>
      </c>
      <c r="O175" s="97" t="n">
        <v>34</v>
      </c>
      <c r="P175" s="97" t="inlineStr">
        <is>
          <t>Y</t>
        </is>
      </c>
      <c r="Q175" s="97" t="inlineStr">
        <is>
          <t>N/A</t>
        </is>
      </c>
      <c r="R175" s="97" t="inlineStr">
        <is>
          <t>N</t>
        </is>
      </c>
      <c r="S175" s="97" t="n">
        <v>14.1</v>
      </c>
      <c r="T175" s="97" t="n">
        <v>5.5</v>
      </c>
      <c r="U175" s="97" t="inlineStr">
        <is>
          <t>Y</t>
        </is>
      </c>
      <c r="V175" s="97" t="n">
        <v>37.3</v>
      </c>
      <c r="W175" s="97" t="inlineStr">
        <is>
          <t>N/A</t>
        </is>
      </c>
      <c r="X175" s="97" t="n">
        <v>91.87</v>
      </c>
      <c r="Y175" s="97" t="n">
        <v>-69.7</v>
      </c>
      <c r="Z175" s="97" t="n">
        <v>5</v>
      </c>
      <c r="AA175" s="92" t="inlineStr">
        <is>
          <t>WATCHLIST</t>
        </is>
      </c>
    </row>
    <row r="176">
      <c r="A176" s="99" t="inlineStr">
        <is>
          <t>PHOENIXLTD</t>
        </is>
      </c>
      <c r="B176" s="99" t="inlineStr">
        <is>
          <t>Phoenix Mills Ltd.</t>
        </is>
      </c>
      <c r="C176" s="99" t="inlineStr">
        <is>
          <t>Realty</t>
        </is>
      </c>
      <c r="D176" s="99" t="inlineStr">
        <is>
          <t>Large/Midcap</t>
        </is>
      </c>
      <c r="E176" s="99" t="n">
        <v>2010.7</v>
      </c>
      <c r="F176" s="99" t="n">
        <v>-1.22</v>
      </c>
      <c r="G176" s="99" t="n">
        <v>1100435</v>
      </c>
      <c r="H176" s="99" t="n">
        <v>1.96</v>
      </c>
      <c r="I176" s="99" t="n">
        <v>72841</v>
      </c>
      <c r="J176" s="99" t="inlineStr">
        <is>
          <t>Y</t>
        </is>
      </c>
      <c r="K176" s="99" t="inlineStr">
        <is>
          <t>Y</t>
        </is>
      </c>
      <c r="L176" s="99" t="inlineStr">
        <is>
          <t>Y</t>
        </is>
      </c>
      <c r="M176" s="99" t="n">
        <v>37.9</v>
      </c>
      <c r="N176" s="99" t="inlineStr">
        <is>
          <t>N</t>
        </is>
      </c>
      <c r="O176" s="99" t="n">
        <v>57.02</v>
      </c>
      <c r="P176" s="99" t="inlineStr">
        <is>
          <t>N</t>
        </is>
      </c>
      <c r="Q176" s="99" t="inlineStr">
        <is>
          <t>N/A</t>
        </is>
      </c>
      <c r="R176" s="99" t="inlineStr">
        <is>
          <t>N</t>
        </is>
      </c>
      <c r="S176" s="99" t="n">
        <v>5.8</v>
      </c>
      <c r="T176" s="99" t="n">
        <v>14.5</v>
      </c>
      <c r="U176" s="99" t="inlineStr">
        <is>
          <t>Y</t>
        </is>
      </c>
      <c r="V176" s="99" t="n">
        <v>58.2</v>
      </c>
      <c r="W176" s="99" t="n">
        <v>11.1</v>
      </c>
      <c r="X176" s="99" t="n">
        <v>37.21</v>
      </c>
      <c r="Y176" s="99" t="n">
        <v>46.3</v>
      </c>
      <c r="Z176" s="99" t="n">
        <v>5</v>
      </c>
      <c r="AA176" s="94" t="inlineStr">
        <is>
          <t>WATCHLIST</t>
        </is>
      </c>
    </row>
    <row r="177">
      <c r="A177" s="97" t="inlineStr">
        <is>
          <t>POLYCAB</t>
        </is>
      </c>
      <c r="B177" s="97" t="inlineStr">
        <is>
          <t>Polycab India Ltd.</t>
        </is>
      </c>
      <c r="C177" s="97" t="inlineStr">
        <is>
          <t>Capital Goods</t>
        </is>
      </c>
      <c r="D177" s="97" t="inlineStr">
        <is>
          <t>Large/Midcap</t>
        </is>
      </c>
      <c r="E177" s="97" t="n">
        <v>8907.5</v>
      </c>
      <c r="F177" s="97" t="n">
        <v>-0.31</v>
      </c>
      <c r="G177" s="97" t="n">
        <v>189569</v>
      </c>
      <c r="H177" s="97" t="n">
        <v>0.48</v>
      </c>
      <c r="I177" s="97" t="n">
        <v>135722</v>
      </c>
      <c r="J177" s="97" t="inlineStr">
        <is>
          <t>Y</t>
        </is>
      </c>
      <c r="K177" s="97" t="inlineStr">
        <is>
          <t>N</t>
        </is>
      </c>
      <c r="L177" s="97" t="inlineStr">
        <is>
          <t>Y</t>
        </is>
      </c>
      <c r="M177" s="97" t="n">
        <v>33.5</v>
      </c>
      <c r="N177" s="97" t="inlineStr">
        <is>
          <t>N</t>
        </is>
      </c>
      <c r="O177" s="97" t="n">
        <v>257.54</v>
      </c>
      <c r="P177" s="97" t="inlineStr">
        <is>
          <t>N</t>
        </is>
      </c>
      <c r="Q177" s="97" t="inlineStr">
        <is>
          <t>N/A</t>
        </is>
      </c>
      <c r="R177" s="97" t="inlineStr">
        <is>
          <t>N</t>
        </is>
      </c>
      <c r="S177" s="97" t="n">
        <v>-6.3</v>
      </c>
      <c r="T177" s="97" t="n">
        <v>10.2</v>
      </c>
      <c r="U177" s="97" t="inlineStr">
        <is>
          <t>Y</t>
        </is>
      </c>
      <c r="V177" s="97" t="n">
        <v>47.5</v>
      </c>
      <c r="W177" s="97" t="n">
        <v>25.5</v>
      </c>
      <c r="X177" s="97" t="n">
        <v>1.74</v>
      </c>
      <c r="Y177" s="97" t="n">
        <v>1.5</v>
      </c>
      <c r="Z177" s="97" t="n">
        <v>5</v>
      </c>
      <c r="AA177" s="92" t="inlineStr">
        <is>
          <t>WATCHLIST</t>
        </is>
      </c>
    </row>
    <row r="178">
      <c r="A178" s="99" t="inlineStr">
        <is>
          <t>POONAWALLA</t>
        </is>
      </c>
      <c r="B178" s="99" t="inlineStr">
        <is>
          <t>Poonawalla Fincorp Ltd.</t>
        </is>
      </c>
      <c r="C178" s="99" t="inlineStr">
        <is>
          <t>Financial Services</t>
        </is>
      </c>
      <c r="D178" s="99" t="inlineStr">
        <is>
          <t>NSE Smallcap</t>
        </is>
      </c>
      <c r="E178" s="99" t="n">
        <v>459.7</v>
      </c>
      <c r="F178" s="99" t="n">
        <v>-1.13</v>
      </c>
      <c r="G178" s="99" t="n">
        <v>623865</v>
      </c>
      <c r="H178" s="99" t="n">
        <v>0.6899999999999999</v>
      </c>
      <c r="I178" s="99" t="n">
        <v>40728</v>
      </c>
      <c r="J178" s="99" t="inlineStr">
        <is>
          <t>Y</t>
        </is>
      </c>
      <c r="K178" s="99" t="inlineStr">
        <is>
          <t>Y</t>
        </is>
      </c>
      <c r="L178" s="99" t="inlineStr">
        <is>
          <t>Y</t>
        </is>
      </c>
      <c r="M178" s="99" t="n">
        <v>42.7</v>
      </c>
      <c r="N178" s="99" t="inlineStr">
        <is>
          <t>N</t>
        </is>
      </c>
      <c r="O178" s="99" t="n">
        <v>15.68</v>
      </c>
      <c r="P178" s="99" t="inlineStr">
        <is>
          <t>N</t>
        </is>
      </c>
      <c r="Q178" s="99" t="inlineStr">
        <is>
          <t>N/A</t>
        </is>
      </c>
      <c r="R178" s="99" t="inlineStr">
        <is>
          <t>N</t>
        </is>
      </c>
      <c r="S178" s="99" t="n">
        <v>4.7</v>
      </c>
      <c r="T178" s="99" t="n">
        <v>9.5</v>
      </c>
      <c r="U178" s="99" t="inlineStr">
        <is>
          <t>Y</t>
        </is>
      </c>
      <c r="V178" s="99" t="n">
        <v>48.7</v>
      </c>
      <c r="W178" s="99" t="inlineStr">
        <is>
          <t>N/A</t>
        </is>
      </c>
      <c r="X178" s="99" t="n">
        <v>468.06</v>
      </c>
      <c r="Y178" s="99" t="n">
        <v>20.8</v>
      </c>
      <c r="Z178" s="99" t="n">
        <v>5</v>
      </c>
      <c r="AA178" s="94" t="inlineStr">
        <is>
          <t>WATCHLIST</t>
        </is>
      </c>
    </row>
    <row r="179">
      <c r="A179" s="97" t="inlineStr">
        <is>
          <t>PFC</t>
        </is>
      </c>
      <c r="B179" s="97" t="inlineStr">
        <is>
          <t>Power Finance Corporation Ltd.</t>
        </is>
      </c>
      <c r="C179" s="97" t="inlineStr">
        <is>
          <t>Financial Services</t>
        </is>
      </c>
      <c r="D179" s="97" t="inlineStr">
        <is>
          <t>Large/Midcap</t>
        </is>
      </c>
      <c r="E179" s="97" t="n">
        <v>420.1</v>
      </c>
      <c r="F179" s="97" t="n">
        <v>1.99</v>
      </c>
      <c r="G179" s="97" t="n">
        <v>4447916</v>
      </c>
      <c r="H179" s="97" t="n">
        <v>1.14</v>
      </c>
      <c r="I179" s="97" t="n">
        <v>138637</v>
      </c>
      <c r="J179" s="97" t="inlineStr">
        <is>
          <t>Y</t>
        </is>
      </c>
      <c r="K179" s="97" t="inlineStr">
        <is>
          <t>N</t>
        </is>
      </c>
      <c r="L179" s="97" t="inlineStr">
        <is>
          <t>Y</t>
        </is>
      </c>
      <c r="M179" s="97" t="n">
        <v>56.4</v>
      </c>
      <c r="N179" s="97" t="inlineStr">
        <is>
          <t>Y</t>
        </is>
      </c>
      <c r="O179" s="97" t="n">
        <v>8.56</v>
      </c>
      <c r="P179" s="97" t="inlineStr">
        <is>
          <t>N</t>
        </is>
      </c>
      <c r="Q179" s="97" t="inlineStr">
        <is>
          <t>N/A</t>
        </is>
      </c>
      <c r="R179" s="97" t="inlineStr">
        <is>
          <t>N</t>
        </is>
      </c>
      <c r="S179" s="97" t="n">
        <v>-2.7</v>
      </c>
      <c r="T179" s="97" t="n">
        <v>-5.9</v>
      </c>
      <c r="U179" s="97" t="inlineStr">
        <is>
          <t>N</t>
        </is>
      </c>
      <c r="V179" s="97" t="n">
        <v>5.2</v>
      </c>
      <c r="W179" s="97" t="n">
        <v>20.5</v>
      </c>
      <c r="X179" s="97" t="n">
        <v>586.02</v>
      </c>
      <c r="Y179" s="97" t="n">
        <v>11.2</v>
      </c>
      <c r="Z179" s="97" t="n">
        <v>5</v>
      </c>
      <c r="AA179" s="92" t="inlineStr">
        <is>
          <t>WATCHLIST</t>
        </is>
      </c>
    </row>
    <row r="180">
      <c r="A180" s="99" t="inlineStr">
        <is>
          <t>PRESTIGE</t>
        </is>
      </c>
      <c r="B180" s="99" t="inlineStr">
        <is>
          <t>Prestige Estates Projects Ltd.</t>
        </is>
      </c>
      <c r="C180" s="99" t="inlineStr">
        <is>
          <t>Realty</t>
        </is>
      </c>
      <c r="D180" s="99" t="inlineStr">
        <is>
          <t>Large/Midcap</t>
        </is>
      </c>
      <c r="E180" s="99" t="n">
        <v>1592.8</v>
      </c>
      <c r="F180" s="99" t="n">
        <v>-1.92</v>
      </c>
      <c r="G180" s="99" t="n">
        <v>793038</v>
      </c>
      <c r="H180" s="99" t="n">
        <v>1.7</v>
      </c>
      <c r="I180" s="99" t="n">
        <v>70838</v>
      </c>
      <c r="J180" s="99" t="inlineStr">
        <is>
          <t>Y</t>
        </is>
      </c>
      <c r="K180" s="99" t="inlineStr">
        <is>
          <t>Y</t>
        </is>
      </c>
      <c r="L180" s="99" t="inlineStr">
        <is>
          <t>Y</t>
        </is>
      </c>
      <c r="M180" s="99" t="n">
        <v>38.6</v>
      </c>
      <c r="N180" s="99" t="inlineStr">
        <is>
          <t>N</t>
        </is>
      </c>
      <c r="O180" s="99" t="n">
        <v>54.51</v>
      </c>
      <c r="P180" s="99" t="inlineStr">
        <is>
          <t>N</t>
        </is>
      </c>
      <c r="Q180" s="99" t="inlineStr">
        <is>
          <t>N/A</t>
        </is>
      </c>
      <c r="R180" s="99" t="inlineStr">
        <is>
          <t>N</t>
        </is>
      </c>
      <c r="S180" s="99" t="n">
        <v>2.6</v>
      </c>
      <c r="T180" s="99" t="n">
        <v>11.5</v>
      </c>
      <c r="U180" s="99" t="inlineStr">
        <is>
          <t>Y</t>
        </is>
      </c>
      <c r="V180" s="99" t="n">
        <v>59.4</v>
      </c>
      <c r="W180" s="99" t="n">
        <v>8</v>
      </c>
      <c r="X180" s="99" t="n">
        <v>105.49</v>
      </c>
      <c r="Y180" s="99" t="n">
        <v>12.4</v>
      </c>
      <c r="Z180" s="99" t="n">
        <v>5</v>
      </c>
      <c r="AA180" s="94" t="inlineStr">
        <is>
          <t>WATCHLIST</t>
        </is>
      </c>
    </row>
    <row r="181">
      <c r="A181" s="97" t="inlineStr">
        <is>
          <t>PNB</t>
        </is>
      </c>
      <c r="B181" s="97" t="inlineStr">
        <is>
          <t>Punjab National Bank</t>
        </is>
      </c>
      <c r="C181" s="97" t="inlineStr">
        <is>
          <t>Financial Services</t>
        </is>
      </c>
      <c r="D181" s="97" t="inlineStr">
        <is>
          <t>Large/Midcap</t>
        </is>
      </c>
      <c r="E181" s="97" t="n">
        <v>111.62</v>
      </c>
      <c r="F181" s="97" t="n">
        <v>1.12</v>
      </c>
      <c r="G181" s="97" t="n">
        <v>12850732</v>
      </c>
      <c r="H181" s="97" t="n">
        <v>0.9</v>
      </c>
      <c r="I181" s="97" t="n">
        <v>128284</v>
      </c>
      <c r="J181" s="97" t="inlineStr">
        <is>
          <t>Y</t>
        </is>
      </c>
      <c r="K181" s="97" t="inlineStr">
        <is>
          <t>Y</t>
        </is>
      </c>
      <c r="L181" s="97" t="inlineStr">
        <is>
          <t>N</t>
        </is>
      </c>
      <c r="M181" s="97" t="n">
        <v>68.59999999999999</v>
      </c>
      <c r="N181" s="97" t="inlineStr">
        <is>
          <t>Y</t>
        </is>
      </c>
      <c r="O181" s="97" t="n">
        <v>2.52</v>
      </c>
      <c r="P181" s="97" t="inlineStr">
        <is>
          <t>N</t>
        </is>
      </c>
      <c r="Q181" s="97" t="inlineStr">
        <is>
          <t>N/A</t>
        </is>
      </c>
      <c r="R181" s="97" t="inlineStr">
        <is>
          <t>N</t>
        </is>
      </c>
      <c r="S181" s="97" t="n">
        <v>3.7</v>
      </c>
      <c r="T181" s="97" t="n">
        <v>5.4</v>
      </c>
      <c r="U181" s="97" t="inlineStr">
        <is>
          <t>Y</t>
        </is>
      </c>
      <c r="V181" s="97" t="n">
        <v>5.7</v>
      </c>
      <c r="W181" s="97" t="n">
        <v>15</v>
      </c>
      <c r="X181" s="97" t="inlineStr">
        <is>
          <t>N/A</t>
        </is>
      </c>
      <c r="Y181" s="97" t="n">
        <v>4</v>
      </c>
      <c r="Z181" s="97" t="n">
        <v>5</v>
      </c>
      <c r="AA181" s="92" t="inlineStr">
        <is>
          <t>WATCHLIST</t>
        </is>
      </c>
    </row>
    <row r="182">
      <c r="A182" s="99" t="inlineStr">
        <is>
          <t>RADICO</t>
        </is>
      </c>
      <c r="B182" s="99" t="inlineStr">
        <is>
          <t>Radico Khaitan Ltd</t>
        </is>
      </c>
      <c r="C182" s="99" t="inlineStr">
        <is>
          <t>Fast Moving Consumer Goods</t>
        </is>
      </c>
      <c r="D182" s="99" t="inlineStr">
        <is>
          <t>Large/Midcap</t>
        </is>
      </c>
      <c r="E182" s="99" t="n">
        <v>4091.3</v>
      </c>
      <c r="F182" s="99" t="n">
        <v>0.86</v>
      </c>
      <c r="G182" s="99" t="n">
        <v>343711</v>
      </c>
      <c r="H182" s="99" t="n">
        <v>1.49</v>
      </c>
      <c r="I182" s="99" t="n">
        <v>55596</v>
      </c>
      <c r="J182" s="99" t="inlineStr">
        <is>
          <t>Y</t>
        </is>
      </c>
      <c r="K182" s="99" t="inlineStr">
        <is>
          <t>Y</t>
        </is>
      </c>
      <c r="L182" s="99" t="inlineStr">
        <is>
          <t>Y</t>
        </is>
      </c>
      <c r="M182" s="99" t="n">
        <v>49.2</v>
      </c>
      <c r="N182" s="99" t="inlineStr">
        <is>
          <t>N</t>
        </is>
      </c>
      <c r="O182" s="99" t="n">
        <v>83.26000000000001</v>
      </c>
      <c r="P182" s="99" t="inlineStr">
        <is>
          <t>N</t>
        </is>
      </c>
      <c r="Q182" s="99" t="inlineStr">
        <is>
          <t>N/A</t>
        </is>
      </c>
      <c r="R182" s="99" t="inlineStr">
        <is>
          <t>N</t>
        </is>
      </c>
      <c r="S182" s="99" t="n">
        <v>7.3</v>
      </c>
      <c r="T182" s="99" t="n">
        <v>19</v>
      </c>
      <c r="U182" s="99" t="inlineStr">
        <is>
          <t>Y</t>
        </is>
      </c>
      <c r="V182" s="99" t="n">
        <v>92.2</v>
      </c>
      <c r="W182" s="99" t="inlineStr">
        <is>
          <t>N/A</t>
        </is>
      </c>
      <c r="X182" s="99" t="n">
        <v>20.94</v>
      </c>
      <c r="Y182" s="99" t="n">
        <v>15.8</v>
      </c>
      <c r="Z182" s="99" t="n">
        <v>5</v>
      </c>
      <c r="AA182" s="94" t="inlineStr">
        <is>
          <t>WATCHLIST</t>
        </is>
      </c>
    </row>
    <row r="183">
      <c r="A183" s="97" t="inlineStr">
        <is>
          <t>SAGILITY</t>
        </is>
      </c>
      <c r="B183" s="97" t="inlineStr">
        <is>
          <t>Sagility Ltd.</t>
        </is>
      </c>
      <c r="C183" s="97" t="inlineStr">
        <is>
          <t>Information Technology</t>
        </is>
      </c>
      <c r="D183" s="97" t="inlineStr">
        <is>
          <t>BSE Smallcap</t>
        </is>
      </c>
      <c r="E183" s="97" t="n">
        <v>43.29</v>
      </c>
      <c r="F183" s="97" t="n">
        <v>7.1</v>
      </c>
      <c r="G183" s="97" t="n">
        <v>111335747</v>
      </c>
      <c r="H183" s="97" t="n">
        <v>4.17</v>
      </c>
      <c r="I183" s="97" t="n">
        <v>20265</v>
      </c>
      <c r="J183" s="97" t="inlineStr">
        <is>
          <t>Y</t>
        </is>
      </c>
      <c r="K183" s="97" t="inlineStr">
        <is>
          <t>Y</t>
        </is>
      </c>
      <c r="L183" s="97" t="inlineStr">
        <is>
          <t>N</t>
        </is>
      </c>
      <c r="M183" s="97" t="n">
        <v>58.2</v>
      </c>
      <c r="N183" s="97" t="inlineStr">
        <is>
          <t>Y</t>
        </is>
      </c>
      <c r="O183" s="97" t="n">
        <v>1.54</v>
      </c>
      <c r="P183" s="97" t="inlineStr">
        <is>
          <t>Y</t>
        </is>
      </c>
      <c r="Q183" s="97" t="inlineStr">
        <is>
          <t>N/A</t>
        </is>
      </c>
      <c r="R183" s="97" t="inlineStr">
        <is>
          <t>N</t>
        </is>
      </c>
      <c r="S183" s="97" t="n">
        <v>7.5</v>
      </c>
      <c r="T183" s="97" t="n">
        <v>4.1</v>
      </c>
      <c r="U183" s="97" t="inlineStr">
        <is>
          <t>Y</t>
        </is>
      </c>
      <c r="V183" s="97" t="n">
        <v>19.1</v>
      </c>
      <c r="W183" s="97" t="inlineStr">
        <is>
          <t>N/A</t>
        </is>
      </c>
      <c r="X183" s="97" t="n">
        <v>11.5</v>
      </c>
      <c r="Y183" s="97" t="n">
        <v>-15.9</v>
      </c>
      <c r="Z183" s="97" t="n">
        <v>5</v>
      </c>
      <c r="AA183" s="92" t="inlineStr">
        <is>
          <t>WATCHLIST</t>
        </is>
      </c>
    </row>
    <row r="184">
      <c r="A184" s="99" t="inlineStr">
        <is>
          <t>SCHNEIDER</t>
        </is>
      </c>
      <c r="B184" s="99" t="inlineStr">
        <is>
          <t>Schneider Electric Infrastructure Ltd.</t>
        </is>
      </c>
      <c r="C184" s="99" t="inlineStr">
        <is>
          <t>Capital Goods</t>
        </is>
      </c>
      <c r="D184" s="99" t="inlineStr">
        <is>
          <t>BSE Smallcap</t>
        </is>
      </c>
      <c r="E184" s="99" t="n">
        <v>1352.6</v>
      </c>
      <c r="F184" s="99" t="n">
        <v>0.83</v>
      </c>
      <c r="G184" s="99" t="n">
        <v>130128</v>
      </c>
      <c r="H184" s="99" t="n">
        <v>0.78</v>
      </c>
      <c r="I184" s="99" t="n">
        <v>32327</v>
      </c>
      <c r="J184" s="99" t="inlineStr">
        <is>
          <t>Y</t>
        </is>
      </c>
      <c r="K184" s="99" t="inlineStr">
        <is>
          <t>Y</t>
        </is>
      </c>
      <c r="L184" s="99" t="inlineStr">
        <is>
          <t>Y</t>
        </is>
      </c>
      <c r="M184" s="99" t="n">
        <v>30.8</v>
      </c>
      <c r="N184" s="99" t="inlineStr">
        <is>
          <t>N</t>
        </is>
      </c>
      <c r="O184" s="99" t="n">
        <v>56.24</v>
      </c>
      <c r="P184" s="99" t="inlineStr">
        <is>
          <t>N</t>
        </is>
      </c>
      <c r="Q184" s="99" t="inlineStr">
        <is>
          <t>N/A</t>
        </is>
      </c>
      <c r="R184" s="99" t="inlineStr">
        <is>
          <t>N</t>
        </is>
      </c>
      <c r="S184" s="99" t="n">
        <v>1.5</v>
      </c>
      <c r="T184" s="99" t="n">
        <v>13.9</v>
      </c>
      <c r="U184" s="99" t="inlineStr">
        <is>
          <t>Y</t>
        </is>
      </c>
      <c r="V184" s="99" t="n">
        <v>151.4</v>
      </c>
      <c r="W184" s="99" t="n">
        <v>31.8</v>
      </c>
      <c r="X184" s="99" t="n">
        <v>70.8</v>
      </c>
      <c r="Y184" s="99" t="n">
        <v>-77.40000000000001</v>
      </c>
      <c r="Z184" s="99" t="n">
        <v>5</v>
      </c>
      <c r="AA184" s="94" t="inlineStr">
        <is>
          <t>WATCHLIST</t>
        </is>
      </c>
    </row>
    <row r="185">
      <c r="A185" s="97" t="inlineStr">
        <is>
          <t>SIEMENS</t>
        </is>
      </c>
      <c r="B185" s="97" t="inlineStr">
        <is>
          <t>Siemens Ltd.</t>
        </is>
      </c>
      <c r="C185" s="97" t="inlineStr">
        <is>
          <t>Capital Goods</t>
        </is>
      </c>
      <c r="D185" s="97" t="inlineStr">
        <is>
          <t>Large/Midcap</t>
        </is>
      </c>
      <c r="E185" s="97" t="n">
        <v>3689.8</v>
      </c>
      <c r="F185" s="97" t="n">
        <v>0.09</v>
      </c>
      <c r="G185" s="97" t="n">
        <v>232607</v>
      </c>
      <c r="H185" s="97" t="n">
        <v>0.9</v>
      </c>
      <c r="I185" s="97" t="n">
        <v>132406</v>
      </c>
      <c r="J185" s="97" t="inlineStr">
        <is>
          <t>Y</t>
        </is>
      </c>
      <c r="K185" s="97" t="inlineStr">
        <is>
          <t>Y</t>
        </is>
      </c>
      <c r="L185" s="97" t="inlineStr">
        <is>
          <t>Y</t>
        </is>
      </c>
      <c r="M185" s="97" t="n">
        <v>62.7</v>
      </c>
      <c r="N185" s="97" t="inlineStr">
        <is>
          <t>Y</t>
        </is>
      </c>
      <c r="O185" s="97" t="n">
        <v>99.09</v>
      </c>
      <c r="P185" s="97" t="inlineStr">
        <is>
          <t>N</t>
        </is>
      </c>
      <c r="Q185" s="97" t="inlineStr">
        <is>
          <t>N/A</t>
        </is>
      </c>
      <c r="R185" s="97" t="inlineStr">
        <is>
          <t>N</t>
        </is>
      </c>
      <c r="S185" s="97" t="n">
        <v>2</v>
      </c>
      <c r="T185" s="97" t="n">
        <v>-1.9</v>
      </c>
      <c r="U185" s="97" t="inlineStr">
        <is>
          <t>N</t>
        </is>
      </c>
      <c r="V185" s="97" t="n">
        <v>78.09999999999999</v>
      </c>
      <c r="W185" s="97" t="inlineStr">
        <is>
          <t>N/A</t>
        </is>
      </c>
      <c r="X185" s="97" t="n">
        <v>2.21</v>
      </c>
      <c r="Y185" s="97" t="n">
        <v>33.5</v>
      </c>
      <c r="Z185" s="97" t="n">
        <v>5</v>
      </c>
      <c r="AA185" s="92" t="inlineStr">
        <is>
          <t>WATCHLIST</t>
        </is>
      </c>
    </row>
    <row r="186">
      <c r="A186" s="99" t="inlineStr">
        <is>
          <t>SONACOMS</t>
        </is>
      </c>
      <c r="B186" s="99" t="inlineStr">
        <is>
          <t>Sona BLW Precision Forgings Ltd.</t>
        </is>
      </c>
      <c r="C186" s="99" t="inlineStr">
        <is>
          <t>Automobile and Auto Components</t>
        </is>
      </c>
      <c r="D186" s="99" t="inlineStr">
        <is>
          <t>NSE Smallcap</t>
        </is>
      </c>
      <c r="E186" s="99" t="n">
        <v>717.95</v>
      </c>
      <c r="F186" s="99" t="n">
        <v>-0.25</v>
      </c>
      <c r="G186" s="99" t="n">
        <v>8733705</v>
      </c>
      <c r="H186" s="99" t="n">
        <v>2.63</v>
      </c>
      <c r="I186" s="99" t="n">
        <v>44890</v>
      </c>
      <c r="J186" s="99" t="inlineStr">
        <is>
          <t>Y</t>
        </is>
      </c>
      <c r="K186" s="99" t="inlineStr">
        <is>
          <t>Y</t>
        </is>
      </c>
      <c r="L186" s="99" t="inlineStr">
        <is>
          <t>Y</t>
        </is>
      </c>
      <c r="M186" s="99" t="n">
        <v>72.8</v>
      </c>
      <c r="N186" s="99" t="inlineStr">
        <is>
          <t>N</t>
        </is>
      </c>
      <c r="O186" s="99" t="n">
        <v>20.62</v>
      </c>
      <c r="P186" s="99" t="inlineStr">
        <is>
          <t>Y</t>
        </is>
      </c>
      <c r="Q186" s="99" t="inlineStr">
        <is>
          <t>N/A</t>
        </is>
      </c>
      <c r="R186" s="99" t="inlineStr">
        <is>
          <t>N</t>
        </is>
      </c>
      <c r="S186" s="99" t="n">
        <v>16.2</v>
      </c>
      <c r="T186" s="99" t="n">
        <v>20.5</v>
      </c>
      <c r="U186" s="99" t="inlineStr">
        <is>
          <t>Y</t>
        </is>
      </c>
      <c r="V186" s="99" t="n">
        <v>64.40000000000001</v>
      </c>
      <c r="W186" s="99" t="inlineStr">
        <is>
          <t>N/A</t>
        </is>
      </c>
      <c r="X186" s="99" t="n">
        <v>7.21</v>
      </c>
      <c r="Y186" s="99" t="n">
        <v>-6</v>
      </c>
      <c r="Z186" s="99" t="n">
        <v>5</v>
      </c>
      <c r="AA186" s="94" t="inlineStr">
        <is>
          <t>WATCHLIST</t>
        </is>
      </c>
    </row>
    <row r="187">
      <c r="A187" s="97" t="inlineStr">
        <is>
          <t>SUNPHARMA</t>
        </is>
      </c>
      <c r="B187" s="97" t="inlineStr">
        <is>
          <t>Sun Pharmaceutical Industries Ltd.</t>
        </is>
      </c>
      <c r="C187" s="97" t="inlineStr">
        <is>
          <t>Healthcare</t>
        </is>
      </c>
      <c r="D187" s="97" t="inlineStr">
        <is>
          <t>Large/Midcap</t>
        </is>
      </c>
      <c r="E187" s="97" t="n">
        <v>1941.1</v>
      </c>
      <c r="F187" s="97" t="n">
        <v>-0.66</v>
      </c>
      <c r="G187" s="97" t="n">
        <v>1578929</v>
      </c>
      <c r="H187" s="97" t="n">
        <v>0.91</v>
      </c>
      <c r="I187" s="97" t="n">
        <v>473557</v>
      </c>
      <c r="J187" s="97" t="inlineStr">
        <is>
          <t>Y</t>
        </is>
      </c>
      <c r="K187" s="97" t="inlineStr">
        <is>
          <t>Y</t>
        </is>
      </c>
      <c r="L187" s="97" t="inlineStr">
        <is>
          <t>Y</t>
        </is>
      </c>
      <c r="M187" s="97" t="n">
        <v>58</v>
      </c>
      <c r="N187" s="97" t="inlineStr">
        <is>
          <t>Y</t>
        </is>
      </c>
      <c r="O187" s="97" t="n">
        <v>32.14</v>
      </c>
      <c r="P187" s="97" t="inlineStr">
        <is>
          <t>N</t>
        </is>
      </c>
      <c r="Q187" s="97" t="inlineStr">
        <is>
          <t>N/A</t>
        </is>
      </c>
      <c r="R187" s="97" t="inlineStr">
        <is>
          <t>N</t>
        </is>
      </c>
      <c r="S187" s="97" t="n">
        <v>4.7</v>
      </c>
      <c r="T187" s="97" t="n">
        <v>9.800000000000001</v>
      </c>
      <c r="U187" s="97" t="inlineStr">
        <is>
          <t>Y</t>
        </is>
      </c>
      <c r="V187" s="97" t="n">
        <v>41.3</v>
      </c>
      <c r="W187" s="97" t="n">
        <v>14.7</v>
      </c>
      <c r="X187" s="97" t="n">
        <v>5.52</v>
      </c>
      <c r="Y187" s="97" t="n">
        <v>-19.4</v>
      </c>
      <c r="Z187" s="97" t="n">
        <v>5</v>
      </c>
      <c r="AA187" s="92" t="inlineStr">
        <is>
          <t>WATCHLIST</t>
        </is>
      </c>
    </row>
    <row r="188">
      <c r="A188" s="99" t="inlineStr">
        <is>
          <t>TMCV</t>
        </is>
      </c>
      <c r="B188" s="99" t="inlineStr">
        <is>
          <t>Tata Motors Ltd.</t>
        </is>
      </c>
      <c r="C188" s="99" t="inlineStr">
        <is>
          <t>Capital Goods</t>
        </is>
      </c>
      <c r="D188" s="99" t="inlineStr">
        <is>
          <t>Large/Midcap</t>
        </is>
      </c>
      <c r="E188" s="99" t="n">
        <v>411.1</v>
      </c>
      <c r="F188" s="99" t="n">
        <v>1.22</v>
      </c>
      <c r="G188" s="99" t="n">
        <v>8607193</v>
      </c>
      <c r="H188" s="99" t="n">
        <v>2.25</v>
      </c>
      <c r="I188" s="99" t="n">
        <v>151396</v>
      </c>
      <c r="J188" s="99" t="inlineStr">
        <is>
          <t>Y</t>
        </is>
      </c>
      <c r="K188" s="99" t="inlineStr">
        <is>
          <t>Y</t>
        </is>
      </c>
      <c r="L188" s="99" t="inlineStr">
        <is>
          <t>N/A</t>
        </is>
      </c>
      <c r="M188" s="99" t="n">
        <v>38.7</v>
      </c>
      <c r="N188" s="99" t="inlineStr">
        <is>
          <t>N</t>
        </is>
      </c>
      <c r="O188" s="99" t="n">
        <v>9.99</v>
      </c>
      <c r="P188" s="99" t="inlineStr">
        <is>
          <t>N</t>
        </is>
      </c>
      <c r="Q188" s="99" t="inlineStr">
        <is>
          <t>N/A</t>
        </is>
      </c>
      <c r="R188" s="99" t="inlineStr">
        <is>
          <t>N</t>
        </is>
      </c>
      <c r="S188" s="99" t="n">
        <v>-4.6</v>
      </c>
      <c r="T188" s="99" t="n">
        <v>1.8</v>
      </c>
      <c r="U188" s="99" t="inlineStr">
        <is>
          <t>Y</t>
        </is>
      </c>
      <c r="V188" s="99" t="n">
        <v>49.2</v>
      </c>
      <c r="W188" s="99" t="n">
        <v>26</v>
      </c>
      <c r="X188" s="99" t="n">
        <v>44.09</v>
      </c>
      <c r="Y188" s="99" t="n">
        <v>154.3</v>
      </c>
      <c r="Z188" s="99" t="n">
        <v>5</v>
      </c>
      <c r="AA188" s="94" t="inlineStr">
        <is>
          <t>WATCHLIST</t>
        </is>
      </c>
    </row>
    <row r="189">
      <c r="A189" s="97" t="inlineStr">
        <is>
          <t>TITAN</t>
        </is>
      </c>
      <c r="B189" s="97" t="inlineStr">
        <is>
          <t>Titan Company Ltd.</t>
        </is>
      </c>
      <c r="C189" s="97" t="inlineStr">
        <is>
          <t>Consumer Durables</t>
        </is>
      </c>
      <c r="D189" s="97" t="inlineStr">
        <is>
          <t>Large/Midcap</t>
        </is>
      </c>
      <c r="E189" s="97" t="n">
        <v>4740.1</v>
      </c>
      <c r="F189" s="97" t="n">
        <v>1.35</v>
      </c>
      <c r="G189" s="97" t="n">
        <v>500721</v>
      </c>
      <c r="H189" s="97" t="n">
        <v>0.78</v>
      </c>
      <c r="I189" s="97" t="n">
        <v>420468</v>
      </c>
      <c r="J189" s="97" t="inlineStr">
        <is>
          <t>Y</t>
        </is>
      </c>
      <c r="K189" s="97" t="inlineStr">
        <is>
          <t>Y</t>
        </is>
      </c>
      <c r="L189" s="97" t="inlineStr">
        <is>
          <t>Y</t>
        </is>
      </c>
      <c r="M189" s="97" t="n">
        <v>72</v>
      </c>
      <c r="N189" s="97" t="inlineStr">
        <is>
          <t>N</t>
        </is>
      </c>
      <c r="O189" s="97" t="n">
        <v>66.86</v>
      </c>
      <c r="P189" s="97" t="inlineStr">
        <is>
          <t>N</t>
        </is>
      </c>
      <c r="Q189" s="97" t="inlineStr">
        <is>
          <t>N/A</t>
        </is>
      </c>
      <c r="R189" s="97" t="inlineStr">
        <is>
          <t>N</t>
        </is>
      </c>
      <c r="S189" s="97" t="n">
        <v>11.1</v>
      </c>
      <c r="T189" s="97" t="n">
        <v>8.800000000000001</v>
      </c>
      <c r="U189" s="97" t="inlineStr">
        <is>
          <t>Y</t>
        </is>
      </c>
      <c r="V189" s="97" t="n">
        <v>82</v>
      </c>
      <c r="W189" s="97" t="n">
        <v>37.1</v>
      </c>
      <c r="X189" s="97" t="n">
        <v>195</v>
      </c>
      <c r="Y189" s="97" t="n">
        <v>-30</v>
      </c>
      <c r="Z189" s="97" t="n">
        <v>5</v>
      </c>
      <c r="AA189" s="92" t="inlineStr">
        <is>
          <t>WATCHLIST</t>
        </is>
      </c>
    </row>
    <row r="190">
      <c r="A190" s="99" t="inlineStr">
        <is>
          <t>NIACL</t>
        </is>
      </c>
      <c r="B190" s="99" t="inlineStr">
        <is>
          <t>The New India Assurance Company Ltd.</t>
        </is>
      </c>
      <c r="C190" s="99" t="inlineStr">
        <is>
          <t>Financial Services</t>
        </is>
      </c>
      <c r="D190" s="99" t="inlineStr">
        <is>
          <t>BSE Smallcap</t>
        </is>
      </c>
      <c r="E190" s="99" t="n">
        <v>173.2</v>
      </c>
      <c r="F190" s="99" t="n">
        <v>-0.06</v>
      </c>
      <c r="G190" s="99" t="n">
        <v>56451</v>
      </c>
      <c r="H190" s="99" t="n">
        <v>1.86</v>
      </c>
      <c r="I190" s="99" t="n">
        <v>27299</v>
      </c>
      <c r="J190" s="99" t="inlineStr">
        <is>
          <t>Y</t>
        </is>
      </c>
      <c r="K190" s="99" t="inlineStr">
        <is>
          <t>Y</t>
        </is>
      </c>
      <c r="L190" s="99" t="inlineStr">
        <is>
          <t>Y</t>
        </is>
      </c>
      <c r="M190" s="99" t="n">
        <v>33.9</v>
      </c>
      <c r="N190" s="99" t="inlineStr">
        <is>
          <t>N</t>
        </is>
      </c>
      <c r="O190" s="99" t="n">
        <v>5.37</v>
      </c>
      <c r="P190" s="99" t="inlineStr">
        <is>
          <t>N</t>
        </is>
      </c>
      <c r="Q190" s="99" t="inlineStr">
        <is>
          <t>N/A</t>
        </is>
      </c>
      <c r="R190" s="99" t="inlineStr">
        <is>
          <t>N</t>
        </is>
      </c>
      <c r="S190" s="99" t="n">
        <v>-5.1</v>
      </c>
      <c r="T190" s="99" t="n">
        <v>7.2</v>
      </c>
      <c r="U190" s="99" t="inlineStr">
        <is>
          <t>Y</t>
        </is>
      </c>
      <c r="V190" s="99" t="n">
        <v>19.3</v>
      </c>
      <c r="W190" s="99" t="inlineStr">
        <is>
          <t>N/A</t>
        </is>
      </c>
      <c r="X190" s="99" t="inlineStr">
        <is>
          <t>N/A</t>
        </is>
      </c>
      <c r="Y190" s="99" t="n">
        <v>52.1</v>
      </c>
      <c r="Z190" s="99" t="n">
        <v>5</v>
      </c>
      <c r="AA190" s="94" t="inlineStr">
        <is>
          <t>WATCHLIST</t>
        </is>
      </c>
    </row>
    <row r="191">
      <c r="A191" s="97" t="inlineStr">
        <is>
          <t>TRITURBINE</t>
        </is>
      </c>
      <c r="B191" s="97" t="inlineStr">
        <is>
          <t>Triveni Turbine Ltd.</t>
        </is>
      </c>
      <c r="C191" s="97" t="inlineStr">
        <is>
          <t>Capital Goods</t>
        </is>
      </c>
      <c r="D191" s="97" t="inlineStr">
        <is>
          <t>BSE Smallcap</t>
        </is>
      </c>
      <c r="E191" s="97" t="n">
        <v>611.8</v>
      </c>
      <c r="F191" s="97" t="n">
        <v>0.37</v>
      </c>
      <c r="G191" s="97" t="n">
        <v>253366</v>
      </c>
      <c r="H191" s="97" t="n">
        <v>1.01</v>
      </c>
      <c r="I191" s="97" t="n">
        <v>19818</v>
      </c>
      <c r="J191" s="97" t="inlineStr">
        <is>
          <t>Y</t>
        </is>
      </c>
      <c r="K191" s="97" t="inlineStr">
        <is>
          <t>N</t>
        </is>
      </c>
      <c r="L191" s="97" t="inlineStr">
        <is>
          <t>Y</t>
        </is>
      </c>
      <c r="M191" s="97" t="n">
        <v>36.1</v>
      </c>
      <c r="N191" s="97" t="inlineStr">
        <is>
          <t>N</t>
        </is>
      </c>
      <c r="O191" s="97" t="n">
        <v>20.68</v>
      </c>
      <c r="P191" s="97" t="inlineStr">
        <is>
          <t>N</t>
        </is>
      </c>
      <c r="Q191" s="97" t="inlineStr">
        <is>
          <t>N/A</t>
        </is>
      </c>
      <c r="R191" s="97" t="inlineStr">
        <is>
          <t>N</t>
        </is>
      </c>
      <c r="S191" s="97" t="n">
        <v>-8.300000000000001</v>
      </c>
      <c r="T191" s="97" t="n">
        <v>6.9</v>
      </c>
      <c r="U191" s="97" t="inlineStr">
        <is>
          <t>Y</t>
        </is>
      </c>
      <c r="V191" s="97" t="n">
        <v>56.6</v>
      </c>
      <c r="W191" s="97" t="n">
        <v>26.2</v>
      </c>
      <c r="X191" s="97" t="n">
        <v>2.48</v>
      </c>
      <c r="Y191" s="97" t="n">
        <v>10.6</v>
      </c>
      <c r="Z191" s="97" t="n">
        <v>5</v>
      </c>
      <c r="AA191" s="92" t="inlineStr">
        <is>
          <t>WATCHLIST</t>
        </is>
      </c>
    </row>
    <row r="192">
      <c r="A192" s="99" t="inlineStr">
        <is>
          <t>UNOMINDA</t>
        </is>
      </c>
      <c r="B192" s="99" t="inlineStr">
        <is>
          <t>UNO Minda Ltd.</t>
        </is>
      </c>
      <c r="C192" s="99" t="inlineStr">
        <is>
          <t>Automobile and Auto Components</t>
        </is>
      </c>
      <c r="D192" s="99" t="inlineStr">
        <is>
          <t>Large/Midcap</t>
        </is>
      </c>
      <c r="E192" s="99" t="n">
        <v>1127</v>
      </c>
      <c r="F192" s="99" t="n">
        <v>-0.26</v>
      </c>
      <c r="G192" s="99" t="n">
        <v>1004753</v>
      </c>
      <c r="H192" s="99" t="n">
        <v>1.53</v>
      </c>
      <c r="I192" s="99" t="n">
        <v>67125</v>
      </c>
      <c r="J192" s="99" t="inlineStr">
        <is>
          <t>Y</t>
        </is>
      </c>
      <c r="K192" s="99" t="inlineStr">
        <is>
          <t>Y</t>
        </is>
      </c>
      <c r="L192" s="99" t="inlineStr">
        <is>
          <t>N</t>
        </is>
      </c>
      <c r="M192" s="99" t="n">
        <v>45.9</v>
      </c>
      <c r="N192" s="99" t="inlineStr">
        <is>
          <t>N</t>
        </is>
      </c>
      <c r="O192" s="99" t="n">
        <v>30.01</v>
      </c>
      <c r="P192" s="99" t="inlineStr">
        <is>
          <t>N</t>
        </is>
      </c>
      <c r="Q192" s="99" t="inlineStr">
        <is>
          <t>N/A</t>
        </is>
      </c>
      <c r="R192" s="99" t="inlineStr">
        <is>
          <t>N</t>
        </is>
      </c>
      <c r="S192" s="99" t="n">
        <v>-0.6</v>
      </c>
      <c r="T192" s="99" t="n">
        <v>0.1</v>
      </c>
      <c r="U192" s="99" t="inlineStr">
        <is>
          <t>Y</t>
        </is>
      </c>
      <c r="V192" s="99" t="n">
        <v>56</v>
      </c>
      <c r="W192" s="99" t="n">
        <v>19.2</v>
      </c>
      <c r="X192" s="99" t="n">
        <v>37.74</v>
      </c>
      <c r="Y192" s="99" t="n">
        <v>17.8</v>
      </c>
      <c r="Z192" s="99" t="n">
        <v>5</v>
      </c>
      <c r="AA192" s="94" t="inlineStr">
        <is>
          <t>WATCHLIST</t>
        </is>
      </c>
    </row>
    <row r="193">
      <c r="A193" s="97" t="inlineStr">
        <is>
          <t>UCOBANK</t>
        </is>
      </c>
      <c r="B193" s="97" t="inlineStr">
        <is>
          <t>UCO Bank</t>
        </is>
      </c>
      <c r="C193" s="97" t="inlineStr">
        <is>
          <t>Financial Services</t>
        </is>
      </c>
      <c r="D193" s="97" t="inlineStr">
        <is>
          <t>NSE Smallcap</t>
        </is>
      </c>
      <c r="E193" s="97" t="n">
        <v>26.66</v>
      </c>
      <c r="F193" s="97" t="n">
        <v>3.01</v>
      </c>
      <c r="G193" s="97" t="n">
        <v>16555999</v>
      </c>
      <c r="H193" s="97" t="n">
        <v>3.1</v>
      </c>
      <c r="I193" s="97" t="n">
        <v>33430</v>
      </c>
      <c r="J193" s="97" t="inlineStr">
        <is>
          <t>Y</t>
        </is>
      </c>
      <c r="K193" s="97" t="inlineStr">
        <is>
          <t>Y</t>
        </is>
      </c>
      <c r="L193" s="97" t="inlineStr">
        <is>
          <t>N</t>
        </is>
      </c>
      <c r="M193" s="97" t="n">
        <v>53</v>
      </c>
      <c r="N193" s="97" t="inlineStr">
        <is>
          <t>Y</t>
        </is>
      </c>
      <c r="O193" s="97" t="n">
        <v>0.65</v>
      </c>
      <c r="P193" s="97" t="inlineStr">
        <is>
          <t>Y</t>
        </is>
      </c>
      <c r="Q193" s="97" t="inlineStr">
        <is>
          <t>N/A</t>
        </is>
      </c>
      <c r="R193" s="97" t="inlineStr">
        <is>
          <t>N</t>
        </is>
      </c>
      <c r="S193" s="97" t="n">
        <v>-1.6</v>
      </c>
      <c r="T193" s="97" t="n">
        <v>1.6</v>
      </c>
      <c r="U193" s="97" t="inlineStr">
        <is>
          <t>Y</t>
        </is>
      </c>
      <c r="V193" s="97" t="n">
        <v>11.5</v>
      </c>
      <c r="W193" s="97" t="n">
        <v>8.5</v>
      </c>
      <c r="X193" s="97" t="inlineStr">
        <is>
          <t>N/A</t>
        </is>
      </c>
      <c r="Y193" s="97" t="n">
        <v>-18.1</v>
      </c>
      <c r="Z193" s="97" t="n">
        <v>5</v>
      </c>
      <c r="AA193" s="92" t="inlineStr">
        <is>
          <t>WATCHLIST</t>
        </is>
      </c>
    </row>
    <row r="194">
      <c r="A194" s="99" t="inlineStr">
        <is>
          <t>ULTRACEMCO</t>
        </is>
      </c>
      <c r="B194" s="99" t="inlineStr">
        <is>
          <t>UltraTech Cement Ltd.</t>
        </is>
      </c>
      <c r="C194" s="99" t="inlineStr">
        <is>
          <t>Construction Materials</t>
        </is>
      </c>
      <c r="D194" s="99" t="inlineStr">
        <is>
          <t>Large/Midcap</t>
        </is>
      </c>
      <c r="E194" s="99" t="n">
        <v>11881</v>
      </c>
      <c r="F194" s="99" t="n">
        <v>0.3</v>
      </c>
      <c r="G194" s="99" t="n">
        <v>250956</v>
      </c>
      <c r="H194" s="99" t="n">
        <v>0.8100000000000001</v>
      </c>
      <c r="I194" s="99" t="n">
        <v>349503</v>
      </c>
      <c r="J194" s="99" t="inlineStr">
        <is>
          <t>Y</t>
        </is>
      </c>
      <c r="K194" s="99" t="inlineStr">
        <is>
          <t>Y</t>
        </is>
      </c>
      <c r="L194" s="99" t="inlineStr">
        <is>
          <t>Y</t>
        </is>
      </c>
      <c r="M194" s="99" t="n">
        <v>55.9</v>
      </c>
      <c r="N194" s="99" t="inlineStr">
        <is>
          <t>Y</t>
        </is>
      </c>
      <c r="O194" s="99" t="n">
        <v>245.79</v>
      </c>
      <c r="P194" s="99" t="inlineStr">
        <is>
          <t>N</t>
        </is>
      </c>
      <c r="Q194" s="99" t="inlineStr">
        <is>
          <t>N/A</t>
        </is>
      </c>
      <c r="R194" s="99" t="inlineStr">
        <is>
          <t>N</t>
        </is>
      </c>
      <c r="S194" s="99" t="n">
        <v>3.7</v>
      </c>
      <c r="T194" s="99" t="n">
        <v>2.9</v>
      </c>
      <c r="U194" s="99" t="inlineStr">
        <is>
          <t>Y</t>
        </is>
      </c>
      <c r="V194" s="99" t="n">
        <v>40.8</v>
      </c>
      <c r="W194" s="99" t="inlineStr">
        <is>
          <t>N/A</t>
        </is>
      </c>
      <c r="X194" s="99" t="n">
        <v>29.43</v>
      </c>
      <c r="Y194" s="99" t="n">
        <v>-12.9</v>
      </c>
      <c r="Z194" s="99" t="n">
        <v>5</v>
      </c>
      <c r="AA194" s="94" t="inlineStr">
        <is>
          <t>WATCHLIST</t>
        </is>
      </c>
    </row>
    <row r="195">
      <c r="A195" s="97" t="inlineStr">
        <is>
          <t>UNITDSPR</t>
        </is>
      </c>
      <c r="B195" s="97" t="inlineStr">
        <is>
          <t>United Spirits Ltd.</t>
        </is>
      </c>
      <c r="C195" s="97" t="inlineStr">
        <is>
          <t>Fast Moving Consumer Goods</t>
        </is>
      </c>
      <c r="D195" s="97" t="inlineStr">
        <is>
          <t>Large/Midcap</t>
        </is>
      </c>
      <c r="E195" s="97" t="n">
        <v>1482</v>
      </c>
      <c r="F195" s="97" t="n">
        <v>1.01</v>
      </c>
      <c r="G195" s="97" t="n">
        <v>1154306</v>
      </c>
      <c r="H195" s="97" t="n">
        <v>0.55</v>
      </c>
      <c r="I195" s="97" t="n">
        <v>105230</v>
      </c>
      <c r="J195" s="97" t="inlineStr">
        <is>
          <t>Y</t>
        </is>
      </c>
      <c r="K195" s="97" t="inlineStr">
        <is>
          <t>Y</t>
        </is>
      </c>
      <c r="L195" s="97" t="inlineStr">
        <is>
          <t>Y</t>
        </is>
      </c>
      <c r="M195" s="97" t="n">
        <v>62.2</v>
      </c>
      <c r="N195" s="97" t="inlineStr">
        <is>
          <t>Y</t>
        </is>
      </c>
      <c r="O195" s="97" t="n">
        <v>33.64</v>
      </c>
      <c r="P195" s="97" t="inlineStr">
        <is>
          <t>N</t>
        </is>
      </c>
      <c r="Q195" s="97" t="inlineStr">
        <is>
          <t>N/A</t>
        </is>
      </c>
      <c r="R195" s="97" t="inlineStr">
        <is>
          <t>N</t>
        </is>
      </c>
      <c r="S195" s="97" t="n">
        <v>8.1</v>
      </c>
      <c r="T195" s="97" t="n">
        <v>13.1</v>
      </c>
      <c r="U195" s="97" t="inlineStr">
        <is>
          <t>Y</t>
        </is>
      </c>
      <c r="V195" s="97" t="n">
        <v>61.7</v>
      </c>
      <c r="W195" s="97" t="inlineStr">
        <is>
          <t>N/A</t>
        </is>
      </c>
      <c r="X195" s="97" t="n">
        <v>4.61</v>
      </c>
      <c r="Y195" s="97" t="n">
        <v>-14.1</v>
      </c>
      <c r="Z195" s="97" t="n">
        <v>5</v>
      </c>
      <c r="AA195" s="92" t="inlineStr">
        <is>
          <t>WATCHLIST</t>
        </is>
      </c>
    </row>
    <row r="196">
      <c r="A196" s="99" t="inlineStr">
        <is>
          <t>WELSPUNLIV</t>
        </is>
      </c>
      <c r="B196" s="99" t="inlineStr">
        <is>
          <t>Welspun Living Ltd.</t>
        </is>
      </c>
      <c r="C196" s="99" t="inlineStr">
        <is>
          <t>Textiles</t>
        </is>
      </c>
      <c r="D196" s="99" t="inlineStr">
        <is>
          <t>BSE Smallcap</t>
        </is>
      </c>
      <c r="E196" s="99" t="n">
        <v>163.53</v>
      </c>
      <c r="F196" s="99" t="n">
        <v>0.9399999999999999</v>
      </c>
      <c r="G196" s="99" t="n">
        <v>1445681</v>
      </c>
      <c r="H196" s="99" t="n">
        <v>1.15</v>
      </c>
      <c r="I196" s="99" t="n">
        <v>15395</v>
      </c>
      <c r="J196" s="99" t="inlineStr">
        <is>
          <t>Y</t>
        </is>
      </c>
      <c r="K196" s="99" t="inlineStr">
        <is>
          <t>Y</t>
        </is>
      </c>
      <c r="L196" s="99" t="inlineStr">
        <is>
          <t>Y</t>
        </is>
      </c>
      <c r="M196" s="99" t="n">
        <v>41.7</v>
      </c>
      <c r="N196" s="99" t="inlineStr">
        <is>
          <t>N</t>
        </is>
      </c>
      <c r="O196" s="99" t="n">
        <v>6.39</v>
      </c>
      <c r="P196" s="99" t="inlineStr">
        <is>
          <t>N</t>
        </is>
      </c>
      <c r="Q196" s="99" t="inlineStr">
        <is>
          <t>N/A</t>
        </is>
      </c>
      <c r="R196" s="99" t="inlineStr">
        <is>
          <t>N</t>
        </is>
      </c>
      <c r="S196" s="99" t="n">
        <v>-2</v>
      </c>
      <c r="T196" s="99" t="n">
        <v>27.3</v>
      </c>
      <c r="U196" s="99" t="inlineStr">
        <is>
          <t>Y</t>
        </is>
      </c>
      <c r="V196" s="99" t="n">
        <v>75.7</v>
      </c>
      <c r="W196" s="99" t="n">
        <v>4.3</v>
      </c>
      <c r="X196" s="99" t="n">
        <v>46.5</v>
      </c>
      <c r="Y196" s="99" t="n">
        <v>49281</v>
      </c>
      <c r="Z196" s="99" t="n">
        <v>5</v>
      </c>
      <c r="AA196" s="94" t="inlineStr">
        <is>
          <t>WATCHLIST</t>
        </is>
      </c>
    </row>
    <row r="197">
      <c r="A197" s="97" t="inlineStr">
        <is>
          <t>ZEEL</t>
        </is>
      </c>
      <c r="B197" s="97" t="inlineStr">
        <is>
          <t>Zee Entertainment Enterprises Ltd.</t>
        </is>
      </c>
      <c r="C197" s="97" t="inlineStr">
        <is>
          <t>Media Entertainment &amp; Publication</t>
        </is>
      </c>
      <c r="D197" s="97" t="inlineStr">
        <is>
          <t>BSE Smallcap</t>
        </is>
      </c>
      <c r="E197" s="97" t="n">
        <v>108.86</v>
      </c>
      <c r="F197" s="97" t="n">
        <v>3.22</v>
      </c>
      <c r="G197" s="97" t="n">
        <v>15284220</v>
      </c>
      <c r="H197" s="97" t="n">
        <v>1.28</v>
      </c>
      <c r="I197" s="97" t="n">
        <v>10456</v>
      </c>
      <c r="J197" s="97" t="inlineStr">
        <is>
          <t>Y</t>
        </is>
      </c>
      <c r="K197" s="97" t="inlineStr">
        <is>
          <t>Y</t>
        </is>
      </c>
      <c r="L197" s="97" t="inlineStr">
        <is>
          <t>Y</t>
        </is>
      </c>
      <c r="M197" s="97" t="n">
        <v>61.7</v>
      </c>
      <c r="N197" s="97" t="inlineStr">
        <is>
          <t>Y</t>
        </is>
      </c>
      <c r="O197" s="97" t="n">
        <v>4.27</v>
      </c>
      <c r="P197" s="97" t="inlineStr">
        <is>
          <t>N</t>
        </is>
      </c>
      <c r="Q197" s="97" t="inlineStr">
        <is>
          <t>N/A</t>
        </is>
      </c>
      <c r="R197" s="97" t="inlineStr">
        <is>
          <t>N</t>
        </is>
      </c>
      <c r="S197" s="97" t="n">
        <v>-2</v>
      </c>
      <c r="T197" s="97" t="n">
        <v>21.7</v>
      </c>
      <c r="U197" s="97" t="inlineStr">
        <is>
          <t>Y</t>
        </is>
      </c>
      <c r="V197" s="97" t="n">
        <v>37.4</v>
      </c>
      <c r="W197" s="97" t="n">
        <v>2.3</v>
      </c>
      <c r="X197" s="97" t="n">
        <v>2.26</v>
      </c>
      <c r="Y197" s="97" t="n">
        <v>-165.9</v>
      </c>
      <c r="Z197" s="97" t="n">
        <v>5</v>
      </c>
      <c r="AA197" s="92" t="inlineStr">
        <is>
          <t>WATCHLIST</t>
        </is>
      </c>
    </row>
    <row r="198">
      <c r="A198" s="99" t="inlineStr">
        <is>
          <t>ZYDUSWELL</t>
        </is>
      </c>
      <c r="B198" s="99" t="inlineStr">
        <is>
          <t>Zydus Wellness Ltd.</t>
        </is>
      </c>
      <c r="C198" s="99" t="inlineStr">
        <is>
          <t>Fast Moving Consumer Goods</t>
        </is>
      </c>
      <c r="D198" s="99" t="inlineStr">
        <is>
          <t>BSE Smallcap</t>
        </is>
      </c>
      <c r="E198" s="99" t="n">
        <v>563.05</v>
      </c>
      <c r="F198" s="99" t="n">
        <v>2.21</v>
      </c>
      <c r="G198" s="99" t="n">
        <v>212435</v>
      </c>
      <c r="H198" s="99" t="n">
        <v>0.91</v>
      </c>
      <c r="I198" s="99" t="n">
        <v>17796</v>
      </c>
      <c r="J198" s="99" t="inlineStr">
        <is>
          <t>Y</t>
        </is>
      </c>
      <c r="K198" s="99" t="inlineStr">
        <is>
          <t>Y</t>
        </is>
      </c>
      <c r="L198" s="99" t="inlineStr">
        <is>
          <t>Y</t>
        </is>
      </c>
      <c r="M198" s="99" t="n">
        <v>45.2</v>
      </c>
      <c r="N198" s="99" t="inlineStr">
        <is>
          <t>N</t>
        </is>
      </c>
      <c r="O198" s="99" t="n">
        <v>22.94</v>
      </c>
      <c r="P198" s="99" t="inlineStr">
        <is>
          <t>N</t>
        </is>
      </c>
      <c r="Q198" s="99" t="inlineStr">
        <is>
          <t>N/A</t>
        </is>
      </c>
      <c r="R198" s="99" t="inlineStr">
        <is>
          <t>N</t>
        </is>
      </c>
      <c r="S198" s="99" t="n">
        <v>9.1</v>
      </c>
      <c r="T198" s="99" t="n">
        <v>13.1</v>
      </c>
      <c r="U198" s="99" t="inlineStr">
        <is>
          <t>Y</t>
        </is>
      </c>
      <c r="V198" s="99" t="n">
        <v>90.40000000000001</v>
      </c>
      <c r="W198" s="99" t="n">
        <v>3.4</v>
      </c>
      <c r="X198" s="99" t="n">
        <v>54.97</v>
      </c>
      <c r="Y198" s="99" t="n">
        <v>506</v>
      </c>
      <c r="Z198" s="99" t="n">
        <v>5</v>
      </c>
      <c r="AA198" s="94" t="inlineStr">
        <is>
          <t>WATCHLIST</t>
        </is>
      </c>
    </row>
    <row r="199">
      <c r="A199" s="97" t="inlineStr">
        <is>
          <t>ECLERX</t>
        </is>
      </c>
      <c r="B199" s="97" t="inlineStr">
        <is>
          <t>eClerx Services Ltd.</t>
        </is>
      </c>
      <c r="C199" s="97" t="inlineStr">
        <is>
          <t>Services</t>
        </is>
      </c>
      <c r="D199" s="97" t="inlineStr">
        <is>
          <t>BSE Smallcap</t>
        </is>
      </c>
      <c r="E199" s="97" t="n">
        <v>1811.7</v>
      </c>
      <c r="F199" s="97" t="n">
        <v>-2.68</v>
      </c>
      <c r="G199" s="97" t="n">
        <v>436178</v>
      </c>
      <c r="H199" s="97" t="n">
        <v>1.44</v>
      </c>
      <c r="I199" s="97" t="n">
        <v>16672</v>
      </c>
      <c r="J199" s="97" t="inlineStr">
        <is>
          <t>Y</t>
        </is>
      </c>
      <c r="K199" s="97" t="inlineStr">
        <is>
          <t>Y</t>
        </is>
      </c>
      <c r="L199" s="97" t="inlineStr">
        <is>
          <t>N</t>
        </is>
      </c>
      <c r="M199" s="97" t="n">
        <v>68.40000000000001</v>
      </c>
      <c r="N199" s="97" t="inlineStr">
        <is>
          <t>Y</t>
        </is>
      </c>
      <c r="O199" s="97" t="n">
        <v>112.11</v>
      </c>
      <c r="P199" s="97" t="inlineStr">
        <is>
          <t>N</t>
        </is>
      </c>
      <c r="Q199" s="97" t="inlineStr">
        <is>
          <t>N/A</t>
        </is>
      </c>
      <c r="R199" s="97" t="inlineStr">
        <is>
          <t>N</t>
        </is>
      </c>
      <c r="S199" s="97" t="n">
        <v>29.2</v>
      </c>
      <c r="T199" s="97" t="n">
        <v>27.2</v>
      </c>
      <c r="U199" s="97" t="inlineStr">
        <is>
          <t>Y</t>
        </is>
      </c>
      <c r="V199" s="97" t="n">
        <v>25</v>
      </c>
      <c r="W199" s="97" t="n">
        <v>29</v>
      </c>
      <c r="X199" s="97" t="n">
        <v>15.01</v>
      </c>
      <c r="Y199" s="97" t="n">
        <v>-1.4</v>
      </c>
      <c r="Z199" s="97" t="n">
        <v>5</v>
      </c>
      <c r="AA199" s="92" t="inlineStr">
        <is>
          <t>WATCHLIST</t>
        </is>
      </c>
    </row>
    <row r="200">
      <c r="A200" s="99" t="inlineStr">
        <is>
          <t>AETHER</t>
        </is>
      </c>
      <c r="B200" s="99" t="inlineStr">
        <is>
          <t>Aether Industries Limited</t>
        </is>
      </c>
      <c r="C200" s="99" t="n"/>
      <c r="D200" s="99" t="inlineStr">
        <is>
          <t>BSE Smallcap</t>
        </is>
      </c>
      <c r="E200" s="99" t="n">
        <v>1480.1</v>
      </c>
      <c r="F200" s="99" t="n">
        <v>3.68</v>
      </c>
      <c r="G200" s="99" t="n">
        <v>224382</v>
      </c>
      <c r="H200" s="99" t="n">
        <v>1.09</v>
      </c>
      <c r="I200" s="99" t="n">
        <v>19643</v>
      </c>
      <c r="J200" s="99" t="inlineStr">
        <is>
          <t>Y</t>
        </is>
      </c>
      <c r="K200" s="99" t="inlineStr">
        <is>
          <t>Y</t>
        </is>
      </c>
      <c r="L200" s="99" t="inlineStr">
        <is>
          <t>Y</t>
        </is>
      </c>
      <c r="M200" s="99" t="n">
        <v>67</v>
      </c>
      <c r="N200" s="99" t="inlineStr">
        <is>
          <t>Y</t>
        </is>
      </c>
      <c r="O200" s="99" t="n">
        <v>57.59</v>
      </c>
      <c r="P200" s="99" t="inlineStr">
        <is>
          <t>N</t>
        </is>
      </c>
      <c r="Q200" s="99" t="inlineStr">
        <is>
          <t>N/A</t>
        </is>
      </c>
      <c r="R200" s="99" t="inlineStr">
        <is>
          <t>N</t>
        </is>
      </c>
      <c r="S200" s="99" t="n">
        <v>11.9</v>
      </c>
      <c r="T200" s="99" t="n">
        <v>26.7</v>
      </c>
      <c r="U200" s="99" t="inlineStr">
        <is>
          <t>Y</t>
        </is>
      </c>
      <c r="V200" s="99" t="n">
        <v>86.2</v>
      </c>
      <c r="W200" s="99" t="n">
        <v>9.4</v>
      </c>
      <c r="X200" s="99" t="n">
        <v>18.65</v>
      </c>
      <c r="Y200" s="99" t="n">
        <v>-16.2</v>
      </c>
      <c r="Z200" s="99" t="n">
        <v>5</v>
      </c>
      <c r="AA200" s="94" t="inlineStr">
        <is>
          <t>WATCHLIST</t>
        </is>
      </c>
    </row>
    <row r="201">
      <c r="A201" s="97" t="inlineStr">
        <is>
          <t>GNFC</t>
        </is>
      </c>
      <c r="B201" s="97" t="inlineStr">
        <is>
          <t>GUJARAT NARMADA VALLEY FERTILI</t>
        </is>
      </c>
      <c r="C201" s="97" t="n"/>
      <c r="D201" s="97" t="inlineStr">
        <is>
          <t>BSE Smallcap</t>
        </is>
      </c>
      <c r="E201" s="97" t="n">
        <v>513.95</v>
      </c>
      <c r="F201" s="97" t="n">
        <v>2.17</v>
      </c>
      <c r="G201" s="97" t="n">
        <v>203336</v>
      </c>
      <c r="H201" s="97" t="n">
        <v>1.34</v>
      </c>
      <c r="I201" s="97" t="n">
        <v>7552</v>
      </c>
      <c r="J201" s="97" t="inlineStr">
        <is>
          <t>Y</t>
        </is>
      </c>
      <c r="K201" s="97" t="inlineStr">
        <is>
          <t>N</t>
        </is>
      </c>
      <c r="L201" s="97" t="inlineStr">
        <is>
          <t>Y</t>
        </is>
      </c>
      <c r="M201" s="97" t="n">
        <v>50.3</v>
      </c>
      <c r="N201" s="97" t="inlineStr">
        <is>
          <t>Y</t>
        </is>
      </c>
      <c r="O201" s="97" t="n">
        <v>11.82</v>
      </c>
      <c r="P201" s="97" t="inlineStr">
        <is>
          <t>N</t>
        </is>
      </c>
      <c r="Q201" s="97" t="inlineStr">
        <is>
          <t>N/A</t>
        </is>
      </c>
      <c r="R201" s="97" t="inlineStr">
        <is>
          <t>N</t>
        </is>
      </c>
      <c r="S201" s="97" t="n">
        <v>-5.8</v>
      </c>
      <c r="T201" s="97" t="n">
        <v>9.9</v>
      </c>
      <c r="U201" s="97" t="inlineStr">
        <is>
          <t>Y</t>
        </is>
      </c>
      <c r="V201" s="97" t="n">
        <v>9.1</v>
      </c>
      <c r="W201" s="97" t="n">
        <v>9.1</v>
      </c>
      <c r="X201" s="97" t="n">
        <v>0.07000000000000001</v>
      </c>
      <c r="Y201" s="97" t="n">
        <v>164</v>
      </c>
      <c r="Z201" s="97" t="n">
        <v>5</v>
      </c>
      <c r="AA201" s="92" t="inlineStr">
        <is>
          <t>WATCHLIST</t>
        </is>
      </c>
    </row>
    <row r="202">
      <c r="A202" s="99" t="inlineStr">
        <is>
          <t>APLAPOLLO</t>
        </is>
      </c>
      <c r="B202" s="99" t="inlineStr">
        <is>
          <t>APL Apollo Tubes Ltd.</t>
        </is>
      </c>
      <c r="C202" s="99" t="inlineStr">
        <is>
          <t>Capital Goods</t>
        </is>
      </c>
      <c r="D202" s="99" t="inlineStr">
        <is>
          <t>Large/Midcap</t>
        </is>
      </c>
      <c r="E202" s="99" t="n">
        <v>1822.8</v>
      </c>
      <c r="F202" s="99" t="n">
        <v>-0.44</v>
      </c>
      <c r="G202" s="99" t="n">
        <v>230999</v>
      </c>
      <c r="H202" s="99" t="n">
        <v>0.73</v>
      </c>
      <c r="I202" s="99" t="n">
        <v>51364</v>
      </c>
      <c r="J202" s="99" t="inlineStr">
        <is>
          <t>Y</t>
        </is>
      </c>
      <c r="K202" s="99" t="inlineStr">
        <is>
          <t>N</t>
        </is>
      </c>
      <c r="L202" s="99" t="inlineStr">
        <is>
          <t>N</t>
        </is>
      </c>
      <c r="M202" s="99" t="n">
        <v>54.1</v>
      </c>
      <c r="N202" s="99" t="inlineStr">
        <is>
          <t>Y</t>
        </is>
      </c>
      <c r="O202" s="99" t="n">
        <v>31.81</v>
      </c>
      <c r="P202" s="99" t="inlineStr">
        <is>
          <t>N</t>
        </is>
      </c>
      <c r="Q202" s="99" t="inlineStr">
        <is>
          <t>N/A</t>
        </is>
      </c>
      <c r="R202" s="99" t="inlineStr">
        <is>
          <t>N</t>
        </is>
      </c>
      <c r="S202" s="99" t="n">
        <v>1.9</v>
      </c>
      <c r="T202" s="99" t="n">
        <v>-6.9</v>
      </c>
      <c r="U202" s="99" t="inlineStr">
        <is>
          <t>N</t>
        </is>
      </c>
      <c r="V202" s="99" t="n">
        <v>42.6</v>
      </c>
      <c r="W202" s="99" t="n">
        <v>25.3</v>
      </c>
      <c r="X202" s="99" t="n">
        <v>9.4</v>
      </c>
      <c r="Y202" s="99" t="n">
        <v>14.3</v>
      </c>
      <c r="Z202" s="99" t="n">
        <v>4</v>
      </c>
      <c r="AA202" s="94" t="inlineStr">
        <is>
          <t>AVOID</t>
        </is>
      </c>
    </row>
    <row r="203">
      <c r="A203" s="97" t="inlineStr">
        <is>
          <t>360ONE</t>
        </is>
      </c>
      <c r="B203" s="97" t="inlineStr">
        <is>
          <t>360 ONE WAM Ltd.</t>
        </is>
      </c>
      <c r="C203" s="97" t="inlineStr">
        <is>
          <t>Financial Services</t>
        </is>
      </c>
      <c r="D203" s="97" t="inlineStr">
        <is>
          <t>Large/Midcap</t>
        </is>
      </c>
      <c r="E203" s="97" t="n">
        <v>1102.3</v>
      </c>
      <c r="F203" s="97" t="n">
        <v>1.76</v>
      </c>
      <c r="G203" s="97" t="n">
        <v>918262</v>
      </c>
      <c r="H203" s="97" t="n">
        <v>0.88</v>
      </c>
      <c r="I203" s="97" t="n">
        <v>46088</v>
      </c>
      <c r="J203" s="97" t="inlineStr">
        <is>
          <t>Y</t>
        </is>
      </c>
      <c r="K203" s="97" t="inlineStr">
        <is>
          <t>N</t>
        </is>
      </c>
      <c r="L203" s="97" t="inlineStr">
        <is>
          <t>Y</t>
        </is>
      </c>
      <c r="M203" s="97" t="n">
        <v>44.2</v>
      </c>
      <c r="N203" s="97" t="inlineStr">
        <is>
          <t>N</t>
        </is>
      </c>
      <c r="O203" s="97" t="n">
        <v>34.8</v>
      </c>
      <c r="P203" s="97" t="inlineStr">
        <is>
          <t>N</t>
        </is>
      </c>
      <c r="Q203" s="97" t="inlineStr">
        <is>
          <t>N/A</t>
        </is>
      </c>
      <c r="R203" s="97" t="inlineStr">
        <is>
          <t>N</t>
        </is>
      </c>
      <c r="S203" s="97" t="n">
        <v>1.8</v>
      </c>
      <c r="T203" s="97" t="n">
        <v>5.7</v>
      </c>
      <c r="U203" s="97" t="inlineStr">
        <is>
          <t>Y</t>
        </is>
      </c>
      <c r="V203" s="97" t="n">
        <v>37.6</v>
      </c>
      <c r="W203" s="97" t="inlineStr">
        <is>
          <t>N/A</t>
        </is>
      </c>
      <c r="X203" s="97" t="n">
        <v>161.98</v>
      </c>
      <c r="Y203" s="97" t="n">
        <v>14.5</v>
      </c>
      <c r="Z203" s="97" t="n">
        <v>4</v>
      </c>
      <c r="AA203" s="92" t="inlineStr">
        <is>
          <t>AVOID</t>
        </is>
      </c>
    </row>
    <row r="204">
      <c r="A204" s="99" t="inlineStr">
        <is>
          <t>ACUTAAS</t>
        </is>
      </c>
      <c r="B204" s="99" t="inlineStr">
        <is>
          <t>Acutaas Chemicals Ltd.</t>
        </is>
      </c>
      <c r="C204" s="99" t="inlineStr">
        <is>
          <t>Healthcare</t>
        </is>
      </c>
      <c r="D204" s="99" t="inlineStr">
        <is>
          <t>BSE Smallcap</t>
        </is>
      </c>
      <c r="E204" s="99" t="n">
        <v>3367.8</v>
      </c>
      <c r="F204" s="99" t="n">
        <v>3.32</v>
      </c>
      <c r="G204" s="99" t="n">
        <v>526067</v>
      </c>
      <c r="H204" s="99" t="n">
        <v>0.88</v>
      </c>
      <c r="I204" s="99" t="n">
        <v>27573</v>
      </c>
      <c r="J204" s="99" t="inlineStr">
        <is>
          <t>Y</t>
        </is>
      </c>
      <c r="K204" s="99" t="inlineStr">
        <is>
          <t>Y</t>
        </is>
      </c>
      <c r="L204" s="99" t="inlineStr">
        <is>
          <t>Y</t>
        </is>
      </c>
      <c r="M204" s="99" t="n">
        <v>48.8</v>
      </c>
      <c r="N204" s="99" t="inlineStr">
        <is>
          <t>N</t>
        </is>
      </c>
      <c r="O204" s="99" t="n">
        <v>140.79</v>
      </c>
      <c r="P204" s="99" t="inlineStr">
        <is>
          <t>N</t>
        </is>
      </c>
      <c r="Q204" s="99" t="inlineStr">
        <is>
          <t>N/A</t>
        </is>
      </c>
      <c r="R204" s="99" t="inlineStr">
        <is>
          <t>N</t>
        </is>
      </c>
      <c r="S204" s="99" t="n">
        <v>2.3</v>
      </c>
      <c r="T204" s="99" t="n">
        <v>30.2</v>
      </c>
      <c r="U204" s="99" t="inlineStr">
        <is>
          <t>Y</t>
        </is>
      </c>
      <c r="V204" s="99" t="n">
        <v>93.40000000000001</v>
      </c>
      <c r="W204" s="99" t="inlineStr">
        <is>
          <t>N/A</t>
        </is>
      </c>
      <c r="X204" s="99" t="n">
        <v>2.08</v>
      </c>
      <c r="Y204" s="99" t="n"/>
      <c r="Z204" s="99" t="n">
        <v>4</v>
      </c>
      <c r="AA204" s="94" t="inlineStr">
        <is>
          <t>AVOID</t>
        </is>
      </c>
    </row>
    <row r="205">
      <c r="A205" s="97" t="inlineStr">
        <is>
          <t>ADANIENT</t>
        </is>
      </c>
      <c r="B205" s="97" t="inlineStr">
        <is>
          <t>Adani Enterprises Ltd.</t>
        </is>
      </c>
      <c r="C205" s="97" t="inlineStr">
        <is>
          <t>Metals &amp; Mining</t>
        </is>
      </c>
      <c r="D205" s="97" t="inlineStr">
        <is>
          <t>Large/Midcap</t>
        </is>
      </c>
      <c r="E205" s="97" t="n">
        <v>3036.6</v>
      </c>
      <c r="F205" s="97" t="n">
        <v>0.34</v>
      </c>
      <c r="G205" s="97" t="n">
        <v>636870</v>
      </c>
      <c r="H205" s="97" t="n">
        <v>0.5</v>
      </c>
      <c r="I205" s="97" t="n">
        <v>432100</v>
      </c>
      <c r="J205" s="97" t="inlineStr">
        <is>
          <t>Y</t>
        </is>
      </c>
      <c r="K205" s="97" t="inlineStr">
        <is>
          <t>Y</t>
        </is>
      </c>
      <c r="L205" s="97" t="inlineStr">
        <is>
          <t>Y</t>
        </is>
      </c>
      <c r="M205" s="97" t="n">
        <v>42.5</v>
      </c>
      <c r="N205" s="97" t="inlineStr">
        <is>
          <t>N</t>
        </is>
      </c>
      <c r="O205" s="97" t="n">
        <v>72.2</v>
      </c>
      <c r="P205" s="97" t="inlineStr">
        <is>
          <t>N</t>
        </is>
      </c>
      <c r="Q205" s="97" t="inlineStr">
        <is>
          <t>N/A</t>
        </is>
      </c>
      <c r="R205" s="97" t="inlineStr">
        <is>
          <t>N</t>
        </is>
      </c>
      <c r="S205" s="97" t="n">
        <v>0.2</v>
      </c>
      <c r="T205" s="97" t="n">
        <v>26.5</v>
      </c>
      <c r="U205" s="97" t="inlineStr">
        <is>
          <t>Y</t>
        </is>
      </c>
      <c r="V205" s="97" t="n">
        <v>41.2</v>
      </c>
      <c r="W205" s="97" t="n">
        <v>13.7</v>
      </c>
      <c r="X205" s="97" t="n">
        <v>119.56</v>
      </c>
      <c r="Y205" s="97" t="n">
        <v>-103.9</v>
      </c>
      <c r="Z205" s="97" t="n">
        <v>4</v>
      </c>
      <c r="AA205" s="92" t="inlineStr">
        <is>
          <t>AVOID</t>
        </is>
      </c>
    </row>
    <row r="206">
      <c r="A206" s="99" t="inlineStr">
        <is>
          <t>ADANIGREEN</t>
        </is>
      </c>
      <c r="B206" s="99" t="inlineStr">
        <is>
          <t>Adani Green Energy Ltd.</t>
        </is>
      </c>
      <c r="C206" s="99" t="inlineStr">
        <is>
          <t>Power</t>
        </is>
      </c>
      <c r="D206" s="99" t="inlineStr">
        <is>
          <t>Large/Midcap</t>
        </is>
      </c>
      <c r="E206" s="99" t="n">
        <v>1399.7</v>
      </c>
      <c r="F206" s="99" t="n">
        <v>0.33</v>
      </c>
      <c r="G206" s="99" t="n">
        <v>1695918</v>
      </c>
      <c r="H206" s="99" t="n">
        <v>0.3</v>
      </c>
      <c r="I206" s="99" t="n">
        <v>230555</v>
      </c>
      <c r="J206" s="99" t="inlineStr">
        <is>
          <t>Y</t>
        </is>
      </c>
      <c r="K206" s="99" t="inlineStr">
        <is>
          <t>N</t>
        </is>
      </c>
      <c r="L206" s="99" t="inlineStr">
        <is>
          <t>Y</t>
        </is>
      </c>
      <c r="M206" s="99" t="n">
        <v>36.8</v>
      </c>
      <c r="N206" s="99" t="inlineStr">
        <is>
          <t>N</t>
        </is>
      </c>
      <c r="O206" s="99" t="n">
        <v>59.46</v>
      </c>
      <c r="P206" s="99" t="inlineStr">
        <is>
          <t>N</t>
        </is>
      </c>
      <c r="Q206" s="99" t="inlineStr">
        <is>
          <t>N/A</t>
        </is>
      </c>
      <c r="R206" s="99" t="inlineStr">
        <is>
          <t>N</t>
        </is>
      </c>
      <c r="S206" s="99" t="n">
        <v>-8</v>
      </c>
      <c r="T206" s="99" t="n">
        <v>14.5</v>
      </c>
      <c r="U206" s="99" t="inlineStr">
        <is>
          <t>Y</t>
        </is>
      </c>
      <c r="V206" s="99" t="n">
        <v>133.3</v>
      </c>
      <c r="W206" s="99" t="inlineStr">
        <is>
          <t>N/A</t>
        </is>
      </c>
      <c r="X206" s="99" t="n">
        <v>346.55</v>
      </c>
      <c r="Y206" s="99" t="n">
        <v>112.8</v>
      </c>
      <c r="Z206" s="99" t="n">
        <v>4</v>
      </c>
      <c r="AA206" s="94" t="inlineStr">
        <is>
          <t>AVOID</t>
        </is>
      </c>
    </row>
    <row r="207">
      <c r="A207" s="97" t="inlineStr">
        <is>
          <t>ABSLAMC</t>
        </is>
      </c>
      <c r="B207" s="97" t="inlineStr">
        <is>
          <t>Aditya Birla Sun Life AMC Ltd.</t>
        </is>
      </c>
      <c r="C207" s="97" t="inlineStr">
        <is>
          <t>Financial Services</t>
        </is>
      </c>
      <c r="D207" s="97" t="inlineStr">
        <is>
          <t>BSE Smallcap</t>
        </is>
      </c>
      <c r="E207" s="97" t="n">
        <v>989.2</v>
      </c>
      <c r="F207" s="97" t="n">
        <v>-2.73</v>
      </c>
      <c r="G207" s="97" t="n">
        <v>469490</v>
      </c>
      <c r="H207" s="97" t="n">
        <v>0.63</v>
      </c>
      <c r="I207" s="97" t="n">
        <v>28614</v>
      </c>
      <c r="J207" s="97" t="inlineStr">
        <is>
          <t>Y</t>
        </is>
      </c>
      <c r="K207" s="97" t="inlineStr">
        <is>
          <t>N</t>
        </is>
      </c>
      <c r="L207" s="97" t="inlineStr">
        <is>
          <t>Y</t>
        </is>
      </c>
      <c r="M207" s="97" t="n">
        <v>29.6</v>
      </c>
      <c r="N207" s="97" t="inlineStr">
        <is>
          <t>N</t>
        </is>
      </c>
      <c r="O207" s="97" t="n">
        <v>41.64</v>
      </c>
      <c r="P207" s="97" t="inlineStr">
        <is>
          <t>N</t>
        </is>
      </c>
      <c r="Q207" s="97" t="inlineStr">
        <is>
          <t>N/A</t>
        </is>
      </c>
      <c r="R207" s="97" t="inlineStr">
        <is>
          <t>N</t>
        </is>
      </c>
      <c r="S207" s="97" t="n">
        <v>-10.9</v>
      </c>
      <c r="T207" s="97" t="n">
        <v>0.3</v>
      </c>
      <c r="U207" s="97" t="inlineStr">
        <is>
          <t>Y</t>
        </is>
      </c>
      <c r="V207" s="97" t="n">
        <v>29.2</v>
      </c>
      <c r="W207" s="97" t="inlineStr">
        <is>
          <t>N/A</t>
        </is>
      </c>
      <c r="X207" s="97" t="n">
        <v>1.58</v>
      </c>
      <c r="Y207" s="97" t="n">
        <v>65.40000000000001</v>
      </c>
      <c r="Z207" s="97" t="n">
        <v>4</v>
      </c>
      <c r="AA207" s="92" t="inlineStr">
        <is>
          <t>AVOID</t>
        </is>
      </c>
    </row>
    <row r="208">
      <c r="A208" s="99" t="inlineStr">
        <is>
          <t>ASHOKLEY</t>
        </is>
      </c>
      <c r="B208" s="99" t="inlineStr">
        <is>
          <t>Ashok Leyland Ltd.</t>
        </is>
      </c>
      <c r="C208" s="99" t="inlineStr">
        <is>
          <t>Capital Goods</t>
        </is>
      </c>
      <c r="D208" s="99" t="inlineStr">
        <is>
          <t>Large/Midcap</t>
        </is>
      </c>
      <c r="E208" s="99" t="n">
        <v>155.06</v>
      </c>
      <c r="F208" s="99" t="n">
        <v>2.64</v>
      </c>
      <c r="G208" s="99" t="n">
        <v>9544585</v>
      </c>
      <c r="H208" s="99" t="n">
        <v>0.9399999999999999</v>
      </c>
      <c r="I208" s="99" t="n">
        <v>91080</v>
      </c>
      <c r="J208" s="99" t="inlineStr">
        <is>
          <t>Y</t>
        </is>
      </c>
      <c r="K208" s="99" t="inlineStr">
        <is>
          <t>Y</t>
        </is>
      </c>
      <c r="L208" s="99" t="inlineStr">
        <is>
          <t>N</t>
        </is>
      </c>
      <c r="M208" s="99" t="n">
        <v>34.5</v>
      </c>
      <c r="N208" s="99" t="inlineStr">
        <is>
          <t>N</t>
        </is>
      </c>
      <c r="O208" s="99" t="n">
        <v>4.08</v>
      </c>
      <c r="P208" s="99" t="inlineStr">
        <is>
          <t>N</t>
        </is>
      </c>
      <c r="Q208" s="99" t="inlineStr">
        <is>
          <t>N/A</t>
        </is>
      </c>
      <c r="R208" s="99" t="inlineStr">
        <is>
          <t>N</t>
        </is>
      </c>
      <c r="S208" s="99" t="n">
        <v>-3.2</v>
      </c>
      <c r="T208" s="99" t="n">
        <v>-2.3</v>
      </c>
      <c r="U208" s="99" t="inlineStr">
        <is>
          <t>N</t>
        </is>
      </c>
      <c r="V208" s="99" t="n">
        <v>25.6</v>
      </c>
      <c r="W208" s="99" t="n">
        <v>21.6</v>
      </c>
      <c r="X208" s="99" t="n">
        <v>344.74</v>
      </c>
      <c r="Y208" s="99" t="n">
        <v>58.7</v>
      </c>
      <c r="Z208" s="99" t="n">
        <v>4</v>
      </c>
      <c r="AA208" s="94" t="inlineStr">
        <is>
          <t>AVOID</t>
        </is>
      </c>
    </row>
    <row r="209">
      <c r="A209" s="97" t="inlineStr">
        <is>
          <t>BAJAJ-AUTO</t>
        </is>
      </c>
      <c r="B209" s="97" t="inlineStr">
        <is>
          <t>Bajaj Auto Ltd.</t>
        </is>
      </c>
      <c r="C209" s="97" t="inlineStr">
        <is>
          <t>Automobile and Auto Components</t>
        </is>
      </c>
      <c r="D209" s="97" t="inlineStr">
        <is>
          <t>Large/Midcap</t>
        </is>
      </c>
      <c r="E209" s="97" t="n">
        <v>11130</v>
      </c>
      <c r="F209" s="97" t="n">
        <v>-1.36</v>
      </c>
      <c r="G209" s="97" t="n">
        <v>442440</v>
      </c>
      <c r="H209" s="97" t="n">
        <v>0.4</v>
      </c>
      <c r="I209" s="97" t="n">
        <v>307074</v>
      </c>
      <c r="J209" s="97" t="inlineStr">
        <is>
          <t>Y</t>
        </is>
      </c>
      <c r="K209" s="97" t="inlineStr">
        <is>
          <t>Y</t>
        </is>
      </c>
      <c r="L209" s="97" t="inlineStr">
        <is>
          <t>Y</t>
        </is>
      </c>
      <c r="M209" s="97" t="n">
        <v>76.2</v>
      </c>
      <c r="N209" s="97" t="inlineStr">
        <is>
          <t>N</t>
        </is>
      </c>
      <c r="O209" s="97" t="n">
        <v>247.79</v>
      </c>
      <c r="P209" s="97" t="inlineStr">
        <is>
          <t>N</t>
        </is>
      </c>
      <c r="Q209" s="97" t="inlineStr">
        <is>
          <t>N/A</t>
        </is>
      </c>
      <c r="R209" s="97" t="inlineStr">
        <is>
          <t>N</t>
        </is>
      </c>
      <c r="S209" s="97" t="n">
        <v>13.3</v>
      </c>
      <c r="T209" s="97" t="n">
        <v>18.7</v>
      </c>
      <c r="U209" s="97" t="inlineStr">
        <is>
          <t>Y</t>
        </is>
      </c>
      <c r="V209" s="97" t="n">
        <v>26.6</v>
      </c>
      <c r="W209" s="97" t="inlineStr">
        <is>
          <t>N/A</t>
        </is>
      </c>
      <c r="X209" s="97" t="n">
        <v>56.35</v>
      </c>
      <c r="Y209" s="97" t="n">
        <v>-11.9</v>
      </c>
      <c r="Z209" s="97" t="n">
        <v>4</v>
      </c>
      <c r="AA209" s="92" t="inlineStr">
        <is>
          <t>AVOID</t>
        </is>
      </c>
    </row>
    <row r="210">
      <c r="A210" s="99" t="inlineStr">
        <is>
          <t>BAJAJHLDNG</t>
        </is>
      </c>
      <c r="B210" s="99" t="inlineStr">
        <is>
          <t>Bajaj Holdings &amp; Investment Ltd.</t>
        </is>
      </c>
      <c r="C210" s="99" t="inlineStr">
        <is>
          <t>Financial Services</t>
        </is>
      </c>
      <c r="D210" s="99" t="inlineStr">
        <is>
          <t>Large/Midcap</t>
        </is>
      </c>
      <c r="E210" s="99" t="n">
        <v>10679</v>
      </c>
      <c r="F210" s="99" t="n">
        <v>0.4</v>
      </c>
      <c r="G210" s="99" t="n">
        <v>73470</v>
      </c>
      <c r="H210" s="99" t="n">
        <v>0.85</v>
      </c>
      <c r="I210" s="99" t="n">
        <v>120308</v>
      </c>
      <c r="J210" s="99" t="inlineStr">
        <is>
          <t>Y</t>
        </is>
      </c>
      <c r="K210" s="99" t="inlineStr">
        <is>
          <t>Y</t>
        </is>
      </c>
      <c r="L210" s="99" t="inlineStr">
        <is>
          <t>N</t>
        </is>
      </c>
      <c r="M210" s="99" t="n">
        <v>46.2</v>
      </c>
      <c r="N210" s="99" t="inlineStr">
        <is>
          <t>N</t>
        </is>
      </c>
      <c r="O210" s="99" t="n">
        <v>278.5</v>
      </c>
      <c r="P210" s="99" t="inlineStr">
        <is>
          <t>N</t>
        </is>
      </c>
      <c r="Q210" s="99" t="inlineStr">
        <is>
          <t>N/A</t>
        </is>
      </c>
      <c r="R210" s="99" t="inlineStr">
        <is>
          <t>N</t>
        </is>
      </c>
      <c r="S210" s="99" t="n">
        <v>2.3</v>
      </c>
      <c r="T210" s="99" t="n">
        <v>5.3</v>
      </c>
      <c r="U210" s="99" t="inlineStr">
        <is>
          <t>Y</t>
        </is>
      </c>
      <c r="V210" s="99" t="n">
        <v>12.5</v>
      </c>
      <c r="W210" s="99" t="n">
        <v>12.6</v>
      </c>
      <c r="X210" s="99" t="n">
        <v>0.01</v>
      </c>
      <c r="Y210" s="99" t="n">
        <v>27.7</v>
      </c>
      <c r="Z210" s="99" t="n">
        <v>4</v>
      </c>
      <c r="AA210" s="94" t="inlineStr">
        <is>
          <t>AVOID</t>
        </is>
      </c>
    </row>
    <row r="211">
      <c r="A211" s="97" t="inlineStr">
        <is>
          <t>BSE</t>
        </is>
      </c>
      <c r="B211" s="97" t="inlineStr">
        <is>
          <t>BSE Ltd.</t>
        </is>
      </c>
      <c r="C211" s="97" t="inlineStr">
        <is>
          <t>Financial Services</t>
        </is>
      </c>
      <c r="D211" s="97" t="inlineStr">
        <is>
          <t>Large/Midcap</t>
        </is>
      </c>
      <c r="E211" s="97" t="n">
        <v>3536.8</v>
      </c>
      <c r="F211" s="97" t="n">
        <v>-0.36</v>
      </c>
      <c r="G211" s="97" t="n">
        <v>2557303</v>
      </c>
      <c r="H211" s="97" t="n">
        <v>1.64</v>
      </c>
      <c r="I211" s="97" t="n">
        <v>144260</v>
      </c>
      <c r="J211" s="97" t="inlineStr">
        <is>
          <t>Y</t>
        </is>
      </c>
      <c r="K211" s="97" t="inlineStr">
        <is>
          <t>N</t>
        </is>
      </c>
      <c r="L211" s="97" t="inlineStr">
        <is>
          <t>Y</t>
        </is>
      </c>
      <c r="M211" s="97" t="n">
        <v>38.1</v>
      </c>
      <c r="N211" s="97" t="inlineStr">
        <is>
          <t>N</t>
        </is>
      </c>
      <c r="O211" s="97" t="n">
        <v>91.25</v>
      </c>
      <c r="P211" s="97" t="inlineStr">
        <is>
          <t>N</t>
        </is>
      </c>
      <c r="Q211" s="97" t="inlineStr">
        <is>
          <t>N/A</t>
        </is>
      </c>
      <c r="R211" s="97" t="inlineStr">
        <is>
          <t>N</t>
        </is>
      </c>
      <c r="S211" s="97" t="n">
        <v>-8.199999999999999</v>
      </c>
      <c r="T211" s="97" t="n">
        <v>-2.2</v>
      </c>
      <c r="U211" s="97" t="inlineStr">
        <is>
          <t>N</t>
        </is>
      </c>
      <c r="V211" s="97" t="n">
        <v>58.8</v>
      </c>
      <c r="W211" s="97" t="n">
        <v>36</v>
      </c>
      <c r="X211" s="97" t="n">
        <v>0</v>
      </c>
      <c r="Y211" s="97" t="n">
        <v>32.5</v>
      </c>
      <c r="Z211" s="97" t="n">
        <v>4</v>
      </c>
      <c r="AA211" s="92" t="inlineStr">
        <is>
          <t>AVOID</t>
        </is>
      </c>
    </row>
    <row r="212">
      <c r="A212" s="99" t="inlineStr">
        <is>
          <t>BANKINDIA</t>
        </is>
      </c>
      <c r="B212" s="99" t="inlineStr">
        <is>
          <t>Bank of India</t>
        </is>
      </c>
      <c r="C212" s="99" t="inlineStr">
        <is>
          <t>Financial Services</t>
        </is>
      </c>
      <c r="D212" s="99" t="inlineStr">
        <is>
          <t>Large/Midcap</t>
        </is>
      </c>
      <c r="E212" s="99" t="n">
        <v>137.87</v>
      </c>
      <c r="F212" s="99" t="n">
        <v>-3.33</v>
      </c>
      <c r="G212" s="99" t="n">
        <v>26282058</v>
      </c>
      <c r="H212" s="99" t="n">
        <v>3.4</v>
      </c>
      <c r="I212" s="99" t="n">
        <v>62768</v>
      </c>
      <c r="J212" s="99" t="inlineStr">
        <is>
          <t>Y</t>
        </is>
      </c>
      <c r="K212" s="99" t="inlineStr">
        <is>
          <t>N</t>
        </is>
      </c>
      <c r="L212" s="99" t="inlineStr">
        <is>
          <t>N</t>
        </is>
      </c>
      <c r="M212" s="99" t="n">
        <v>44.4</v>
      </c>
      <c r="N212" s="99" t="inlineStr">
        <is>
          <t>N</t>
        </is>
      </c>
      <c r="O212" s="99" t="n">
        <v>4.86</v>
      </c>
      <c r="P212" s="99" t="inlineStr">
        <is>
          <t>Y</t>
        </is>
      </c>
      <c r="Q212" s="99" t="inlineStr">
        <is>
          <t>N/A</t>
        </is>
      </c>
      <c r="R212" s="99" t="inlineStr">
        <is>
          <t>N</t>
        </is>
      </c>
      <c r="S212" s="99" t="n">
        <v>-4.5</v>
      </c>
      <c r="T212" s="99" t="n">
        <v>2.2</v>
      </c>
      <c r="U212" s="99" t="inlineStr">
        <is>
          <t>Y</t>
        </is>
      </c>
      <c r="V212" s="99" t="n">
        <v>5.3</v>
      </c>
      <c r="W212" s="99" t="n">
        <v>12.1</v>
      </c>
      <c r="X212" s="99" t="inlineStr">
        <is>
          <t>N/A</t>
        </is>
      </c>
      <c r="Y212" s="99" t="n">
        <v>7</v>
      </c>
      <c r="Z212" s="99" t="n">
        <v>4</v>
      </c>
      <c r="AA212" s="94" t="inlineStr">
        <is>
          <t>AVOID</t>
        </is>
      </c>
    </row>
    <row r="213">
      <c r="A213" s="97" t="inlineStr">
        <is>
          <t>BERGEPAINT</t>
        </is>
      </c>
      <c r="B213" s="97" t="inlineStr">
        <is>
          <t>Berger Paints India Ltd.</t>
        </is>
      </c>
      <c r="C213" s="97" t="inlineStr">
        <is>
          <t>Consumer Durables</t>
        </is>
      </c>
      <c r="D213" s="97" t="inlineStr">
        <is>
          <t>Large/Midcap</t>
        </is>
      </c>
      <c r="E213" s="97" t="n">
        <v>497.95</v>
      </c>
      <c r="F213" s="97" t="n">
        <v>0.88</v>
      </c>
      <c r="G213" s="97" t="n">
        <v>99047</v>
      </c>
      <c r="H213" s="97" t="n">
        <v>0.31</v>
      </c>
      <c r="I213" s="97" t="n">
        <v>58767</v>
      </c>
      <c r="J213" s="97" t="inlineStr">
        <is>
          <t>Y</t>
        </is>
      </c>
      <c r="K213" s="97" t="inlineStr">
        <is>
          <t>N</t>
        </is>
      </c>
      <c r="L213" s="97" t="inlineStr">
        <is>
          <t>N</t>
        </is>
      </c>
      <c r="M213" s="97" t="n">
        <v>35.6</v>
      </c>
      <c r="N213" s="97" t="inlineStr">
        <is>
          <t>N</t>
        </is>
      </c>
      <c r="O213" s="97" t="n">
        <v>13.09</v>
      </c>
      <c r="P213" s="97" t="inlineStr">
        <is>
          <t>N</t>
        </is>
      </c>
      <c r="Q213" s="97" t="inlineStr">
        <is>
          <t>N/A</t>
        </is>
      </c>
      <c r="R213" s="97" t="inlineStr">
        <is>
          <t>N</t>
        </is>
      </c>
      <c r="S213" s="97" t="n">
        <v>-7.3</v>
      </c>
      <c r="T213" s="97" t="n">
        <v>7.8</v>
      </c>
      <c r="U213" s="97" t="inlineStr">
        <is>
          <t>Y</t>
        </is>
      </c>
      <c r="V213" s="97" t="n">
        <v>52.2</v>
      </c>
      <c r="W213" s="97" t="n">
        <v>17.2</v>
      </c>
      <c r="X213" s="97" t="n">
        <v>9.16</v>
      </c>
      <c r="Y213" s="97" t="n">
        <v>23.5</v>
      </c>
      <c r="Z213" s="97" t="n">
        <v>4</v>
      </c>
      <c r="AA213" s="92" t="inlineStr">
        <is>
          <t>AVOID</t>
        </is>
      </c>
    </row>
    <row r="214">
      <c r="A214" s="99" t="inlineStr">
        <is>
          <t>MAHABANK</t>
        </is>
      </c>
      <c r="B214" s="99" t="inlineStr">
        <is>
          <t>Bank of Maharashtra</t>
        </is>
      </c>
      <c r="C214" s="99" t="inlineStr">
        <is>
          <t>Financial Services</t>
        </is>
      </c>
      <c r="D214" s="99" t="inlineStr">
        <is>
          <t>Large/Midcap</t>
        </is>
      </c>
      <c r="E214" s="99" t="n">
        <v>81.03</v>
      </c>
      <c r="F214" s="99" t="n">
        <v>3.25</v>
      </c>
      <c r="G214" s="99" t="n">
        <v>18251458</v>
      </c>
      <c r="H214" s="99" t="n">
        <v>1.73</v>
      </c>
      <c r="I214" s="99" t="n">
        <v>62017</v>
      </c>
      <c r="J214" s="99" t="inlineStr">
        <is>
          <t>Y</t>
        </is>
      </c>
      <c r="K214" s="99" t="inlineStr">
        <is>
          <t>N</t>
        </is>
      </c>
      <c r="L214" s="99" t="inlineStr">
        <is>
          <t>Y</t>
        </is>
      </c>
      <c r="M214" s="99" t="n">
        <v>38.4</v>
      </c>
      <c r="N214" s="99" t="inlineStr">
        <is>
          <t>N</t>
        </is>
      </c>
      <c r="O214" s="99" t="n">
        <v>2.74</v>
      </c>
      <c r="P214" s="99" t="inlineStr">
        <is>
          <t>N</t>
        </is>
      </c>
      <c r="Q214" s="99" t="inlineStr">
        <is>
          <t>N/A</t>
        </is>
      </c>
      <c r="R214" s="99" t="inlineStr">
        <is>
          <t>N</t>
        </is>
      </c>
      <c r="S214" s="99" t="n">
        <v>-8.4</v>
      </c>
      <c r="T214" s="99" t="n">
        <v>3.7</v>
      </c>
      <c r="U214" s="99" t="inlineStr">
        <is>
          <t>Y</t>
        </is>
      </c>
      <c r="V214" s="99" t="n">
        <v>8.199999999999999</v>
      </c>
      <c r="W214" s="99" t="n">
        <v>23</v>
      </c>
      <c r="X214" s="99" t="inlineStr">
        <is>
          <t>N/A</t>
        </is>
      </c>
      <c r="Y214" s="99" t="n">
        <v>-1.1</v>
      </c>
      <c r="Z214" s="99" t="n">
        <v>4</v>
      </c>
      <c r="AA214" s="94" t="inlineStr">
        <is>
          <t>AVOID</t>
        </is>
      </c>
    </row>
    <row r="215">
      <c r="A215" s="97" t="inlineStr">
        <is>
          <t>BPCL</t>
        </is>
      </c>
      <c r="B215" s="97" t="inlineStr">
        <is>
          <t>Bharat Petroleum Corporation Ltd.</t>
        </is>
      </c>
      <c r="C215" s="97" t="inlineStr">
        <is>
          <t>Oil Gas &amp; Consumable Fuels</t>
        </is>
      </c>
      <c r="D215" s="97" t="inlineStr">
        <is>
          <t>Large/Midcap</t>
        </is>
      </c>
      <c r="E215" s="97" t="n">
        <v>310.15</v>
      </c>
      <c r="F215" s="97" t="n">
        <v>0.1</v>
      </c>
      <c r="G215" s="97" t="n">
        <v>5796307</v>
      </c>
      <c r="H215" s="97" t="n">
        <v>0.63</v>
      </c>
      <c r="I215" s="97" t="n">
        <v>135120</v>
      </c>
      <c r="J215" s="97" t="inlineStr">
        <is>
          <t>Y</t>
        </is>
      </c>
      <c r="K215" s="97" t="inlineStr">
        <is>
          <t>Y</t>
        </is>
      </c>
      <c r="L215" s="97" t="inlineStr">
        <is>
          <t>N</t>
        </is>
      </c>
      <c r="M215" s="97" t="n">
        <v>52</v>
      </c>
      <c r="N215" s="97" t="inlineStr">
        <is>
          <t>Y</t>
        </is>
      </c>
      <c r="O215" s="97" t="n">
        <v>8.470000000000001</v>
      </c>
      <c r="P215" s="97" t="inlineStr">
        <is>
          <t>N</t>
        </is>
      </c>
      <c r="Q215" s="97" t="inlineStr">
        <is>
          <t>N/A</t>
        </is>
      </c>
      <c r="R215" s="97" t="inlineStr">
        <is>
          <t>N</t>
        </is>
      </c>
      <c r="S215" s="97" t="n">
        <v>0.4</v>
      </c>
      <c r="T215" s="97" t="n">
        <v>2.5</v>
      </c>
      <c r="U215" s="97" t="inlineStr">
        <is>
          <t>Y</t>
        </is>
      </c>
      <c r="V215" s="97" t="n">
        <v>7.9</v>
      </c>
      <c r="W215" s="97" t="inlineStr">
        <is>
          <t>N/A</t>
        </is>
      </c>
      <c r="X215" s="97" t="n">
        <v>54.33</v>
      </c>
      <c r="Y215" s="97" t="n">
        <v>-133.3</v>
      </c>
      <c r="Z215" s="97" t="n">
        <v>4</v>
      </c>
      <c r="AA215" s="92" t="inlineStr">
        <is>
          <t>AVOID</t>
        </is>
      </c>
    </row>
    <row r="216">
      <c r="A216" s="99" t="inlineStr">
        <is>
          <t>BHARTIHEXA</t>
        </is>
      </c>
      <c r="B216" s="99" t="inlineStr">
        <is>
          <t>Bharti Hexacom Ltd.</t>
        </is>
      </c>
      <c r="C216" s="99" t="inlineStr">
        <is>
          <t>Telecommunication</t>
        </is>
      </c>
      <c r="D216" s="99" t="inlineStr">
        <is>
          <t>Large/Midcap</t>
        </is>
      </c>
      <c r="E216" s="99" t="n">
        <v>1607.6</v>
      </c>
      <c r="F216" s="99" t="n">
        <v>-0.02</v>
      </c>
      <c r="G216" s="99" t="n">
        <v>61953</v>
      </c>
      <c r="H216" s="99" t="n">
        <v>0.55</v>
      </c>
      <c r="I216" s="99" t="n">
        <v>80715</v>
      </c>
      <c r="J216" s="99" t="inlineStr">
        <is>
          <t>Y</t>
        </is>
      </c>
      <c r="K216" s="99" t="inlineStr">
        <is>
          <t>Y</t>
        </is>
      </c>
      <c r="L216" s="99" t="inlineStr">
        <is>
          <t>N</t>
        </is>
      </c>
      <c r="M216" s="99" t="n">
        <v>71.3</v>
      </c>
      <c r="N216" s="99" t="inlineStr">
        <is>
          <t>N</t>
        </is>
      </c>
      <c r="O216" s="99" t="n">
        <v>48.96</v>
      </c>
      <c r="P216" s="99" t="inlineStr">
        <is>
          <t>N</t>
        </is>
      </c>
      <c r="Q216" s="99" t="inlineStr">
        <is>
          <t>N/A</t>
        </is>
      </c>
      <c r="R216" s="99" t="inlineStr">
        <is>
          <t>N</t>
        </is>
      </c>
      <c r="S216" s="99" t="n">
        <v>9.1</v>
      </c>
      <c r="T216" s="99" t="n">
        <v>5.7</v>
      </c>
      <c r="U216" s="99" t="inlineStr">
        <is>
          <t>Y</t>
        </is>
      </c>
      <c r="V216" s="99" t="n">
        <v>46.5</v>
      </c>
      <c r="W216" s="99" t="n">
        <v>26.5</v>
      </c>
      <c r="X216" s="99" t="n">
        <v>85.65000000000001</v>
      </c>
      <c r="Y216" s="99" t="n">
        <v>-5.7</v>
      </c>
      <c r="Z216" s="99" t="n">
        <v>4</v>
      </c>
      <c r="AA216" s="94" t="inlineStr">
        <is>
          <t>AVOID</t>
        </is>
      </c>
    </row>
    <row r="217">
      <c r="A217" s="97" t="inlineStr">
        <is>
          <t>GROWW</t>
        </is>
      </c>
      <c r="B217" s="97" t="inlineStr">
        <is>
          <t>Billionbrains Garage Ventures Ltd.</t>
        </is>
      </c>
      <c r="C217" s="97" t="inlineStr">
        <is>
          <t>Financial Services</t>
        </is>
      </c>
      <c r="D217" s="97" t="inlineStr">
        <is>
          <t>Large/Midcap</t>
        </is>
      </c>
      <c r="E217" s="97" t="n">
        <v>199.38</v>
      </c>
      <c r="F217" s="97" t="n">
        <v>-1.37</v>
      </c>
      <c r="G217" s="97" t="n">
        <v>25644994</v>
      </c>
      <c r="H217" s="97" t="n">
        <v>1.59</v>
      </c>
      <c r="I217" s="97" t="n">
        <v>123448</v>
      </c>
      <c r="J217" s="97" t="inlineStr">
        <is>
          <t>Y</t>
        </is>
      </c>
      <c r="K217" s="97" t="inlineStr">
        <is>
          <t>Y</t>
        </is>
      </c>
      <c r="L217" s="97" t="inlineStr">
        <is>
          <t>N/A</t>
        </is>
      </c>
      <c r="M217" s="97" t="n">
        <v>55</v>
      </c>
      <c r="N217" s="97" t="inlineStr">
        <is>
          <t>Y</t>
        </is>
      </c>
      <c r="O217" s="97" t="n">
        <v>8.19</v>
      </c>
      <c r="P217" s="97" t="inlineStr">
        <is>
          <t>N</t>
        </is>
      </c>
      <c r="Q217" s="97" t="inlineStr">
        <is>
          <t>N/A</t>
        </is>
      </c>
      <c r="R217" s="97" t="inlineStr">
        <is>
          <t>N</t>
        </is>
      </c>
      <c r="S217" s="97" t="n">
        <v>0</v>
      </c>
      <c r="T217" s="97" t="n">
        <v>-6.9</v>
      </c>
      <c r="U217" s="97" t="inlineStr">
        <is>
          <t>N</t>
        </is>
      </c>
      <c r="V217" s="97" t="n">
        <v>51.3</v>
      </c>
      <c r="W217" s="97" t="inlineStr">
        <is>
          <t>N/A</t>
        </is>
      </c>
      <c r="X217" s="97" t="n">
        <v>3.03</v>
      </c>
      <c r="Y217" s="97" t="n">
        <v>7.1</v>
      </c>
      <c r="Z217" s="97" t="n">
        <v>4</v>
      </c>
      <c r="AA217" s="92" t="inlineStr">
        <is>
          <t>AVOID</t>
        </is>
      </c>
    </row>
    <row r="218">
      <c r="A218" s="99" t="inlineStr">
        <is>
          <t>CANBK</t>
        </is>
      </c>
      <c r="B218" s="99" t="inlineStr">
        <is>
          <t>Canara Bank</t>
        </is>
      </c>
      <c r="C218" s="99" t="inlineStr">
        <is>
          <t>Financial Services</t>
        </is>
      </c>
      <c r="D218" s="99" t="inlineStr">
        <is>
          <t>Large/Midcap</t>
        </is>
      </c>
      <c r="E218" s="99" t="n">
        <v>127.26</v>
      </c>
      <c r="F218" s="99" t="n">
        <v>1.28</v>
      </c>
      <c r="G218" s="99" t="n">
        <v>48778366</v>
      </c>
      <c r="H218" s="99" t="n">
        <v>2.29</v>
      </c>
      <c r="I218" s="99" t="n">
        <v>115433</v>
      </c>
      <c r="J218" s="99" t="inlineStr">
        <is>
          <t>Y</t>
        </is>
      </c>
      <c r="K218" s="99" t="inlineStr">
        <is>
          <t>N</t>
        </is>
      </c>
      <c r="L218" s="99" t="inlineStr">
        <is>
          <t>N</t>
        </is>
      </c>
      <c r="M218" s="99" t="n">
        <v>54.1</v>
      </c>
      <c r="N218" s="99" t="inlineStr">
        <is>
          <t>Y</t>
        </is>
      </c>
      <c r="O218" s="99" t="n">
        <v>3.57</v>
      </c>
      <c r="P218" s="99" t="inlineStr">
        <is>
          <t>Y</t>
        </is>
      </c>
      <c r="Q218" s="99" t="inlineStr">
        <is>
          <t>N/A</t>
        </is>
      </c>
      <c r="R218" s="99" t="inlineStr">
        <is>
          <t>N</t>
        </is>
      </c>
      <c r="S218" s="99" t="n">
        <v>-1.1</v>
      </c>
      <c r="T218" s="99" t="n">
        <v>-2</v>
      </c>
      <c r="U218" s="99" t="inlineStr">
        <is>
          <t>N</t>
        </is>
      </c>
      <c r="V218" s="99" t="n">
        <v>5.8</v>
      </c>
      <c r="W218" s="99" t="n">
        <v>15.9</v>
      </c>
      <c r="X218" s="99" t="inlineStr">
        <is>
          <t>N/A</t>
        </is>
      </c>
      <c r="Y218" s="99" t="n">
        <v>-12.9</v>
      </c>
      <c r="Z218" s="99" t="n">
        <v>4</v>
      </c>
      <c r="AA218" s="94" t="inlineStr">
        <is>
          <t>AVOID</t>
        </is>
      </c>
    </row>
    <row r="219">
      <c r="A219" s="97" t="inlineStr">
        <is>
          <t>CANHLIFE</t>
        </is>
      </c>
      <c r="B219" s="97" t="inlineStr">
        <is>
          <t>Canara HSBC Life Insurance Company Ltd.</t>
        </is>
      </c>
      <c r="C219" s="97" t="inlineStr">
        <is>
          <t>Financial Services</t>
        </is>
      </c>
      <c r="D219" s="97" t="inlineStr">
        <is>
          <t>NSE Smallcap</t>
        </is>
      </c>
      <c r="E219" s="97" t="n">
        <v>145.01</v>
      </c>
      <c r="F219" s="97" t="n">
        <v>-1.56</v>
      </c>
      <c r="G219" s="97" t="n">
        <v>488467</v>
      </c>
      <c r="H219" s="97" t="n">
        <v>0.38</v>
      </c>
      <c r="I219" s="97" t="n">
        <v>13739</v>
      </c>
      <c r="J219" s="97" t="inlineStr">
        <is>
          <t>Y</t>
        </is>
      </c>
      <c r="K219" s="97" t="inlineStr">
        <is>
          <t>Y</t>
        </is>
      </c>
      <c r="L219" s="97" t="inlineStr">
        <is>
          <t>N/A</t>
        </is>
      </c>
      <c r="M219" s="97" t="n">
        <v>52.7</v>
      </c>
      <c r="N219" s="97" t="inlineStr">
        <is>
          <t>Y</t>
        </is>
      </c>
      <c r="O219" s="97" t="n">
        <v>6.47</v>
      </c>
      <c r="P219" s="97" t="inlineStr">
        <is>
          <t>N</t>
        </is>
      </c>
      <c r="Q219" s="97" t="inlineStr">
        <is>
          <t>N/A</t>
        </is>
      </c>
      <c r="R219" s="97" t="inlineStr">
        <is>
          <t>N</t>
        </is>
      </c>
      <c r="S219" s="97" t="n">
        <v>7.8</v>
      </c>
      <c r="T219" s="97" t="n">
        <v>3</v>
      </c>
      <c r="U219" s="97" t="inlineStr">
        <is>
          <t>Y</t>
        </is>
      </c>
      <c r="V219" s="97" t="n">
        <v>106.6</v>
      </c>
      <c r="W219" s="97" t="n">
        <v>8.300000000000001</v>
      </c>
      <c r="X219" s="97" t="n">
        <v>15.3</v>
      </c>
      <c r="Y219" s="97" t="n">
        <v>-19</v>
      </c>
      <c r="Z219" s="97" t="n">
        <v>4</v>
      </c>
      <c r="AA219" s="92" t="inlineStr">
        <is>
          <t>AVOID</t>
        </is>
      </c>
    </row>
    <row r="220">
      <c r="A220" s="99" t="inlineStr">
        <is>
          <t>CDSL</t>
        </is>
      </c>
      <c r="B220" s="99" t="inlineStr">
        <is>
          <t>Central Depository Services (India) Ltd.</t>
        </is>
      </c>
      <c r="C220" s="99" t="inlineStr">
        <is>
          <t>Financial Services</t>
        </is>
      </c>
      <c r="D220" s="99" t="inlineStr">
        <is>
          <t>NSE Smallcap</t>
        </is>
      </c>
      <c r="E220" s="99" t="n">
        <v>1329</v>
      </c>
      <c r="F220" s="99" t="n">
        <v>-0.31</v>
      </c>
      <c r="G220" s="99" t="n">
        <v>835504</v>
      </c>
      <c r="H220" s="99" t="n">
        <v>0.71</v>
      </c>
      <c r="I220" s="99" t="n">
        <v>27776</v>
      </c>
      <c r="J220" s="99" t="inlineStr">
        <is>
          <t>Y</t>
        </is>
      </c>
      <c r="K220" s="99" t="inlineStr">
        <is>
          <t>Y</t>
        </is>
      </c>
      <c r="L220" s="99" t="inlineStr">
        <is>
          <t>N</t>
        </is>
      </c>
      <c r="M220" s="99" t="n">
        <v>47.4</v>
      </c>
      <c r="N220" s="99" t="inlineStr">
        <is>
          <t>N</t>
        </is>
      </c>
      <c r="O220" s="99" t="n">
        <v>39.79</v>
      </c>
      <c r="P220" s="99" t="inlineStr">
        <is>
          <t>N</t>
        </is>
      </c>
      <c r="Q220" s="99" t="inlineStr">
        <is>
          <t>N/A</t>
        </is>
      </c>
      <c r="R220" s="99" t="inlineStr">
        <is>
          <t>N</t>
        </is>
      </c>
      <c r="S220" s="99" t="n">
        <v>2.1</v>
      </c>
      <c r="T220" s="99" t="n">
        <v>5.8</v>
      </c>
      <c r="U220" s="99" t="inlineStr">
        <is>
          <t>Y</t>
        </is>
      </c>
      <c r="V220" s="99" t="n">
        <v>61</v>
      </c>
      <c r="W220" s="99" t="n">
        <v>23.9</v>
      </c>
      <c r="X220" s="99" t="n">
        <v>0.11</v>
      </c>
      <c r="Y220" s="99" t="n">
        <v>-39.8</v>
      </c>
      <c r="Z220" s="99" t="n">
        <v>4</v>
      </c>
      <c r="AA220" s="94" t="inlineStr">
        <is>
          <t>AVOID</t>
        </is>
      </c>
    </row>
    <row r="221">
      <c r="A221" s="97" t="inlineStr">
        <is>
          <t>COALINDIA</t>
        </is>
      </c>
      <c r="B221" s="97" t="inlineStr">
        <is>
          <t>Coal India Ltd.</t>
        </is>
      </c>
      <c r="C221" s="97" t="inlineStr">
        <is>
          <t>Oil Gas &amp; Consumable Fuels</t>
        </is>
      </c>
      <c r="D221" s="97" t="inlineStr">
        <is>
          <t>Large/Midcap</t>
        </is>
      </c>
      <c r="E221" s="97" t="n">
        <v>427.5</v>
      </c>
      <c r="F221" s="97" t="n">
        <v>0.02</v>
      </c>
      <c r="G221" s="97" t="n">
        <v>5241433</v>
      </c>
      <c r="H221" s="97" t="n">
        <v>0.92</v>
      </c>
      <c r="I221" s="97" t="n">
        <v>263457</v>
      </c>
      <c r="J221" s="97" t="inlineStr">
        <is>
          <t>Y</t>
        </is>
      </c>
      <c r="K221" s="97" t="inlineStr">
        <is>
          <t>N</t>
        </is>
      </c>
      <c r="L221" s="97" t="inlineStr">
        <is>
          <t>Y</t>
        </is>
      </c>
      <c r="M221" s="97" t="n">
        <v>45.1</v>
      </c>
      <c r="N221" s="97" t="inlineStr">
        <is>
          <t>N</t>
        </is>
      </c>
      <c r="O221" s="97" t="n">
        <v>5.67</v>
      </c>
      <c r="P221" s="97" t="inlineStr">
        <is>
          <t>N</t>
        </is>
      </c>
      <c r="Q221" s="97" t="inlineStr">
        <is>
          <t>N/A</t>
        </is>
      </c>
      <c r="R221" s="97" t="inlineStr">
        <is>
          <t>N</t>
        </is>
      </c>
      <c r="S221" s="97" t="n">
        <v>-1.6</v>
      </c>
      <c r="T221" s="97" t="n">
        <v>-10.8</v>
      </c>
      <c r="U221" s="97" t="inlineStr">
        <is>
          <t>N</t>
        </is>
      </c>
      <c r="V221" s="97" t="n">
        <v>8.5</v>
      </c>
      <c r="W221" s="97" t="n">
        <v>28.1</v>
      </c>
      <c r="X221" s="97" t="n">
        <v>11.63</v>
      </c>
      <c r="Y221" s="97" t="n">
        <v>51.4</v>
      </c>
      <c r="Z221" s="97" t="n">
        <v>4</v>
      </c>
      <c r="AA221" s="92" t="inlineStr">
        <is>
          <t>AVOID</t>
        </is>
      </c>
    </row>
    <row r="222">
      <c r="A222" s="99" t="inlineStr">
        <is>
          <t>COROMANDEL</t>
        </is>
      </c>
      <c r="B222" s="99" t="inlineStr">
        <is>
          <t>Coromandel International Ltd.</t>
        </is>
      </c>
      <c r="C222" s="99" t="inlineStr">
        <is>
          <t>Chemicals</t>
        </is>
      </c>
      <c r="D222" s="99" t="inlineStr">
        <is>
          <t>Large/Midcap</t>
        </is>
      </c>
      <c r="E222" s="99" t="n">
        <v>2003.8</v>
      </c>
      <c r="F222" s="99" t="n">
        <v>1.16</v>
      </c>
      <c r="G222" s="99" t="n">
        <v>85074</v>
      </c>
      <c r="H222" s="99" t="n">
        <v>0.47</v>
      </c>
      <c r="I222" s="99" t="n">
        <v>59011</v>
      </c>
      <c r="J222" s="99" t="inlineStr">
        <is>
          <t>Y</t>
        </is>
      </c>
      <c r="K222" s="99" t="inlineStr">
        <is>
          <t>Y</t>
        </is>
      </c>
      <c r="L222" s="99" t="inlineStr">
        <is>
          <t>N</t>
        </is>
      </c>
      <c r="M222" s="99" t="n">
        <v>40.1</v>
      </c>
      <c r="N222" s="99" t="inlineStr">
        <is>
          <t>N</t>
        </is>
      </c>
      <c r="O222" s="99" t="n">
        <v>52.23</v>
      </c>
      <c r="P222" s="99" t="inlineStr">
        <is>
          <t>N</t>
        </is>
      </c>
      <c r="Q222" s="99" t="inlineStr">
        <is>
          <t>N/A</t>
        </is>
      </c>
      <c r="R222" s="99" t="inlineStr">
        <is>
          <t>N</t>
        </is>
      </c>
      <c r="S222" s="99" t="n">
        <v>0.5</v>
      </c>
      <c r="T222" s="99" t="n">
        <v>1.6</v>
      </c>
      <c r="U222" s="99" t="inlineStr">
        <is>
          <t>Y</t>
        </is>
      </c>
      <c r="V222" s="99" t="n">
        <v>31.8</v>
      </c>
      <c r="W222" s="99" t="inlineStr">
        <is>
          <t>N/A</t>
        </is>
      </c>
      <c r="X222" s="99" t="n">
        <v>11.47</v>
      </c>
      <c r="Y222" s="99" t="n">
        <v>172.2</v>
      </c>
      <c r="Z222" s="99" t="n">
        <v>4</v>
      </c>
      <c r="AA222" s="94" t="inlineStr">
        <is>
          <t>AVOID</t>
        </is>
      </c>
    </row>
    <row r="223">
      <c r="A223" s="97" t="inlineStr">
        <is>
          <t>DLF</t>
        </is>
      </c>
      <c r="B223" s="97" t="inlineStr">
        <is>
          <t>DLF Ltd.</t>
        </is>
      </c>
      <c r="C223" s="97" t="inlineStr">
        <is>
          <t>Realty</t>
        </is>
      </c>
      <c r="D223" s="97" t="inlineStr">
        <is>
          <t>Large/Midcap</t>
        </is>
      </c>
      <c r="E223" s="97" t="n">
        <v>637.2</v>
      </c>
      <c r="F223" s="97" t="n">
        <v>0.47</v>
      </c>
      <c r="G223" s="97" t="n">
        <v>2002254</v>
      </c>
      <c r="H223" s="97" t="n">
        <v>0.67</v>
      </c>
      <c r="I223" s="97" t="n">
        <v>161118</v>
      </c>
      <c r="J223" s="97" t="inlineStr">
        <is>
          <t>Y</t>
        </is>
      </c>
      <c r="K223" s="97" t="inlineStr">
        <is>
          <t>Y</t>
        </is>
      </c>
      <c r="L223" s="97" t="inlineStr">
        <is>
          <t>N</t>
        </is>
      </c>
      <c r="M223" s="97" t="n">
        <v>42.6</v>
      </c>
      <c r="N223" s="97" t="inlineStr">
        <is>
          <t>N</t>
        </is>
      </c>
      <c r="O223" s="97" t="n">
        <v>22.53</v>
      </c>
      <c r="P223" s="97" t="inlineStr">
        <is>
          <t>N</t>
        </is>
      </c>
      <c r="Q223" s="97" t="inlineStr">
        <is>
          <t>N/A</t>
        </is>
      </c>
      <c r="R223" s="97" t="inlineStr">
        <is>
          <t>N</t>
        </is>
      </c>
      <c r="S223" s="97" t="n">
        <v>4.1</v>
      </c>
      <c r="T223" s="97" t="n">
        <v>8.9</v>
      </c>
      <c r="U223" s="97" t="inlineStr">
        <is>
          <t>Y</t>
        </is>
      </c>
      <c r="V223" s="97" t="n">
        <v>36.5</v>
      </c>
      <c r="W223" s="97" t="n">
        <v>10</v>
      </c>
      <c r="X223" s="97" t="n">
        <v>0.67</v>
      </c>
      <c r="Y223" s="97" t="n">
        <v>5.4</v>
      </c>
      <c r="Z223" s="97" t="n">
        <v>4</v>
      </c>
      <c r="AA223" s="92" t="inlineStr">
        <is>
          <t>AVOID</t>
        </is>
      </c>
    </row>
    <row r="224">
      <c r="A224" s="99" t="inlineStr">
        <is>
          <t>DEEPAKFERT</t>
        </is>
      </c>
      <c r="B224" s="99" t="inlineStr">
        <is>
          <t>Deepak Fertilisers &amp; Petrochemicals Corp. Ltd.</t>
        </is>
      </c>
      <c r="C224" s="99" t="inlineStr">
        <is>
          <t>Chemicals</t>
        </is>
      </c>
      <c r="D224" s="99" t="inlineStr">
        <is>
          <t>BSE Smallcap</t>
        </is>
      </c>
      <c r="E224" s="99" t="n">
        <v>1573.2</v>
      </c>
      <c r="F224" s="99" t="n">
        <v>-0.45</v>
      </c>
      <c r="G224" s="99" t="n">
        <v>119918</v>
      </c>
      <c r="H224" s="99" t="n">
        <v>0.85</v>
      </c>
      <c r="I224" s="99" t="n">
        <v>20654</v>
      </c>
      <c r="J224" s="99" t="inlineStr">
        <is>
          <t>Y</t>
        </is>
      </c>
      <c r="K224" s="99" t="inlineStr">
        <is>
          <t>Y</t>
        </is>
      </c>
      <c r="L224" s="99" t="inlineStr">
        <is>
          <t>Y</t>
        </is>
      </c>
      <c r="M224" s="99" t="n">
        <v>44.4</v>
      </c>
      <c r="N224" s="99" t="inlineStr">
        <is>
          <t>N</t>
        </is>
      </c>
      <c r="O224" s="99" t="n">
        <v>51.02</v>
      </c>
      <c r="P224" s="99" t="inlineStr">
        <is>
          <t>N</t>
        </is>
      </c>
      <c r="Q224" s="99" t="inlineStr">
        <is>
          <t>N/A</t>
        </is>
      </c>
      <c r="R224" s="99" t="inlineStr">
        <is>
          <t>N</t>
        </is>
      </c>
      <c r="S224" s="99" t="n">
        <v>0.7</v>
      </c>
      <c r="T224" s="99" t="n">
        <v>27.3</v>
      </c>
      <c r="U224" s="99" t="inlineStr">
        <is>
          <t>Y</t>
        </is>
      </c>
      <c r="V224" s="99" t="n">
        <v>28</v>
      </c>
      <c r="W224" s="99" t="n">
        <v>10.8</v>
      </c>
      <c r="X224" s="99" t="n">
        <v>75.97</v>
      </c>
      <c r="Y224" s="99" t="n">
        <v>-1.5</v>
      </c>
      <c r="Z224" s="99" t="n">
        <v>4</v>
      </c>
      <c r="AA224" s="94" t="inlineStr">
        <is>
          <t>AVOID</t>
        </is>
      </c>
    </row>
    <row r="225">
      <c r="A225" s="97" t="inlineStr">
        <is>
          <t>DALBHARAT</t>
        </is>
      </c>
      <c r="B225" s="97" t="inlineStr">
        <is>
          <t>Dalmia Bharat Ltd.</t>
        </is>
      </c>
      <c r="C225" s="97" t="inlineStr">
        <is>
          <t>Construction Materials</t>
        </is>
      </c>
      <c r="D225" s="97" t="inlineStr">
        <is>
          <t>Large/Midcap</t>
        </is>
      </c>
      <c r="E225" s="97" t="n">
        <v>1810.8</v>
      </c>
      <c r="F225" s="97" t="n">
        <v>-2.37</v>
      </c>
      <c r="G225" s="97" t="n">
        <v>1119018</v>
      </c>
      <c r="H225" s="97" t="n">
        <v>4.62</v>
      </c>
      <c r="I225" s="97" t="n">
        <v>34289</v>
      </c>
      <c r="J225" s="97" t="inlineStr">
        <is>
          <t>Y</t>
        </is>
      </c>
      <c r="K225" s="97" t="inlineStr">
        <is>
          <t>Y</t>
        </is>
      </c>
      <c r="L225" s="97" t="inlineStr">
        <is>
          <t>N</t>
        </is>
      </c>
      <c r="M225" s="97" t="n">
        <v>55.3</v>
      </c>
      <c r="N225" s="97" t="inlineStr">
        <is>
          <t>Y</t>
        </is>
      </c>
      <c r="O225" s="97" t="n">
        <v>46.23</v>
      </c>
      <c r="P225" s="97" t="inlineStr">
        <is>
          <t>Y</t>
        </is>
      </c>
      <c r="Q225" s="97" t="inlineStr">
        <is>
          <t>N/A</t>
        </is>
      </c>
      <c r="R225" s="97" t="inlineStr">
        <is>
          <t>N</t>
        </is>
      </c>
      <c r="S225" s="97" t="n">
        <v>5.5</v>
      </c>
      <c r="T225" s="97" t="n">
        <v>-5</v>
      </c>
      <c r="U225" s="97" t="inlineStr">
        <is>
          <t>N</t>
        </is>
      </c>
      <c r="V225" s="97" t="n">
        <v>36.7</v>
      </c>
      <c r="W225" s="97" t="inlineStr">
        <is>
          <t>N/A</t>
        </is>
      </c>
      <c r="X225" s="97" t="n">
        <v>40.99</v>
      </c>
      <c r="Y225" s="97" t="n">
        <v>-51.4</v>
      </c>
      <c r="Z225" s="97" t="n">
        <v>4</v>
      </c>
      <c r="AA225" s="92" t="inlineStr">
        <is>
          <t>AVOID</t>
        </is>
      </c>
    </row>
    <row r="226">
      <c r="A226" s="99" t="inlineStr">
        <is>
          <t>DEVYANI</t>
        </is>
      </c>
      <c r="B226" s="99" t="inlineStr">
        <is>
          <t>Devyani International Ltd.</t>
        </is>
      </c>
      <c r="C226" s="99" t="inlineStr">
        <is>
          <t>Consumer Services</t>
        </is>
      </c>
      <c r="D226" s="99" t="inlineStr">
        <is>
          <t>BSE Smallcap</t>
        </is>
      </c>
      <c r="E226" s="99" t="n">
        <v>116.06</v>
      </c>
      <c r="F226" s="99" t="n">
        <v>3.35</v>
      </c>
      <c r="G226" s="99" t="n">
        <v>4449216</v>
      </c>
      <c r="H226" s="99" t="n">
        <v>2.58</v>
      </c>
      <c r="I226" s="99" t="n">
        <v>14309</v>
      </c>
      <c r="J226" s="99" t="inlineStr">
        <is>
          <t>Y</t>
        </is>
      </c>
      <c r="K226" s="99" t="inlineStr">
        <is>
          <t>Y</t>
        </is>
      </c>
      <c r="L226" s="99" t="inlineStr">
        <is>
          <t>N</t>
        </is>
      </c>
      <c r="M226" s="99" t="n">
        <v>49.2</v>
      </c>
      <c r="N226" s="99" t="inlineStr">
        <is>
          <t>N</t>
        </is>
      </c>
      <c r="O226" s="99" t="n">
        <v>3.03</v>
      </c>
      <c r="P226" s="99" t="inlineStr">
        <is>
          <t>Y</t>
        </is>
      </c>
      <c r="Q226" s="99" t="inlineStr">
        <is>
          <t>N/A</t>
        </is>
      </c>
      <c r="R226" s="99" t="inlineStr">
        <is>
          <t>N</t>
        </is>
      </c>
      <c r="S226" s="99" t="n">
        <v>3.1</v>
      </c>
      <c r="T226" s="99" t="n">
        <v>-6.5</v>
      </c>
      <c r="U226" s="99" t="inlineStr">
        <is>
          <t>N</t>
        </is>
      </c>
      <c r="V226" s="99" t="inlineStr">
        <is>
          <t>N/A</t>
        </is>
      </c>
      <c r="W226" s="99" t="n">
        <v>-2.6</v>
      </c>
      <c r="X226" s="99" t="n">
        <v>203.33</v>
      </c>
      <c r="Y226" s="99" t="n">
        <v>3.3</v>
      </c>
      <c r="Z226" s="99" t="n">
        <v>4</v>
      </c>
      <c r="AA226" s="94" t="inlineStr">
        <is>
          <t>AVOID</t>
        </is>
      </c>
    </row>
    <row r="227">
      <c r="A227" s="97" t="inlineStr">
        <is>
          <t>EMMVEE</t>
        </is>
      </c>
      <c r="B227" s="97" t="inlineStr">
        <is>
          <t>Emmvee Photovoltaic Power Ltd.</t>
        </is>
      </c>
      <c r="C227" s="97" t="inlineStr">
        <is>
          <t>Capital Goods</t>
        </is>
      </c>
      <c r="D227" s="97" t="inlineStr">
        <is>
          <t>BSE Smallcap</t>
        </is>
      </c>
      <c r="E227" s="97" t="n">
        <v>333.6</v>
      </c>
      <c r="F227" s="97" t="n">
        <v>0.79</v>
      </c>
      <c r="G227" s="97" t="n">
        <v>2340536</v>
      </c>
      <c r="H227" s="97" t="n">
        <v>1.07</v>
      </c>
      <c r="I227" s="97" t="n">
        <v>23097</v>
      </c>
      <c r="J227" s="97" t="inlineStr">
        <is>
          <t>Y</t>
        </is>
      </c>
      <c r="K227" s="97" t="inlineStr">
        <is>
          <t>Y</t>
        </is>
      </c>
      <c r="L227" s="97" t="inlineStr">
        <is>
          <t>N/A</t>
        </is>
      </c>
      <c r="M227" s="97" t="n">
        <v>52.6</v>
      </c>
      <c r="N227" s="97" t="inlineStr">
        <is>
          <t>Y</t>
        </is>
      </c>
      <c r="O227" s="97" t="n">
        <v>14.35</v>
      </c>
      <c r="P227" s="97" t="inlineStr">
        <is>
          <t>N</t>
        </is>
      </c>
      <c r="Q227" s="97" t="inlineStr">
        <is>
          <t>N/A</t>
        </is>
      </c>
      <c r="R227" s="97" t="inlineStr">
        <is>
          <t>N</t>
        </is>
      </c>
      <c r="S227" s="97" t="n">
        <v>-0.8</v>
      </c>
      <c r="T227" s="97" t="n">
        <v>27.5</v>
      </c>
      <c r="U227" s="97" t="inlineStr">
        <is>
          <t>Y</t>
        </is>
      </c>
      <c r="V227" s="97" t="n">
        <v>18</v>
      </c>
      <c r="W227" s="97" t="inlineStr">
        <is>
          <t>N/A</t>
        </is>
      </c>
      <c r="X227" s="97" t="n">
        <v>9.74</v>
      </c>
      <c r="Y227" s="97" t="n">
        <v>-3.1</v>
      </c>
      <c r="Z227" s="97" t="n">
        <v>4</v>
      </c>
      <c r="AA227" s="92" t="inlineStr">
        <is>
          <t>AVOID</t>
        </is>
      </c>
    </row>
    <row r="228">
      <c r="A228" s="99" t="inlineStr">
        <is>
          <t>FEDERALBNK</t>
        </is>
      </c>
      <c r="B228" s="99" t="inlineStr">
        <is>
          <t>Federal Bank Ltd.</t>
        </is>
      </c>
      <c r="C228" s="99" t="inlineStr">
        <is>
          <t>Financial Services</t>
        </is>
      </c>
      <c r="D228" s="99" t="inlineStr">
        <is>
          <t>Large/Midcap</t>
        </is>
      </c>
      <c r="E228" s="99" t="n">
        <v>356.5</v>
      </c>
      <c r="F228" s="99" t="n">
        <v>0.62</v>
      </c>
      <c r="G228" s="99" t="n">
        <v>6585012</v>
      </c>
      <c r="H228" s="99" t="n">
        <v>1.66</v>
      </c>
      <c r="I228" s="99" t="n">
        <v>87941</v>
      </c>
      <c r="J228" s="99" t="inlineStr">
        <is>
          <t>Y</t>
        </is>
      </c>
      <c r="K228" s="99" t="inlineStr">
        <is>
          <t>Y</t>
        </is>
      </c>
      <c r="L228" s="99" t="inlineStr">
        <is>
          <t>Y</t>
        </is>
      </c>
      <c r="M228" s="99" t="n">
        <v>73.7</v>
      </c>
      <c r="N228" s="99" t="inlineStr">
        <is>
          <t>N</t>
        </is>
      </c>
      <c r="O228" s="99" t="n">
        <v>7.76</v>
      </c>
      <c r="P228" s="99" t="inlineStr">
        <is>
          <t>N</t>
        </is>
      </c>
      <c r="Q228" s="99" t="inlineStr">
        <is>
          <t>N/A</t>
        </is>
      </c>
      <c r="R228" s="99" t="inlineStr">
        <is>
          <t>N</t>
        </is>
      </c>
      <c r="S228" s="99" t="n">
        <v>10.3</v>
      </c>
      <c r="T228" s="99" t="n">
        <v>24.6</v>
      </c>
      <c r="U228" s="99" t="inlineStr">
        <is>
          <t>Y</t>
        </is>
      </c>
      <c r="V228" s="99" t="n">
        <v>18.9</v>
      </c>
      <c r="W228" s="99" t="inlineStr">
        <is>
          <t>N/A</t>
        </is>
      </c>
      <c r="X228" s="99" t="inlineStr">
        <is>
          <t>N/A</t>
        </is>
      </c>
      <c r="Y228" s="99" t="n">
        <v>-6.3</v>
      </c>
      <c r="Z228" s="99" t="n">
        <v>4</v>
      </c>
      <c r="AA228" s="94" t="inlineStr">
        <is>
          <t>AVOID</t>
        </is>
      </c>
    </row>
    <row r="229">
      <c r="A229" s="97" t="inlineStr">
        <is>
          <t>FIVESTAR</t>
        </is>
      </c>
      <c r="B229" s="97" t="inlineStr">
        <is>
          <t>Five-Star Business Finance Ltd.</t>
        </is>
      </c>
      <c r="C229" s="97" t="inlineStr">
        <is>
          <t>Financial Services</t>
        </is>
      </c>
      <c r="D229" s="97" t="inlineStr">
        <is>
          <t>BSE Smallcap</t>
        </is>
      </c>
      <c r="E229" s="97" t="n">
        <v>535.2</v>
      </c>
      <c r="F229" s="97" t="n">
        <v>0.17</v>
      </c>
      <c r="G229" s="97" t="n">
        <v>495386</v>
      </c>
      <c r="H229" s="97" t="n">
        <v>1.21</v>
      </c>
      <c r="I229" s="97" t="n">
        <v>15948</v>
      </c>
      <c r="J229" s="97" t="inlineStr">
        <is>
          <t>Y</t>
        </is>
      </c>
      <c r="K229" s="97" t="inlineStr">
        <is>
          <t>Y</t>
        </is>
      </c>
      <c r="L229" s="97" t="inlineStr">
        <is>
          <t>Y</t>
        </is>
      </c>
      <c r="M229" s="97" t="n">
        <v>41.3</v>
      </c>
      <c r="N229" s="97" t="inlineStr">
        <is>
          <t>N</t>
        </is>
      </c>
      <c r="O229" s="97" t="n">
        <v>18.45</v>
      </c>
      <c r="P229" s="97" t="inlineStr">
        <is>
          <t>N</t>
        </is>
      </c>
      <c r="Q229" s="97" t="inlineStr">
        <is>
          <t>N/A</t>
        </is>
      </c>
      <c r="R229" s="97" t="inlineStr">
        <is>
          <t>N</t>
        </is>
      </c>
      <c r="S229" s="97" t="n">
        <v>7.9</v>
      </c>
      <c r="T229" s="97" t="n">
        <v>7.3</v>
      </c>
      <c r="U229" s="97" t="inlineStr">
        <is>
          <t>Y</t>
        </is>
      </c>
      <c r="V229" s="97" t="n">
        <v>14.5</v>
      </c>
      <c r="W229" s="97" t="inlineStr">
        <is>
          <t>N/A</t>
        </is>
      </c>
      <c r="X229" s="97" t="n">
        <v>111.93</v>
      </c>
      <c r="Y229" s="97" t="n">
        <v>-2.8</v>
      </c>
      <c r="Z229" s="97" t="n">
        <v>4</v>
      </c>
      <c r="AA229" s="92" t="inlineStr">
        <is>
          <t>AVOID</t>
        </is>
      </c>
    </row>
    <row r="230">
      <c r="A230" s="99" t="inlineStr">
        <is>
          <t>GVT&amp;D</t>
        </is>
      </c>
      <c r="B230" s="99" t="inlineStr">
        <is>
          <t>GE Vernova T&amp;D India Ltd.</t>
        </is>
      </c>
      <c r="C230" s="99" t="inlineStr">
        <is>
          <t>Capital Goods</t>
        </is>
      </c>
      <c r="D230" s="99" t="inlineStr">
        <is>
          <t>Large/Midcap</t>
        </is>
      </c>
      <c r="E230" s="99" t="n">
        <v>4157.4</v>
      </c>
      <c r="F230" s="99" t="n">
        <v>-3.95</v>
      </c>
      <c r="G230" s="99" t="n">
        <v>1388191</v>
      </c>
      <c r="H230" s="99" t="n">
        <v>1.8</v>
      </c>
      <c r="I230" s="99" t="n">
        <v>107598</v>
      </c>
      <c r="J230" s="99" t="inlineStr">
        <is>
          <t>Y</t>
        </is>
      </c>
      <c r="K230" s="99" t="inlineStr">
        <is>
          <t>N</t>
        </is>
      </c>
      <c r="L230" s="99" t="inlineStr">
        <is>
          <t>Y</t>
        </is>
      </c>
      <c r="M230" s="99" t="n">
        <v>36.4</v>
      </c>
      <c r="N230" s="99" t="inlineStr">
        <is>
          <t>N</t>
        </is>
      </c>
      <c r="O230" s="99" t="n">
        <v>186.26</v>
      </c>
      <c r="P230" s="99" t="inlineStr">
        <is>
          <t>N</t>
        </is>
      </c>
      <c r="Q230" s="99" t="inlineStr">
        <is>
          <t>N/A</t>
        </is>
      </c>
      <c r="R230" s="99" t="inlineStr">
        <is>
          <t>N</t>
        </is>
      </c>
      <c r="S230" s="99" t="n">
        <v>-17.3</v>
      </c>
      <c r="T230" s="99" t="n">
        <v>-6.8</v>
      </c>
      <c r="U230" s="99" t="inlineStr">
        <is>
          <t>N</t>
        </is>
      </c>
      <c r="V230" s="99" t="n">
        <v>87.09999999999999</v>
      </c>
      <c r="W230" s="99" t="n">
        <v>55.3</v>
      </c>
      <c r="X230" s="99" t="n">
        <v>0.89</v>
      </c>
      <c r="Y230" s="99" t="n">
        <v>21</v>
      </c>
      <c r="Z230" s="99" t="n">
        <v>4</v>
      </c>
      <c r="AA230" s="94" t="inlineStr">
        <is>
          <t>AVOID</t>
        </is>
      </c>
    </row>
    <row r="231">
      <c r="A231" s="97" t="inlineStr">
        <is>
          <t>FORTIS</t>
        </is>
      </c>
      <c r="B231" s="97" t="inlineStr">
        <is>
          <t>Fortis Healthcare Ltd.</t>
        </is>
      </c>
      <c r="C231" s="97" t="inlineStr">
        <is>
          <t>Healthcare</t>
        </is>
      </c>
      <c r="D231" s="97" t="inlineStr">
        <is>
          <t>Large/Midcap</t>
        </is>
      </c>
      <c r="E231" s="97" t="n">
        <v>948.7</v>
      </c>
      <c r="F231" s="97" t="n">
        <v>0.64</v>
      </c>
      <c r="G231" s="97" t="n">
        <v>503448</v>
      </c>
      <c r="H231" s="97" t="n">
        <v>0.72</v>
      </c>
      <c r="I231" s="97" t="n">
        <v>71140</v>
      </c>
      <c r="J231" s="97" t="inlineStr">
        <is>
          <t>Y</t>
        </is>
      </c>
      <c r="K231" s="97" t="inlineStr">
        <is>
          <t>N</t>
        </is>
      </c>
      <c r="L231" s="97" t="inlineStr">
        <is>
          <t>Y</t>
        </is>
      </c>
      <c r="M231" s="97" t="n">
        <v>40</v>
      </c>
      <c r="N231" s="97" t="inlineStr">
        <is>
          <t>N</t>
        </is>
      </c>
      <c r="O231" s="97" t="n">
        <v>20.17</v>
      </c>
      <c r="P231" s="97" t="inlineStr">
        <is>
          <t>N</t>
        </is>
      </c>
      <c r="Q231" s="97" t="inlineStr">
        <is>
          <t>N/A</t>
        </is>
      </c>
      <c r="R231" s="97" t="inlineStr">
        <is>
          <t>N</t>
        </is>
      </c>
      <c r="S231" s="97" t="n">
        <v>-0.3</v>
      </c>
      <c r="T231" s="97" t="n">
        <v>2</v>
      </c>
      <c r="U231" s="97" t="inlineStr">
        <is>
          <t>Y</t>
        </is>
      </c>
      <c r="V231" s="97" t="n">
        <v>68.5</v>
      </c>
      <c r="W231" s="97" t="n">
        <v>11</v>
      </c>
      <c r="X231" s="97" t="n">
        <v>34.15</v>
      </c>
      <c r="Y231" s="97" t="n">
        <v>37.2</v>
      </c>
      <c r="Z231" s="97" t="n">
        <v>4</v>
      </c>
      <c r="AA231" s="92" t="inlineStr">
        <is>
          <t>AVOID</t>
        </is>
      </c>
    </row>
    <row r="232">
      <c r="A232" s="99" t="inlineStr">
        <is>
          <t>GAIL</t>
        </is>
      </c>
      <c r="B232" s="99" t="inlineStr">
        <is>
          <t>GAIL (India) Ltd.</t>
        </is>
      </c>
      <c r="C232" s="99" t="inlineStr">
        <is>
          <t>Oil Gas &amp; Consumable Fuels</t>
        </is>
      </c>
      <c r="D232" s="99" t="inlineStr">
        <is>
          <t>Large/Midcap</t>
        </is>
      </c>
      <c r="E232" s="99" t="n">
        <v>170.02</v>
      </c>
      <c r="F232" s="99" t="n">
        <v>-1.15</v>
      </c>
      <c r="G232" s="99" t="n">
        <v>5814293</v>
      </c>
      <c r="H232" s="99" t="n">
        <v>0.9399999999999999</v>
      </c>
      <c r="I232" s="99" t="n">
        <v>114558</v>
      </c>
      <c r="J232" s="99" t="inlineStr">
        <is>
          <t>Y</t>
        </is>
      </c>
      <c r="K232" s="99" t="inlineStr">
        <is>
          <t>Y</t>
        </is>
      </c>
      <c r="L232" s="99" t="inlineStr">
        <is>
          <t>Y</t>
        </is>
      </c>
      <c r="M232" s="99" t="n">
        <v>39</v>
      </c>
      <c r="N232" s="99" t="inlineStr">
        <is>
          <t>N</t>
        </is>
      </c>
      <c r="O232" s="99" t="n">
        <v>3.65</v>
      </c>
      <c r="P232" s="99" t="inlineStr">
        <is>
          <t>N</t>
        </is>
      </c>
      <c r="Q232" s="99" t="inlineStr">
        <is>
          <t>N/A</t>
        </is>
      </c>
      <c r="R232" s="99" t="inlineStr">
        <is>
          <t>N</t>
        </is>
      </c>
      <c r="S232" s="99" t="n">
        <v>-1.4</v>
      </c>
      <c r="T232" s="99" t="n">
        <v>3</v>
      </c>
      <c r="U232" s="99" t="inlineStr">
        <is>
          <t>Y</t>
        </is>
      </c>
      <c r="V232" s="99" t="n">
        <v>15.1</v>
      </c>
      <c r="W232" s="99" t="n">
        <v>8.699999999999999</v>
      </c>
      <c r="X232" s="99" t="n">
        <v>27.81</v>
      </c>
      <c r="Y232" s="99" t="n">
        <v>-15.5</v>
      </c>
      <c r="Z232" s="99" t="n">
        <v>4</v>
      </c>
      <c r="AA232" s="94" t="inlineStr">
        <is>
          <t>AVOID</t>
        </is>
      </c>
    </row>
    <row r="233">
      <c r="A233" s="97" t="inlineStr">
        <is>
          <t>GRSE</t>
        </is>
      </c>
      <c r="B233" s="97" t="inlineStr">
        <is>
          <t>Garden Reach Shipbuilders &amp; Engineers Ltd.</t>
        </is>
      </c>
      <c r="C233" s="97" t="inlineStr">
        <is>
          <t>Capital Goods</t>
        </is>
      </c>
      <c r="D233" s="97" t="inlineStr">
        <is>
          <t>BSE Smallcap</t>
        </is>
      </c>
      <c r="E233" s="97" t="n">
        <v>2647.5</v>
      </c>
      <c r="F233" s="97" t="n">
        <v>3.18</v>
      </c>
      <c r="G233" s="97" t="n">
        <v>479760</v>
      </c>
      <c r="H233" s="97" t="n">
        <v>1.69</v>
      </c>
      <c r="I233" s="97" t="n">
        <v>30328</v>
      </c>
      <c r="J233" s="97" t="inlineStr">
        <is>
          <t>Y</t>
        </is>
      </c>
      <c r="K233" s="97" t="inlineStr">
        <is>
          <t>N</t>
        </is>
      </c>
      <c r="L233" s="97" t="inlineStr">
        <is>
          <t>Y</t>
        </is>
      </c>
      <c r="M233" s="97" t="n">
        <v>44.3</v>
      </c>
      <c r="N233" s="97" t="inlineStr">
        <is>
          <t>N</t>
        </is>
      </c>
      <c r="O233" s="97" t="n">
        <v>56.03</v>
      </c>
      <c r="P233" s="97" t="inlineStr">
        <is>
          <t>N</t>
        </is>
      </c>
      <c r="Q233" s="97" t="inlineStr">
        <is>
          <t>N/A</t>
        </is>
      </c>
      <c r="R233" s="97" t="inlineStr">
        <is>
          <t>N</t>
        </is>
      </c>
      <c r="S233" s="97" t="n">
        <v>-2.6</v>
      </c>
      <c r="T233" s="97" t="n">
        <v>-9.300000000000001</v>
      </c>
      <c r="U233" s="97" t="inlineStr">
        <is>
          <t>N</t>
        </is>
      </c>
      <c r="V233" s="97" t="n">
        <v>42.7</v>
      </c>
      <c r="W233" s="97" t="n">
        <v>31.8</v>
      </c>
      <c r="X233" s="97" t="n">
        <v>1.42</v>
      </c>
      <c r="Y233" s="97" t="n">
        <v>42.1</v>
      </c>
      <c r="Z233" s="97" t="n">
        <v>4</v>
      </c>
      <c r="AA233" s="92" t="inlineStr">
        <is>
          <t>AVOID</t>
        </is>
      </c>
    </row>
    <row r="234">
      <c r="A234" s="99" t="inlineStr">
        <is>
          <t>GODREJCP</t>
        </is>
      </c>
      <c r="B234" s="99" t="inlineStr">
        <is>
          <t>Godrej Consumer Products Ltd.</t>
        </is>
      </c>
      <c r="C234" s="99" t="inlineStr">
        <is>
          <t>Fast Moving Consumer Goods</t>
        </is>
      </c>
      <c r="D234" s="99" t="inlineStr">
        <is>
          <t>Large/Midcap</t>
        </is>
      </c>
      <c r="E234" s="99" t="n">
        <v>1073.7</v>
      </c>
      <c r="F234" s="99" t="n">
        <v>1.34</v>
      </c>
      <c r="G234" s="99" t="n">
        <v>318835</v>
      </c>
      <c r="H234" s="99" t="n">
        <v>0.66</v>
      </c>
      <c r="I234" s="99" t="n">
        <v>109872</v>
      </c>
      <c r="J234" s="99" t="inlineStr">
        <is>
          <t>Y</t>
        </is>
      </c>
      <c r="K234" s="99" t="inlineStr">
        <is>
          <t>Y</t>
        </is>
      </c>
      <c r="L234" s="99" t="inlineStr">
        <is>
          <t>N</t>
        </is>
      </c>
      <c r="M234" s="99" t="n">
        <v>42</v>
      </c>
      <c r="N234" s="99" t="inlineStr">
        <is>
          <t>N</t>
        </is>
      </c>
      <c r="O234" s="99" t="n">
        <v>23.79</v>
      </c>
      <c r="P234" s="99" t="inlineStr">
        <is>
          <t>N</t>
        </is>
      </c>
      <c r="Q234" s="99" t="inlineStr">
        <is>
          <t>N/A</t>
        </is>
      </c>
      <c r="R234" s="99" t="inlineStr">
        <is>
          <t>N</t>
        </is>
      </c>
      <c r="S234" s="99" t="n">
        <v>4</v>
      </c>
      <c r="T234" s="99" t="n">
        <v>1.5</v>
      </c>
      <c r="U234" s="99" t="inlineStr">
        <is>
          <t>Y</t>
        </is>
      </c>
      <c r="V234" s="99" t="n">
        <v>58.1</v>
      </c>
      <c r="W234" s="99" t="n">
        <v>15.1</v>
      </c>
      <c r="X234" s="99" t="n">
        <v>34.9</v>
      </c>
      <c r="Y234" s="99" t="n">
        <v>-9.300000000000001</v>
      </c>
      <c r="Z234" s="99" t="n">
        <v>4</v>
      </c>
      <c r="AA234" s="94" t="inlineStr">
        <is>
          <t>AVOID</t>
        </is>
      </c>
    </row>
    <row r="235">
      <c r="A235" s="97" t="inlineStr">
        <is>
          <t>GRANULES</t>
        </is>
      </c>
      <c r="B235" s="97" t="inlineStr">
        <is>
          <t>Granules India Ltd.</t>
        </is>
      </c>
      <c r="C235" s="97" t="inlineStr">
        <is>
          <t>Healthcare</t>
        </is>
      </c>
      <c r="D235" s="97" t="inlineStr">
        <is>
          <t>BSE Smallcap</t>
        </is>
      </c>
      <c r="E235" s="97" t="n">
        <v>833.55</v>
      </c>
      <c r="F235" s="97" t="n">
        <v>-2.23</v>
      </c>
      <c r="G235" s="97" t="n">
        <v>870853</v>
      </c>
      <c r="H235" s="97" t="n">
        <v>0.48</v>
      </c>
      <c r="I235" s="97" t="n">
        <v>20884</v>
      </c>
      <c r="J235" s="97" t="inlineStr">
        <is>
          <t>Y</t>
        </is>
      </c>
      <c r="K235" s="97" t="inlineStr">
        <is>
          <t>Y</t>
        </is>
      </c>
      <c r="L235" s="97" t="inlineStr">
        <is>
          <t>Y</t>
        </is>
      </c>
      <c r="M235" s="97" t="n">
        <v>42.2</v>
      </c>
      <c r="N235" s="97" t="inlineStr">
        <is>
          <t>N</t>
        </is>
      </c>
      <c r="O235" s="97" t="n">
        <v>28.37</v>
      </c>
      <c r="P235" s="97" t="inlineStr">
        <is>
          <t>N</t>
        </is>
      </c>
      <c r="Q235" s="97" t="inlineStr">
        <is>
          <t>N/A</t>
        </is>
      </c>
      <c r="R235" s="97" t="inlineStr">
        <is>
          <t>N</t>
        </is>
      </c>
      <c r="S235" s="97" t="n">
        <v>9.300000000000001</v>
      </c>
      <c r="T235" s="97" t="n">
        <v>18.7</v>
      </c>
      <c r="U235" s="97" t="inlineStr">
        <is>
          <t>Y</t>
        </is>
      </c>
      <c r="V235" s="97" t="n">
        <v>31.3</v>
      </c>
      <c r="W235" s="97" t="inlineStr">
        <is>
          <t>N/A</t>
        </is>
      </c>
      <c r="X235" s="97" t="n">
        <v>29.73</v>
      </c>
      <c r="Y235" s="97" t="n">
        <v>-10.7</v>
      </c>
      <c r="Z235" s="97" t="n">
        <v>4</v>
      </c>
      <c r="AA235" s="92" t="inlineStr">
        <is>
          <t>AVOID</t>
        </is>
      </c>
    </row>
    <row r="236">
      <c r="A236" s="99" t="inlineStr">
        <is>
          <t>GRASIM</t>
        </is>
      </c>
      <c r="B236" s="99" t="inlineStr">
        <is>
          <t>Grasim Industries Ltd.</t>
        </is>
      </c>
      <c r="C236" s="99" t="inlineStr">
        <is>
          <t>Construction Materials</t>
        </is>
      </c>
      <c r="D236" s="99" t="inlineStr">
        <is>
          <t>Large/Midcap</t>
        </is>
      </c>
      <c r="E236" s="99" t="n">
        <v>3089.4</v>
      </c>
      <c r="F236" s="99" t="n">
        <v>-0.76</v>
      </c>
      <c r="G236" s="99" t="n">
        <v>341560</v>
      </c>
      <c r="H236" s="99" t="n">
        <v>0.74</v>
      </c>
      <c r="I236" s="99" t="n">
        <v>211099</v>
      </c>
      <c r="J236" s="99" t="inlineStr">
        <is>
          <t>Y</t>
        </is>
      </c>
      <c r="K236" s="99" t="inlineStr">
        <is>
          <t>N</t>
        </is>
      </c>
      <c r="L236" s="99" t="inlineStr">
        <is>
          <t>Y</t>
        </is>
      </c>
      <c r="M236" s="99" t="n">
        <v>37.5</v>
      </c>
      <c r="N236" s="99" t="inlineStr">
        <is>
          <t>N</t>
        </is>
      </c>
      <c r="O236" s="99" t="n">
        <v>62.37</v>
      </c>
      <c r="P236" s="99" t="inlineStr">
        <is>
          <t>N</t>
        </is>
      </c>
      <c r="Q236" s="99" t="inlineStr">
        <is>
          <t>N/A</t>
        </is>
      </c>
      <c r="R236" s="99" t="inlineStr">
        <is>
          <t>N</t>
        </is>
      </c>
      <c r="S236" s="99" t="n">
        <v>-0.9</v>
      </c>
      <c r="T236" s="99" t="n">
        <v>10.6</v>
      </c>
      <c r="U236" s="99" t="inlineStr">
        <is>
          <t>Y</t>
        </is>
      </c>
      <c r="V236" s="99" t="n">
        <v>42.5</v>
      </c>
      <c r="W236" s="99" t="n">
        <v>6.3</v>
      </c>
      <c r="X236" s="99" t="n">
        <v>135.04</v>
      </c>
      <c r="Y236" s="99" t="n">
        <v>88.90000000000001</v>
      </c>
      <c r="Z236" s="99" t="n">
        <v>4</v>
      </c>
      <c r="AA236" s="94" t="inlineStr">
        <is>
          <t>AVOID</t>
        </is>
      </c>
    </row>
    <row r="237">
      <c r="A237" s="97" t="inlineStr">
        <is>
          <t>HFCL</t>
        </is>
      </c>
      <c r="B237" s="97" t="inlineStr">
        <is>
          <t>HFCL Ltd.</t>
        </is>
      </c>
      <c r="C237" s="97" t="inlineStr">
        <is>
          <t>Telecommunication</t>
        </is>
      </c>
      <c r="D237" s="97" t="inlineStr">
        <is>
          <t>BSE Smallcap</t>
        </is>
      </c>
      <c r="E237" s="97" t="n">
        <v>192.54</v>
      </c>
      <c r="F237" s="97" t="n">
        <v>-2.19</v>
      </c>
      <c r="G237" s="97" t="n">
        <v>26152896</v>
      </c>
      <c r="H237" s="97" t="n">
        <v>0.67</v>
      </c>
      <c r="I237" s="97" t="n">
        <v>29464</v>
      </c>
      <c r="J237" s="97" t="inlineStr">
        <is>
          <t>Y</t>
        </is>
      </c>
      <c r="K237" s="97" t="inlineStr">
        <is>
          <t>N</t>
        </is>
      </c>
      <c r="L237" s="97" t="inlineStr">
        <is>
          <t>Y</t>
        </is>
      </c>
      <c r="M237" s="97" t="n">
        <v>29.5</v>
      </c>
      <c r="N237" s="97" t="inlineStr">
        <is>
          <t>N</t>
        </is>
      </c>
      <c r="O237" s="97" t="n">
        <v>10.3</v>
      </c>
      <c r="P237" s="97" t="inlineStr">
        <is>
          <t>N</t>
        </is>
      </c>
      <c r="Q237" s="97" t="inlineStr">
        <is>
          <t>N/A</t>
        </is>
      </c>
      <c r="R237" s="97" t="inlineStr">
        <is>
          <t>N</t>
        </is>
      </c>
      <c r="S237" s="97" t="n">
        <v>-10.2</v>
      </c>
      <c r="T237" s="97" t="n">
        <v>66.3</v>
      </c>
      <c r="U237" s="97" t="inlineStr">
        <is>
          <t>Y</t>
        </is>
      </c>
      <c r="V237" s="97" t="n">
        <v>50.1</v>
      </c>
      <c r="W237" s="97" t="inlineStr">
        <is>
          <t>N/A</t>
        </is>
      </c>
      <c r="X237" s="97" t="n">
        <v>38.32</v>
      </c>
      <c r="Y237" s="97" t="n">
        <v>28.1</v>
      </c>
      <c r="Z237" s="97" t="n">
        <v>4</v>
      </c>
      <c r="AA237" s="92" t="inlineStr">
        <is>
          <t>AVOID</t>
        </is>
      </c>
    </row>
    <row r="238">
      <c r="A238" s="99" t="inlineStr">
        <is>
          <t>HAVELLS</t>
        </is>
      </c>
      <c r="B238" s="99" t="inlineStr">
        <is>
          <t>Havells India Ltd.</t>
        </is>
      </c>
      <c r="C238" s="99" t="inlineStr">
        <is>
          <t>Consumer Durables</t>
        </is>
      </c>
      <c r="D238" s="99" t="inlineStr">
        <is>
          <t>Large/Midcap</t>
        </is>
      </c>
      <c r="E238" s="99" t="n">
        <v>1237.4</v>
      </c>
      <c r="F238" s="99" t="n">
        <v>0.86</v>
      </c>
      <c r="G238" s="99" t="n">
        <v>828132</v>
      </c>
      <c r="H238" s="99" t="n">
        <v>0.95</v>
      </c>
      <c r="I238" s="99" t="n">
        <v>77654</v>
      </c>
      <c r="J238" s="99" t="inlineStr">
        <is>
          <t>Y</t>
        </is>
      </c>
      <c r="K238" s="99" t="inlineStr">
        <is>
          <t>Y</t>
        </is>
      </c>
      <c r="L238" s="99" t="inlineStr">
        <is>
          <t>N</t>
        </is>
      </c>
      <c r="M238" s="99" t="n">
        <v>53.9</v>
      </c>
      <c r="N238" s="99" t="inlineStr">
        <is>
          <t>Y</t>
        </is>
      </c>
      <c r="O238" s="99" t="n">
        <v>31.41</v>
      </c>
      <c r="P238" s="99" t="inlineStr">
        <is>
          <t>N</t>
        </is>
      </c>
      <c r="Q238" s="99" t="inlineStr">
        <is>
          <t>N/A</t>
        </is>
      </c>
      <c r="R238" s="99" t="inlineStr">
        <is>
          <t>N</t>
        </is>
      </c>
      <c r="S238" s="99" t="n">
        <v>5.3</v>
      </c>
      <c r="T238" s="99" t="n">
        <v>0.6</v>
      </c>
      <c r="U238" s="99" t="inlineStr">
        <is>
          <t>Y</t>
        </is>
      </c>
      <c r="V238" s="99" t="n">
        <v>47.2</v>
      </c>
      <c r="W238" s="99" t="inlineStr">
        <is>
          <t>N/A</t>
        </is>
      </c>
      <c r="X238" s="99" t="n">
        <v>2.8</v>
      </c>
      <c r="Y238" s="99" t="n">
        <v>-59.8</v>
      </c>
      <c r="Z238" s="99" t="n">
        <v>4</v>
      </c>
      <c r="AA238" s="94" t="inlineStr">
        <is>
          <t>AVOID</t>
        </is>
      </c>
    </row>
    <row r="239">
      <c r="A239" s="97" t="inlineStr">
        <is>
          <t>POWERINDIA</t>
        </is>
      </c>
      <c r="B239" s="97" t="inlineStr">
        <is>
          <t>Hitachi Energy India Ltd.</t>
        </is>
      </c>
      <c r="C239" s="97" t="inlineStr">
        <is>
          <t>Capital Goods</t>
        </is>
      </c>
      <c r="D239" s="97" t="inlineStr">
        <is>
          <t>Large/Midcap</t>
        </is>
      </c>
      <c r="E239" s="97" t="n">
        <v>31070</v>
      </c>
      <c r="F239" s="97" t="n">
        <v>-3.1</v>
      </c>
      <c r="G239" s="97" t="n">
        <v>118166</v>
      </c>
      <c r="H239" s="97" t="n">
        <v>1.33</v>
      </c>
      <c r="I239" s="97" t="n">
        <v>140626</v>
      </c>
      <c r="J239" s="97" t="inlineStr">
        <is>
          <t>Y</t>
        </is>
      </c>
      <c r="K239" s="97" t="inlineStr">
        <is>
          <t>N</t>
        </is>
      </c>
      <c r="L239" s="97" t="inlineStr">
        <is>
          <t>Y</t>
        </is>
      </c>
      <c r="M239" s="97" t="n">
        <v>41.8</v>
      </c>
      <c r="N239" s="97" t="inlineStr">
        <is>
          <t>N</t>
        </is>
      </c>
      <c r="O239" s="97" t="n">
        <v>1091.43</v>
      </c>
      <c r="P239" s="97" t="inlineStr">
        <is>
          <t>N</t>
        </is>
      </c>
      <c r="Q239" s="97" t="inlineStr">
        <is>
          <t>N/A</t>
        </is>
      </c>
      <c r="R239" s="97" t="inlineStr">
        <is>
          <t>N</t>
        </is>
      </c>
      <c r="S239" s="97" t="n">
        <v>-8.300000000000001</v>
      </c>
      <c r="T239" s="97" t="n">
        <v>-5.1</v>
      </c>
      <c r="U239" s="97" t="inlineStr">
        <is>
          <t>N</t>
        </is>
      </c>
      <c r="V239" s="97" t="n">
        <v>143</v>
      </c>
      <c r="W239" s="97" t="n">
        <v>21</v>
      </c>
      <c r="X239" s="97" t="n">
        <v>1.66</v>
      </c>
      <c r="Y239" s="97" t="n">
        <v>26.4</v>
      </c>
      <c r="Z239" s="97" t="n">
        <v>4</v>
      </c>
      <c r="AA239" s="92" t="inlineStr">
        <is>
          <t>AVOID</t>
        </is>
      </c>
    </row>
    <row r="240">
      <c r="A240" s="99" t="inlineStr">
        <is>
          <t>IFCI</t>
        </is>
      </c>
      <c r="B240" s="99" t="inlineStr">
        <is>
          <t>IFCI Ltd.</t>
        </is>
      </c>
      <c r="C240" s="99" t="inlineStr">
        <is>
          <t>Financial Services</t>
        </is>
      </c>
      <c r="D240" s="99" t="inlineStr">
        <is>
          <t>BSE Smallcap</t>
        </is>
      </c>
      <c r="E240" s="99" t="n">
        <v>70.39</v>
      </c>
      <c r="F240" s="99" t="n">
        <v>0.39</v>
      </c>
      <c r="G240" s="99" t="n">
        <v>5755522</v>
      </c>
      <c r="H240" s="99" t="n">
        <v>0.5600000000000001</v>
      </c>
      <c r="I240" s="99" t="n">
        <v>18965</v>
      </c>
      <c r="J240" s="99" t="inlineStr">
        <is>
          <t>Y</t>
        </is>
      </c>
      <c r="K240" s="99" t="inlineStr">
        <is>
          <t>N</t>
        </is>
      </c>
      <c r="L240" s="99" t="inlineStr">
        <is>
          <t>Y</t>
        </is>
      </c>
      <c r="M240" s="99" t="n">
        <v>35.1</v>
      </c>
      <c r="N240" s="99" t="inlineStr">
        <is>
          <t>N</t>
        </is>
      </c>
      <c r="O240" s="99" t="n">
        <v>2.26</v>
      </c>
      <c r="P240" s="99" t="inlineStr">
        <is>
          <t>N</t>
        </is>
      </c>
      <c r="Q240" s="99" t="inlineStr">
        <is>
          <t>N/A</t>
        </is>
      </c>
      <c r="R240" s="99" t="inlineStr">
        <is>
          <t>N</t>
        </is>
      </c>
      <c r="S240" s="99" t="n">
        <v>-8.300000000000001</v>
      </c>
      <c r="T240" s="99" t="n">
        <v>20.3</v>
      </c>
      <c r="U240" s="99" t="inlineStr">
        <is>
          <t>Y</t>
        </is>
      </c>
      <c r="V240" s="99" t="n">
        <v>102</v>
      </c>
      <c r="W240" s="99" t="inlineStr">
        <is>
          <t>N/A</t>
        </is>
      </c>
      <c r="X240" s="99" t="inlineStr">
        <is>
          <t>N/A</t>
        </is>
      </c>
      <c r="Y240" s="99" t="n">
        <v>186.7</v>
      </c>
      <c r="Z240" s="99" t="n">
        <v>4</v>
      </c>
      <c r="AA240" s="94" t="inlineStr">
        <is>
          <t>AVOID</t>
        </is>
      </c>
    </row>
    <row r="241">
      <c r="A241" s="97" t="inlineStr">
        <is>
          <t>INDHOTEL</t>
        </is>
      </c>
      <c r="B241" s="97" t="inlineStr">
        <is>
          <t>Indian Hotels Co. Ltd.</t>
        </is>
      </c>
      <c r="C241" s="97" t="inlineStr">
        <is>
          <t>Consumer Services</t>
        </is>
      </c>
      <c r="D241" s="97" t="inlineStr">
        <is>
          <t>Large/Midcap</t>
        </is>
      </c>
      <c r="E241" s="97" t="n">
        <v>727.45</v>
      </c>
      <c r="F241" s="97" t="n">
        <v>0.47</v>
      </c>
      <c r="G241" s="97" t="n">
        <v>1864296</v>
      </c>
      <c r="H241" s="97" t="n">
        <v>0.58</v>
      </c>
      <c r="I241" s="97" t="n">
        <v>104444</v>
      </c>
      <c r="J241" s="97" t="inlineStr">
        <is>
          <t>Y</t>
        </is>
      </c>
      <c r="K241" s="97" t="inlineStr">
        <is>
          <t>Y</t>
        </is>
      </c>
      <c r="L241" s="97" t="inlineStr">
        <is>
          <t>Y</t>
        </is>
      </c>
      <c r="M241" s="97" t="n">
        <v>45.7</v>
      </c>
      <c r="N241" s="97" t="inlineStr">
        <is>
          <t>N</t>
        </is>
      </c>
      <c r="O241" s="97" t="n">
        <v>17.17</v>
      </c>
      <c r="P241" s="97" t="inlineStr">
        <is>
          <t>N</t>
        </is>
      </c>
      <c r="Q241" s="97" t="inlineStr">
        <is>
          <t>N/A</t>
        </is>
      </c>
      <c r="R241" s="97" t="inlineStr">
        <is>
          <t>N</t>
        </is>
      </c>
      <c r="S241" s="97" t="n">
        <v>1.2</v>
      </c>
      <c r="T241" s="97" t="n">
        <v>13.7</v>
      </c>
      <c r="U241" s="97" t="inlineStr">
        <is>
          <t>Y</t>
        </is>
      </c>
      <c r="V241" s="97" t="n">
        <v>48.7</v>
      </c>
      <c r="W241" s="97" t="inlineStr">
        <is>
          <t>N/A</t>
        </is>
      </c>
      <c r="X241" s="97" t="n">
        <v>18.99</v>
      </c>
      <c r="Y241" s="97" t="n">
        <v>-40.3</v>
      </c>
      <c r="Z241" s="97" t="n">
        <v>4</v>
      </c>
      <c r="AA241" s="92" t="inlineStr">
        <is>
          <t>AVOID</t>
        </is>
      </c>
    </row>
    <row r="242">
      <c r="A242" s="99" t="inlineStr">
        <is>
          <t>INDUSTOWER</t>
        </is>
      </c>
      <c r="B242" s="99" t="inlineStr">
        <is>
          <t>Indus Towers Ltd.</t>
        </is>
      </c>
      <c r="C242" s="99" t="inlineStr">
        <is>
          <t>Telecommunication</t>
        </is>
      </c>
      <c r="D242" s="99" t="inlineStr">
        <is>
          <t>Large/Midcap</t>
        </is>
      </c>
      <c r="E242" s="99" t="n">
        <v>387.4</v>
      </c>
      <c r="F242" s="99" t="n">
        <v>-1.82</v>
      </c>
      <c r="G242" s="99" t="n">
        <v>3923875</v>
      </c>
      <c r="H242" s="99" t="n">
        <v>1.39</v>
      </c>
      <c r="I242" s="99" t="n">
        <v>102165</v>
      </c>
      <c r="J242" s="99" t="inlineStr">
        <is>
          <t>Y</t>
        </is>
      </c>
      <c r="K242" s="99" t="inlineStr">
        <is>
          <t>N</t>
        </is>
      </c>
      <c r="L242" s="99" t="inlineStr">
        <is>
          <t>N</t>
        </is>
      </c>
      <c r="M242" s="99" t="n">
        <v>53.5</v>
      </c>
      <c r="N242" s="99" t="inlineStr">
        <is>
          <t>Y</t>
        </is>
      </c>
      <c r="O242" s="99" t="n">
        <v>10.41</v>
      </c>
      <c r="P242" s="99" t="inlineStr">
        <is>
          <t>N</t>
        </is>
      </c>
      <c r="Q242" s="99" t="inlineStr">
        <is>
          <t>N/A</t>
        </is>
      </c>
      <c r="R242" s="99" t="inlineStr">
        <is>
          <t>N</t>
        </is>
      </c>
      <c r="S242" s="99" t="n">
        <v>-1.3</v>
      </c>
      <c r="T242" s="99" t="n">
        <v>-5.1</v>
      </c>
      <c r="U242" s="99" t="inlineStr">
        <is>
          <t>N</t>
        </is>
      </c>
      <c r="V242" s="99" t="n">
        <v>14.6</v>
      </c>
      <c r="W242" s="99" t="n">
        <v>19.8</v>
      </c>
      <c r="X242" s="99" t="n">
        <v>53.29</v>
      </c>
      <c r="Y242" s="99" t="n">
        <v>1</v>
      </c>
      <c r="Z242" s="99" t="n">
        <v>4</v>
      </c>
      <c r="AA242" s="94" t="inlineStr">
        <is>
          <t>AVOID</t>
        </is>
      </c>
    </row>
    <row r="243">
      <c r="A243" s="97" t="inlineStr">
        <is>
          <t>IOC</t>
        </is>
      </c>
      <c r="B243" s="97" t="inlineStr">
        <is>
          <t>Indian Oil Corporation Ltd.</t>
        </is>
      </c>
      <c r="C243" s="97" t="inlineStr">
        <is>
          <t>Oil Gas &amp; Consumable Fuels</t>
        </is>
      </c>
      <c r="D243" s="97" t="inlineStr">
        <is>
          <t>Large/Midcap</t>
        </is>
      </c>
      <c r="E243" s="97" t="n">
        <v>141.52</v>
      </c>
      <c r="F243" s="97" t="n">
        <v>2.2</v>
      </c>
      <c r="G243" s="97" t="n">
        <v>8260417</v>
      </c>
      <c r="H243" s="97" t="n">
        <v>0.8100000000000001</v>
      </c>
      <c r="I243" s="97" t="n">
        <v>199844</v>
      </c>
      <c r="J243" s="97" t="inlineStr">
        <is>
          <t>Y</t>
        </is>
      </c>
      <c r="K243" s="97" t="inlineStr">
        <is>
          <t>Y</t>
        </is>
      </c>
      <c r="L243" s="97" t="inlineStr">
        <is>
          <t>N</t>
        </is>
      </c>
      <c r="M243" s="97" t="n">
        <v>48.6</v>
      </c>
      <c r="N243" s="97" t="inlineStr">
        <is>
          <t>N</t>
        </is>
      </c>
      <c r="O243" s="97" t="n">
        <v>3.14</v>
      </c>
      <c r="P243" s="97" t="inlineStr">
        <is>
          <t>N</t>
        </is>
      </c>
      <c r="Q243" s="97" t="inlineStr">
        <is>
          <t>N/A</t>
        </is>
      </c>
      <c r="R243" s="97" t="inlineStr">
        <is>
          <t>N</t>
        </is>
      </c>
      <c r="S243" s="97" t="n">
        <v>-1.4</v>
      </c>
      <c r="T243" s="97" t="n">
        <v>-0.1</v>
      </c>
      <c r="U243" s="97" t="inlineStr">
        <is>
          <t>N</t>
        </is>
      </c>
      <c r="V243" s="97" t="n">
        <v>4.5</v>
      </c>
      <c r="W243" s="97" t="n">
        <v>21</v>
      </c>
      <c r="X243" s="97" t="n">
        <v>58.45</v>
      </c>
      <c r="Y243" s="97" t="n">
        <v>11.2</v>
      </c>
      <c r="Z243" s="97" t="n">
        <v>4</v>
      </c>
      <c r="AA243" s="92" t="inlineStr">
        <is>
          <t>AVOID</t>
        </is>
      </c>
    </row>
    <row r="244">
      <c r="A244" s="99" t="inlineStr">
        <is>
          <t>IPCALAB</t>
        </is>
      </c>
      <c r="B244" s="99" t="inlineStr">
        <is>
          <t>Ipca Laboratories Ltd.</t>
        </is>
      </c>
      <c r="C244" s="99" t="inlineStr">
        <is>
          <t>Healthcare</t>
        </is>
      </c>
      <c r="D244" s="99" t="inlineStr">
        <is>
          <t>Large/Midcap</t>
        </is>
      </c>
      <c r="E244" s="99" t="n">
        <v>1762.7</v>
      </c>
      <c r="F244" s="99" t="n">
        <v>-0.48</v>
      </c>
      <c r="G244" s="99" t="n">
        <v>79195</v>
      </c>
      <c r="H244" s="99" t="n">
        <v>0.3</v>
      </c>
      <c r="I244" s="99" t="n">
        <v>45098</v>
      </c>
      <c r="J244" s="99" t="inlineStr">
        <is>
          <t>Y</t>
        </is>
      </c>
      <c r="K244" s="99" t="inlineStr">
        <is>
          <t>Y</t>
        </is>
      </c>
      <c r="L244" s="99" t="inlineStr">
        <is>
          <t>Y</t>
        </is>
      </c>
      <c r="M244" s="99" t="n">
        <v>46.9</v>
      </c>
      <c r="N244" s="99" t="inlineStr">
        <is>
          <t>N</t>
        </is>
      </c>
      <c r="O244" s="99" t="n">
        <v>58.95</v>
      </c>
      <c r="P244" s="99" t="inlineStr">
        <is>
          <t>N</t>
        </is>
      </c>
      <c r="Q244" s="99" t="inlineStr">
        <is>
          <t>N/A</t>
        </is>
      </c>
      <c r="R244" s="99" t="inlineStr">
        <is>
          <t>N</t>
        </is>
      </c>
      <c r="S244" s="99" t="n">
        <v>9.199999999999999</v>
      </c>
      <c r="T244" s="99" t="n">
        <v>14.7</v>
      </c>
      <c r="U244" s="99" t="inlineStr">
        <is>
          <t>Y</t>
        </is>
      </c>
      <c r="V244" s="99" t="n">
        <v>39.5</v>
      </c>
      <c r="W244" s="99" t="n">
        <v>13.2</v>
      </c>
      <c r="X244" s="99" t="n">
        <v>8.49</v>
      </c>
      <c r="Y244" s="99" t="n">
        <v>-8.300000000000001</v>
      </c>
      <c r="Z244" s="99" t="n">
        <v>4</v>
      </c>
      <c r="AA244" s="94" t="inlineStr">
        <is>
          <t>AVOID</t>
        </is>
      </c>
    </row>
    <row r="245">
      <c r="A245" s="97" t="inlineStr">
        <is>
          <t>JSWENERGY</t>
        </is>
      </c>
      <c r="B245" s="97" t="inlineStr">
        <is>
          <t>JSW Energy Ltd.</t>
        </is>
      </c>
      <c r="C245" s="97" t="inlineStr">
        <is>
          <t>Power</t>
        </is>
      </c>
      <c r="D245" s="97" t="inlineStr">
        <is>
          <t>Large/Midcap</t>
        </is>
      </c>
      <c r="E245" s="97" t="n">
        <v>551.65</v>
      </c>
      <c r="F245" s="97" t="n">
        <v>-1.02</v>
      </c>
      <c r="G245" s="97" t="n">
        <v>1620670</v>
      </c>
      <c r="H245" s="97" t="n">
        <v>0.67</v>
      </c>
      <c r="I245" s="97" t="n">
        <v>100726</v>
      </c>
      <c r="J245" s="97" t="inlineStr">
        <is>
          <t>Y</t>
        </is>
      </c>
      <c r="K245" s="97" t="inlineStr">
        <is>
          <t>N</t>
        </is>
      </c>
      <c r="L245" s="97" t="inlineStr">
        <is>
          <t>Y</t>
        </is>
      </c>
      <c r="M245" s="97" t="n">
        <v>52.2</v>
      </c>
      <c r="N245" s="97" t="inlineStr">
        <is>
          <t>Y</t>
        </is>
      </c>
      <c r="O245" s="97" t="n">
        <v>15.12</v>
      </c>
      <c r="P245" s="97" t="inlineStr">
        <is>
          <t>N</t>
        </is>
      </c>
      <c r="Q245" s="97" t="inlineStr">
        <is>
          <t>N/A</t>
        </is>
      </c>
      <c r="R245" s="97" t="inlineStr">
        <is>
          <t>N</t>
        </is>
      </c>
      <c r="S245" s="97" t="n">
        <v>-3.6</v>
      </c>
      <c r="T245" s="97" t="n">
        <v>-0.8</v>
      </c>
      <c r="U245" s="97" t="inlineStr">
        <is>
          <t>N</t>
        </is>
      </c>
      <c r="V245" s="97" t="n">
        <v>43.1</v>
      </c>
      <c r="W245" s="97" t="inlineStr">
        <is>
          <t>N/A</t>
        </is>
      </c>
      <c r="X245" s="97" t="n">
        <v>229.16</v>
      </c>
      <c r="Y245" s="97" t="n">
        <v>26.8</v>
      </c>
      <c r="Z245" s="97" t="n">
        <v>4</v>
      </c>
      <c r="AA245" s="92" t="inlineStr">
        <is>
          <t>AVOID</t>
        </is>
      </c>
    </row>
    <row r="246">
      <c r="A246" s="99" t="inlineStr">
        <is>
          <t>JSWINFRA</t>
        </is>
      </c>
      <c r="B246" s="99" t="inlineStr">
        <is>
          <t>JSW Infrastructure Ltd.</t>
        </is>
      </c>
      <c r="C246" s="99" t="inlineStr">
        <is>
          <t>Services</t>
        </is>
      </c>
      <c r="D246" s="99" t="inlineStr">
        <is>
          <t>Large/Midcap</t>
        </is>
      </c>
      <c r="E246" s="99" t="n">
        <v>322.7</v>
      </c>
      <c r="F246" s="99" t="n">
        <v>-0.55</v>
      </c>
      <c r="G246" s="99" t="n">
        <v>2835528</v>
      </c>
      <c r="H246" s="99" t="n">
        <v>0.85</v>
      </c>
      <c r="I246" s="99" t="n">
        <v>74502</v>
      </c>
      <c r="J246" s="99" t="inlineStr">
        <is>
          <t>Y</t>
        </is>
      </c>
      <c r="K246" s="99" t="inlineStr">
        <is>
          <t>Y</t>
        </is>
      </c>
      <c r="L246" s="99" t="inlineStr">
        <is>
          <t>Y</t>
        </is>
      </c>
      <c r="M246" s="99" t="n">
        <v>49.3</v>
      </c>
      <c r="N246" s="99" t="inlineStr">
        <is>
          <t>N</t>
        </is>
      </c>
      <c r="O246" s="99" t="n">
        <v>12.08</v>
      </c>
      <c r="P246" s="99" t="inlineStr">
        <is>
          <t>N</t>
        </is>
      </c>
      <c r="Q246" s="99" t="inlineStr">
        <is>
          <t>N/A</t>
        </is>
      </c>
      <c r="R246" s="99" t="inlineStr">
        <is>
          <t>N</t>
        </is>
      </c>
      <c r="S246" s="99" t="n">
        <v>-1.9</v>
      </c>
      <c r="T246" s="99" t="n">
        <v>18.9</v>
      </c>
      <c r="U246" s="99" t="inlineStr">
        <is>
          <t>Y</t>
        </is>
      </c>
      <c r="V246" s="99" t="n">
        <v>45.3</v>
      </c>
      <c r="W246" s="99" t="inlineStr">
        <is>
          <t>N/A</t>
        </is>
      </c>
      <c r="X246" s="99" t="n">
        <v>59</v>
      </c>
      <c r="Y246" s="99" t="n">
        <v>-17.1</v>
      </c>
      <c r="Z246" s="99" t="n">
        <v>4</v>
      </c>
      <c r="AA246" s="94" t="inlineStr">
        <is>
          <t>AVOID</t>
        </is>
      </c>
    </row>
    <row r="247">
      <c r="A247" s="97" t="inlineStr">
        <is>
          <t>JINDALSAW</t>
        </is>
      </c>
      <c r="B247" s="97" t="inlineStr">
        <is>
          <t>Jindal Saw Ltd.</t>
        </is>
      </c>
      <c r="C247" s="97" t="inlineStr">
        <is>
          <t>Capital Goods</t>
        </is>
      </c>
      <c r="D247" s="97" t="inlineStr">
        <is>
          <t>BSE Smallcap</t>
        </is>
      </c>
      <c r="E247" s="97" t="n">
        <v>255.35</v>
      </c>
      <c r="F247" s="97" t="n">
        <v>-2.15</v>
      </c>
      <c r="G247" s="97" t="n">
        <v>1031851</v>
      </c>
      <c r="H247" s="97" t="n">
        <v>0.76</v>
      </c>
      <c r="I247" s="97" t="n">
        <v>15995</v>
      </c>
      <c r="J247" s="97" t="inlineStr">
        <is>
          <t>Y</t>
        </is>
      </c>
      <c r="K247" s="97" t="inlineStr">
        <is>
          <t>Y</t>
        </is>
      </c>
      <c r="L247" s="97" t="inlineStr">
        <is>
          <t>Y</t>
        </is>
      </c>
      <c r="M247" s="97" t="n">
        <v>47</v>
      </c>
      <c r="N247" s="97" t="inlineStr">
        <is>
          <t>N</t>
        </is>
      </c>
      <c r="O247" s="97" t="n">
        <v>11.51</v>
      </c>
      <c r="P247" s="97" t="inlineStr">
        <is>
          <t>N</t>
        </is>
      </c>
      <c r="Q247" s="97" t="inlineStr">
        <is>
          <t>N/A</t>
        </is>
      </c>
      <c r="R247" s="97" t="inlineStr">
        <is>
          <t>N</t>
        </is>
      </c>
      <c r="S247" s="97" t="n">
        <v>-1.8</v>
      </c>
      <c r="T247" s="97" t="n">
        <v>12.5</v>
      </c>
      <c r="U247" s="97" t="inlineStr">
        <is>
          <t>Y</t>
        </is>
      </c>
      <c r="V247" s="97" t="n">
        <v>24.5</v>
      </c>
      <c r="W247" s="97" t="inlineStr">
        <is>
          <t>N/A</t>
        </is>
      </c>
      <c r="X247" s="97" t="n">
        <v>38.19</v>
      </c>
      <c r="Y247" s="97" t="n"/>
      <c r="Z247" s="97" t="n">
        <v>4</v>
      </c>
      <c r="AA247" s="92" t="inlineStr">
        <is>
          <t>AVOID</t>
        </is>
      </c>
    </row>
    <row r="248">
      <c r="A248" s="99" t="inlineStr">
        <is>
          <t>JUBLFOOD</t>
        </is>
      </c>
      <c r="B248" s="99" t="inlineStr">
        <is>
          <t>Jubilant Foodworks Ltd.</t>
        </is>
      </c>
      <c r="C248" s="99" t="inlineStr">
        <is>
          <t>Consumer Services</t>
        </is>
      </c>
      <c r="D248" s="99" t="inlineStr">
        <is>
          <t>Large/Midcap</t>
        </is>
      </c>
      <c r="E248" s="99" t="n">
        <v>427.45</v>
      </c>
      <c r="F248" s="99" t="n">
        <v>2.2</v>
      </c>
      <c r="G248" s="99" t="n">
        <v>1229160</v>
      </c>
      <c r="H248" s="99" t="n">
        <v>1.17</v>
      </c>
      <c r="I248" s="99" t="n">
        <v>28112</v>
      </c>
      <c r="J248" s="99" t="inlineStr">
        <is>
          <t>Y</t>
        </is>
      </c>
      <c r="K248" s="99" t="inlineStr">
        <is>
          <t>Y</t>
        </is>
      </c>
      <c r="L248" s="99" t="inlineStr">
        <is>
          <t>N</t>
        </is>
      </c>
      <c r="M248" s="99" t="n">
        <v>37.6</v>
      </c>
      <c r="N248" s="99" t="inlineStr">
        <is>
          <t>N</t>
        </is>
      </c>
      <c r="O248" s="99" t="n">
        <v>11.89</v>
      </c>
      <c r="P248" s="99" t="inlineStr">
        <is>
          <t>N</t>
        </is>
      </c>
      <c r="Q248" s="99" t="inlineStr">
        <is>
          <t>N/A</t>
        </is>
      </c>
      <c r="R248" s="99" t="inlineStr">
        <is>
          <t>N</t>
        </is>
      </c>
      <c r="S248" s="99" t="n">
        <v>1.5</v>
      </c>
      <c r="T248" s="99" t="n">
        <v>-10</v>
      </c>
      <c r="U248" s="99" t="inlineStr">
        <is>
          <t>N</t>
        </is>
      </c>
      <c r="V248" s="99" t="n">
        <v>73.59999999999999</v>
      </c>
      <c r="W248" s="99" t="n">
        <v>16.9</v>
      </c>
      <c r="X248" s="99" t="n">
        <v>2.65</v>
      </c>
      <c r="Y248" s="99" t="n">
        <v>12.5</v>
      </c>
      <c r="Z248" s="99" t="n">
        <v>4</v>
      </c>
      <c r="AA248" s="94" t="inlineStr">
        <is>
          <t>AVOID</t>
        </is>
      </c>
    </row>
    <row r="249">
      <c r="A249" s="97" t="inlineStr">
        <is>
          <t>KEI</t>
        </is>
      </c>
      <c r="B249" s="97" t="inlineStr">
        <is>
          <t>KEI Industries Ltd.</t>
        </is>
      </c>
      <c r="C249" s="97" t="inlineStr">
        <is>
          <t>Capital Goods</t>
        </is>
      </c>
      <c r="D249" s="97" t="inlineStr">
        <is>
          <t>Large/Midcap</t>
        </is>
      </c>
      <c r="E249" s="97" t="n">
        <v>4873</v>
      </c>
      <c r="F249" s="97" t="n">
        <v>0.1</v>
      </c>
      <c r="G249" s="97" t="n">
        <v>136296</v>
      </c>
      <c r="H249" s="97" t="n">
        <v>0.8100000000000001</v>
      </c>
      <c r="I249" s="97" t="n">
        <v>46586</v>
      </c>
      <c r="J249" s="97" t="inlineStr">
        <is>
          <t>Y</t>
        </is>
      </c>
      <c r="K249" s="97" t="inlineStr">
        <is>
          <t>N</t>
        </is>
      </c>
      <c r="L249" s="97" t="inlineStr">
        <is>
          <t>Y</t>
        </is>
      </c>
      <c r="M249" s="97" t="n">
        <v>32.9</v>
      </c>
      <c r="N249" s="97" t="inlineStr">
        <is>
          <t>N</t>
        </is>
      </c>
      <c r="O249" s="97" t="n">
        <v>131.64</v>
      </c>
      <c r="P249" s="97" t="inlineStr">
        <is>
          <t>N</t>
        </is>
      </c>
      <c r="Q249" s="97" t="inlineStr">
        <is>
          <t>N/A</t>
        </is>
      </c>
      <c r="R249" s="97" t="inlineStr">
        <is>
          <t>N</t>
        </is>
      </c>
      <c r="S249" s="97" t="n">
        <v>-7.2</v>
      </c>
      <c r="T249" s="97" t="n">
        <v>0.7</v>
      </c>
      <c r="U249" s="97" t="inlineStr">
        <is>
          <t>Y</t>
        </is>
      </c>
      <c r="V249" s="97" t="n">
        <v>50.8</v>
      </c>
      <c r="W249" s="97" t="n">
        <v>14.8</v>
      </c>
      <c r="X249" s="97" t="n">
        <v>3.8</v>
      </c>
      <c r="Y249" s="97" t="n">
        <v>21.1</v>
      </c>
      <c r="Z249" s="97" t="n">
        <v>4</v>
      </c>
      <c r="AA249" s="92" t="inlineStr">
        <is>
          <t>AVOID</t>
        </is>
      </c>
    </row>
    <row r="250">
      <c r="A250" s="99" t="inlineStr">
        <is>
          <t>KPITTECH</t>
        </is>
      </c>
      <c r="B250" s="99" t="inlineStr">
        <is>
          <t>KPIT Technologies Ltd.</t>
        </is>
      </c>
      <c r="C250" s="99" t="inlineStr">
        <is>
          <t>Information Technology</t>
        </is>
      </c>
      <c r="D250" s="99" t="inlineStr">
        <is>
          <t>BSE Smallcap</t>
        </is>
      </c>
      <c r="E250" s="99" t="n">
        <v>585.2</v>
      </c>
      <c r="F250" s="99" t="n">
        <v>0.34</v>
      </c>
      <c r="G250" s="99" t="n">
        <v>5068869</v>
      </c>
      <c r="H250" s="99" t="n">
        <v>1.2</v>
      </c>
      <c r="I250" s="99" t="n">
        <v>15931</v>
      </c>
      <c r="J250" s="99" t="inlineStr">
        <is>
          <t>Y</t>
        </is>
      </c>
      <c r="K250" s="99" t="inlineStr">
        <is>
          <t>N</t>
        </is>
      </c>
      <c r="L250" s="99" t="inlineStr">
        <is>
          <t>N</t>
        </is>
      </c>
      <c r="M250" s="99" t="n">
        <v>59.3</v>
      </c>
      <c r="N250" s="99" t="inlineStr">
        <is>
          <t>Y</t>
        </is>
      </c>
      <c r="O250" s="99" t="n">
        <v>16.85</v>
      </c>
      <c r="P250" s="99" t="inlineStr">
        <is>
          <t>N</t>
        </is>
      </c>
      <c r="Q250" s="99" t="inlineStr">
        <is>
          <t>N/A</t>
        </is>
      </c>
      <c r="R250" s="99" t="inlineStr">
        <is>
          <t>N</t>
        </is>
      </c>
      <c r="S250" s="99" t="n">
        <v>-20.9</v>
      </c>
      <c r="T250" s="99" t="n">
        <v>-22.5</v>
      </c>
      <c r="U250" s="99" t="inlineStr">
        <is>
          <t>N</t>
        </is>
      </c>
      <c r="V250" s="99" t="n">
        <v>25.1</v>
      </c>
      <c r="W250" s="99" t="n">
        <v>19.7</v>
      </c>
      <c r="X250" s="99" t="n">
        <v>23.62</v>
      </c>
      <c r="Y250" s="99" t="n">
        <v>22.3</v>
      </c>
      <c r="Z250" s="99" t="n">
        <v>4</v>
      </c>
      <c r="AA250" s="94" t="inlineStr">
        <is>
          <t>AVOID</t>
        </is>
      </c>
    </row>
    <row r="251">
      <c r="A251" s="97" t="inlineStr">
        <is>
          <t>KPIL</t>
        </is>
      </c>
      <c r="B251" s="97" t="inlineStr">
        <is>
          <t>Kalpataru Projects International Ltd.</t>
        </is>
      </c>
      <c r="C251" s="97" t="inlineStr">
        <is>
          <t>Construction</t>
        </is>
      </c>
      <c r="D251" s="97" t="inlineStr">
        <is>
          <t>BSE Smallcap</t>
        </is>
      </c>
      <c r="E251" s="97" t="n">
        <v>1299.9</v>
      </c>
      <c r="F251" s="97" t="n">
        <v>0.15</v>
      </c>
      <c r="G251" s="97" t="n">
        <v>131284</v>
      </c>
      <c r="H251" s="97" t="n">
        <v>1.29</v>
      </c>
      <c r="I251" s="97" t="n">
        <v>22173</v>
      </c>
      <c r="J251" s="97" t="inlineStr">
        <is>
          <t>Y</t>
        </is>
      </c>
      <c r="K251" s="97" t="inlineStr">
        <is>
          <t>N</t>
        </is>
      </c>
      <c r="L251" s="97" t="inlineStr">
        <is>
          <t>Y</t>
        </is>
      </c>
      <c r="M251" s="97" t="n">
        <v>32.6</v>
      </c>
      <c r="N251" s="97" t="inlineStr">
        <is>
          <t>N</t>
        </is>
      </c>
      <c r="O251" s="97" t="n">
        <v>34.16</v>
      </c>
      <c r="P251" s="97" t="inlineStr">
        <is>
          <t>N</t>
        </is>
      </c>
      <c r="Q251" s="97" t="inlineStr">
        <is>
          <t>N/A</t>
        </is>
      </c>
      <c r="R251" s="97" t="inlineStr">
        <is>
          <t>N</t>
        </is>
      </c>
      <c r="S251" s="97" t="n">
        <v>-5.1</v>
      </c>
      <c r="T251" s="97" t="n">
        <v>4</v>
      </c>
      <c r="U251" s="97" t="inlineStr">
        <is>
          <t>Y</t>
        </is>
      </c>
      <c r="V251" s="97" t="n">
        <v>21.3</v>
      </c>
      <c r="W251" s="97" t="n">
        <v>14.5</v>
      </c>
      <c r="X251" s="97" t="n">
        <v>45.81</v>
      </c>
      <c r="Y251" s="97" t="n">
        <v>185.3</v>
      </c>
      <c r="Z251" s="97" t="n">
        <v>4</v>
      </c>
      <c r="AA251" s="92" t="inlineStr">
        <is>
          <t>AVOID</t>
        </is>
      </c>
    </row>
    <row r="252">
      <c r="A252" s="99" t="inlineStr">
        <is>
          <t>KOTAKBANK</t>
        </is>
      </c>
      <c r="B252" s="99" t="inlineStr">
        <is>
          <t>Kotak Mahindra Bank Ltd.</t>
        </is>
      </c>
      <c r="C252" s="99" t="inlineStr">
        <is>
          <t>Financial Services</t>
        </is>
      </c>
      <c r="D252" s="99" t="inlineStr">
        <is>
          <t>Large/Midcap</t>
        </is>
      </c>
      <c r="E252" s="99" t="n">
        <v>384.65</v>
      </c>
      <c r="F252" s="99" t="n">
        <v>-0.03</v>
      </c>
      <c r="G252" s="99" t="n">
        <v>16710096</v>
      </c>
      <c r="H252" s="99" t="n">
        <v>1.33</v>
      </c>
      <c r="I252" s="99" t="n">
        <v>382591</v>
      </c>
      <c r="J252" s="99" t="inlineStr">
        <is>
          <t>Y</t>
        </is>
      </c>
      <c r="K252" s="99" t="inlineStr">
        <is>
          <t>N</t>
        </is>
      </c>
      <c r="L252" s="99" t="inlineStr">
        <is>
          <t>N</t>
        </is>
      </c>
      <c r="M252" s="99" t="n">
        <v>52.7</v>
      </c>
      <c r="N252" s="99" t="inlineStr">
        <is>
          <t>Y</t>
        </is>
      </c>
      <c r="O252" s="99" t="n">
        <v>8.880000000000001</v>
      </c>
      <c r="P252" s="99" t="inlineStr">
        <is>
          <t>N</t>
        </is>
      </c>
      <c r="Q252" s="99" t="inlineStr">
        <is>
          <t>N/A</t>
        </is>
      </c>
      <c r="R252" s="99" t="inlineStr">
        <is>
          <t>N</t>
        </is>
      </c>
      <c r="S252" s="99" t="n">
        <v>-5.5</v>
      </c>
      <c r="T252" s="99" t="n">
        <v>0.9</v>
      </c>
      <c r="U252" s="99" t="inlineStr">
        <is>
          <t>Y</t>
        </is>
      </c>
      <c r="V252" s="99" t="n">
        <v>18.9</v>
      </c>
      <c r="W252" s="99" t="inlineStr">
        <is>
          <t>N/A</t>
        </is>
      </c>
      <c r="X252" s="99" t="inlineStr">
        <is>
          <t>N/A</t>
        </is>
      </c>
      <c r="Y252" s="99" t="n">
        <v>1.1</v>
      </c>
      <c r="Z252" s="99" t="n">
        <v>4</v>
      </c>
      <c r="AA252" s="94" t="inlineStr">
        <is>
          <t>AVOID</t>
        </is>
      </c>
    </row>
    <row r="253">
      <c r="A253" s="97" t="inlineStr">
        <is>
          <t>LTTS</t>
        </is>
      </c>
      <c r="B253" s="97" t="inlineStr">
        <is>
          <t>L&amp;T Technology Services Ltd.</t>
        </is>
      </c>
      <c r="C253" s="97" t="inlineStr">
        <is>
          <t>Information Technology</t>
        </is>
      </c>
      <c r="D253" s="97" t="inlineStr">
        <is>
          <t>Large/Midcap</t>
        </is>
      </c>
      <c r="E253" s="97" t="n">
        <v>3418.1</v>
      </c>
      <c r="F253" s="97" t="n">
        <v>1.27</v>
      </c>
      <c r="G253" s="97" t="n">
        <v>84347</v>
      </c>
      <c r="H253" s="97" t="n">
        <v>0.96</v>
      </c>
      <c r="I253" s="97" t="n">
        <v>37107</v>
      </c>
      <c r="J253" s="97" t="inlineStr">
        <is>
          <t>Y</t>
        </is>
      </c>
      <c r="K253" s="97" t="inlineStr">
        <is>
          <t>Y</t>
        </is>
      </c>
      <c r="L253" s="97" t="inlineStr">
        <is>
          <t>N</t>
        </is>
      </c>
      <c r="M253" s="97" t="n">
        <v>65.40000000000001</v>
      </c>
      <c r="N253" s="97" t="inlineStr">
        <is>
          <t>Y</t>
        </is>
      </c>
      <c r="O253" s="97" t="n">
        <v>129.93</v>
      </c>
      <c r="P253" s="97" t="inlineStr">
        <is>
          <t>N</t>
        </is>
      </c>
      <c r="Q253" s="97" t="inlineStr">
        <is>
          <t>N/A</t>
        </is>
      </c>
      <c r="R253" s="97" t="inlineStr">
        <is>
          <t>N</t>
        </is>
      </c>
      <c r="S253" s="97" t="n">
        <v>3.1</v>
      </c>
      <c r="T253" s="97" t="n">
        <v>-2.5</v>
      </c>
      <c r="U253" s="97" t="inlineStr">
        <is>
          <t>N</t>
        </is>
      </c>
      <c r="V253" s="97" t="n">
        <v>29</v>
      </c>
      <c r="W253" s="97" t="inlineStr">
        <is>
          <t>N/A</t>
        </is>
      </c>
      <c r="X253" s="97" t="n">
        <v>8.91</v>
      </c>
      <c r="Y253" s="97" t="n">
        <v>7.4</v>
      </c>
      <c r="Z253" s="97" t="n">
        <v>4</v>
      </c>
      <c r="AA253" s="92" t="inlineStr">
        <is>
          <t>AVOID</t>
        </is>
      </c>
    </row>
    <row r="254">
      <c r="A254" s="99" t="inlineStr">
        <is>
          <t>KIMS</t>
        </is>
      </c>
      <c r="B254" s="99" t="inlineStr">
        <is>
          <t>Krishna Institute of Medical Sciences Ltd.</t>
        </is>
      </c>
      <c r="C254" s="99" t="inlineStr">
        <is>
          <t>Healthcare</t>
        </is>
      </c>
      <c r="D254" s="99" t="inlineStr">
        <is>
          <t>BSE Smallcap</t>
        </is>
      </c>
      <c r="E254" s="99" t="n">
        <v>800.45</v>
      </c>
      <c r="F254" s="99" t="n">
        <v>0.33</v>
      </c>
      <c r="G254" s="99" t="n">
        <v>392176</v>
      </c>
      <c r="H254" s="99" t="n">
        <v>0.61</v>
      </c>
      <c r="I254" s="99" t="n">
        <v>32029</v>
      </c>
      <c r="J254" s="99" t="inlineStr">
        <is>
          <t>Y</t>
        </is>
      </c>
      <c r="K254" s="99" t="inlineStr">
        <is>
          <t>Y</t>
        </is>
      </c>
      <c r="L254" s="99" t="inlineStr">
        <is>
          <t>Y</t>
        </is>
      </c>
      <c r="M254" s="99" t="n">
        <v>46.7</v>
      </c>
      <c r="N254" s="99" t="inlineStr">
        <is>
          <t>N</t>
        </is>
      </c>
      <c r="O254" s="99" t="n">
        <v>18.46</v>
      </c>
      <c r="P254" s="99" t="inlineStr">
        <is>
          <t>N</t>
        </is>
      </c>
      <c r="Q254" s="99" t="inlineStr">
        <is>
          <t>N/A</t>
        </is>
      </c>
      <c r="R254" s="99" t="inlineStr">
        <is>
          <t>N</t>
        </is>
      </c>
      <c r="S254" s="99" t="n">
        <v>0.9</v>
      </c>
      <c r="T254" s="99" t="n">
        <v>20.5</v>
      </c>
      <c r="U254" s="99" t="inlineStr">
        <is>
          <t>Y</t>
        </is>
      </c>
      <c r="V254" s="99" t="n">
        <v>131.7</v>
      </c>
      <c r="W254" s="99" t="n">
        <v>9.699999999999999</v>
      </c>
      <c r="X254" s="99" t="n">
        <v>166.23</v>
      </c>
      <c r="Y254" s="99" t="n">
        <v>-20.4</v>
      </c>
      <c r="Z254" s="99" t="n">
        <v>4</v>
      </c>
      <c r="AA254" s="94" t="inlineStr">
        <is>
          <t>AVOID</t>
        </is>
      </c>
    </row>
    <row r="255">
      <c r="A255" s="97" t="inlineStr">
        <is>
          <t>LENSKART</t>
        </is>
      </c>
      <c r="B255" s="97" t="inlineStr">
        <is>
          <t>Lenskart Solutions Ltd.</t>
        </is>
      </c>
      <c r="C255" s="97" t="inlineStr">
        <is>
          <t>Consumer Services</t>
        </is>
      </c>
      <c r="D255" s="97" t="inlineStr">
        <is>
          <t>Large/Midcap</t>
        </is>
      </c>
      <c r="E255" s="97" t="n">
        <v>572</v>
      </c>
      <c r="F255" s="97" t="n">
        <v>2.9</v>
      </c>
      <c r="G255" s="97" t="n">
        <v>4051944</v>
      </c>
      <c r="H255" s="97" t="n">
        <v>1.08</v>
      </c>
      <c r="I255" s="97" t="n">
        <v>99038</v>
      </c>
      <c r="J255" s="97" t="inlineStr">
        <is>
          <t>Y</t>
        </is>
      </c>
      <c r="K255" s="97" t="inlineStr">
        <is>
          <t>Y</t>
        </is>
      </c>
      <c r="L255" s="97" t="inlineStr">
        <is>
          <t>N/A</t>
        </is>
      </c>
      <c r="M255" s="97" t="n">
        <v>72.5</v>
      </c>
      <c r="N255" s="97" t="inlineStr">
        <is>
          <t>N</t>
        </is>
      </c>
      <c r="O255" s="97" t="n">
        <v>16.37</v>
      </c>
      <c r="P255" s="97" t="inlineStr">
        <is>
          <t>N</t>
        </is>
      </c>
      <c r="Q255" s="97" t="inlineStr">
        <is>
          <t>N/A</t>
        </is>
      </c>
      <c r="R255" s="97" t="inlineStr">
        <is>
          <t>N</t>
        </is>
      </c>
      <c r="S255" s="97" t="n">
        <v>12.6</v>
      </c>
      <c r="T255" s="97" t="n">
        <v>11.3</v>
      </c>
      <c r="U255" s="97" t="inlineStr">
        <is>
          <t>Y</t>
        </is>
      </c>
      <c r="V255" s="97" t="n">
        <v>192.6</v>
      </c>
      <c r="W255" s="97" t="n">
        <v>6.7</v>
      </c>
      <c r="X255" s="97" t="n">
        <v>34.98</v>
      </c>
      <c r="Y255" s="97" t="n">
        <v>52.9</v>
      </c>
      <c r="Z255" s="97" t="n">
        <v>4</v>
      </c>
      <c r="AA255" s="92" t="inlineStr">
        <is>
          <t>AVOID</t>
        </is>
      </c>
    </row>
    <row r="256">
      <c r="A256" s="99" t="inlineStr">
        <is>
          <t>MRPL</t>
        </is>
      </c>
      <c r="B256" s="99" t="inlineStr">
        <is>
          <t>Mangalore Refinery &amp; Petrochemicals Ltd.</t>
        </is>
      </c>
      <c r="C256" s="99" t="inlineStr">
        <is>
          <t>Oil Gas &amp; Consumable Fuels</t>
        </is>
      </c>
      <c r="D256" s="99" t="inlineStr">
        <is>
          <t>BSE Smallcap</t>
        </is>
      </c>
      <c r="E256" s="99" t="n">
        <v>162.29</v>
      </c>
      <c r="F256" s="99" t="n">
        <v>-4.39</v>
      </c>
      <c r="G256" s="99" t="n">
        <v>11048279</v>
      </c>
      <c r="H256" s="99" t="n">
        <v>0.57</v>
      </c>
      <c r="I256" s="99" t="n">
        <v>28443</v>
      </c>
      <c r="J256" s="99" t="inlineStr">
        <is>
          <t>Y</t>
        </is>
      </c>
      <c r="K256" s="99" t="inlineStr">
        <is>
          <t>Y</t>
        </is>
      </c>
      <c r="L256" s="99" t="inlineStr">
        <is>
          <t>N</t>
        </is>
      </c>
      <c r="M256" s="99" t="n">
        <v>61.4</v>
      </c>
      <c r="N256" s="99" t="inlineStr">
        <is>
          <t>Y</t>
        </is>
      </c>
      <c r="O256" s="99" t="n">
        <v>9.550000000000001</v>
      </c>
      <c r="P256" s="99" t="inlineStr">
        <is>
          <t>N</t>
        </is>
      </c>
      <c r="Q256" s="99" t="inlineStr">
        <is>
          <t>N/A</t>
        </is>
      </c>
      <c r="R256" s="99" t="inlineStr">
        <is>
          <t>N</t>
        </is>
      </c>
      <c r="S256" s="99" t="n">
        <v>5.7</v>
      </c>
      <c r="T256" s="99" t="n">
        <v>-2.7</v>
      </c>
      <c r="U256" s="99" t="inlineStr">
        <is>
          <t>N</t>
        </is>
      </c>
      <c r="V256" s="99" t="n">
        <v>9.5</v>
      </c>
      <c r="W256" s="99" t="inlineStr">
        <is>
          <t>N/A</t>
        </is>
      </c>
      <c r="X256" s="99" t="n">
        <v>108.06</v>
      </c>
      <c r="Y256" s="99" t="n">
        <v>708.5</v>
      </c>
      <c r="Z256" s="99" t="n">
        <v>4</v>
      </c>
      <c r="AA256" s="94" t="inlineStr">
        <is>
          <t>AVOID</t>
        </is>
      </c>
    </row>
    <row r="257">
      <c r="A257" s="97" t="inlineStr">
        <is>
          <t>M&amp;M</t>
        </is>
      </c>
      <c r="B257" s="97" t="inlineStr">
        <is>
          <t>Mahindra &amp; Mahindra Ltd.</t>
        </is>
      </c>
      <c r="C257" s="97" t="inlineStr">
        <is>
          <t>Automobile and Auto Components</t>
        </is>
      </c>
      <c r="D257" s="97" t="inlineStr">
        <is>
          <t>Large/Midcap</t>
        </is>
      </c>
      <c r="E257" s="97" t="n">
        <v>3161.4</v>
      </c>
      <c r="F257" s="97" t="n">
        <v>-2.11</v>
      </c>
      <c r="G257" s="97" t="n">
        <v>2135688</v>
      </c>
      <c r="H257" s="97" t="n">
        <v>1.02</v>
      </c>
      <c r="I257" s="97" t="n">
        <v>388879</v>
      </c>
      <c r="J257" s="97" t="inlineStr">
        <is>
          <t>Y</t>
        </is>
      </c>
      <c r="K257" s="97" t="inlineStr">
        <is>
          <t>Y</t>
        </is>
      </c>
      <c r="L257" s="97" t="inlineStr">
        <is>
          <t>N</t>
        </is>
      </c>
      <c r="M257" s="97" t="n">
        <v>46.5</v>
      </c>
      <c r="N257" s="97" t="inlineStr">
        <is>
          <t>N</t>
        </is>
      </c>
      <c r="O257" s="97" t="n">
        <v>67.54000000000001</v>
      </c>
      <c r="P257" s="97" t="inlineStr">
        <is>
          <t>N</t>
        </is>
      </c>
      <c r="Q257" s="97" t="inlineStr">
        <is>
          <t>N/A</t>
        </is>
      </c>
      <c r="R257" s="97" t="inlineStr">
        <is>
          <t>N</t>
        </is>
      </c>
      <c r="S257" s="97" t="n">
        <v>0.6</v>
      </c>
      <c r="T257" s="97" t="n">
        <v>1.7</v>
      </c>
      <c r="U257" s="97" t="inlineStr">
        <is>
          <t>Y</t>
        </is>
      </c>
      <c r="V257" s="97" t="n">
        <v>21.3</v>
      </c>
      <c r="W257" s="97" t="n">
        <v>18.8</v>
      </c>
      <c r="X257" s="97" t="n">
        <v>125.28</v>
      </c>
      <c r="Y257" s="97" t="n">
        <v>-0.2</v>
      </c>
      <c r="Z257" s="97" t="n">
        <v>4</v>
      </c>
      <c r="AA257" s="92" t="inlineStr">
        <is>
          <t>AVOID</t>
        </is>
      </c>
    </row>
    <row r="258">
      <c r="A258" s="99" t="inlineStr">
        <is>
          <t>MOTILALOFS</t>
        </is>
      </c>
      <c r="B258" s="99" t="inlineStr">
        <is>
          <t>Motilal Oswal Financial Services Ltd.</t>
        </is>
      </c>
      <c r="C258" s="99" t="inlineStr">
        <is>
          <t>Financial Services</t>
        </is>
      </c>
      <c r="D258" s="99" t="inlineStr">
        <is>
          <t>Large/Midcap</t>
        </is>
      </c>
      <c r="E258" s="99" t="n">
        <v>869.3</v>
      </c>
      <c r="F258" s="99" t="n">
        <v>-0.3</v>
      </c>
      <c r="G258" s="99" t="n">
        <v>1491913</v>
      </c>
      <c r="H258" s="99" t="n">
        <v>0.29</v>
      </c>
      <c r="I258" s="99" t="n">
        <v>52345</v>
      </c>
      <c r="J258" s="99" t="inlineStr">
        <is>
          <t>Y</t>
        </is>
      </c>
      <c r="K258" s="99" t="inlineStr">
        <is>
          <t>N</t>
        </is>
      </c>
      <c r="L258" s="99" t="inlineStr">
        <is>
          <t>Y</t>
        </is>
      </c>
      <c r="M258" s="99" t="n">
        <v>34.6</v>
      </c>
      <c r="N258" s="99" t="inlineStr">
        <is>
          <t>N</t>
        </is>
      </c>
      <c r="O258" s="99" t="n">
        <v>33.32</v>
      </c>
      <c r="P258" s="99" t="inlineStr">
        <is>
          <t>N</t>
        </is>
      </c>
      <c r="Q258" s="99" t="inlineStr">
        <is>
          <t>N/A</t>
        </is>
      </c>
      <c r="R258" s="99" t="inlineStr">
        <is>
          <t>N</t>
        </is>
      </c>
      <c r="S258" s="99" t="n">
        <v>-7.9</v>
      </c>
      <c r="T258" s="99" t="n">
        <v>9</v>
      </c>
      <c r="U258" s="99" t="inlineStr">
        <is>
          <t>Y</t>
        </is>
      </c>
      <c r="V258" s="99" t="n">
        <v>27</v>
      </c>
      <c r="W258" s="99" t="inlineStr">
        <is>
          <t>N/A</t>
        </is>
      </c>
      <c r="X258" s="99" t="n">
        <v>165.8</v>
      </c>
      <c r="Y258" s="99" t="n">
        <v>675.3</v>
      </c>
      <c r="Z258" s="99" t="n">
        <v>4</v>
      </c>
      <c r="AA258" s="94" t="inlineStr">
        <is>
          <t>AVOID</t>
        </is>
      </c>
    </row>
    <row r="259">
      <c r="A259" s="97" t="inlineStr">
        <is>
          <t>NBCC</t>
        </is>
      </c>
      <c r="B259" s="97" t="inlineStr">
        <is>
          <t>NBCC (India) Ltd.</t>
        </is>
      </c>
      <c r="C259" s="97" t="inlineStr">
        <is>
          <t>Construction</t>
        </is>
      </c>
      <c r="D259" s="97" t="inlineStr">
        <is>
          <t>BSE Smallcap</t>
        </is>
      </c>
      <c r="E259" s="97" t="n">
        <v>93.84</v>
      </c>
      <c r="F259" s="97" t="n">
        <v>0.74</v>
      </c>
      <c r="G259" s="97" t="n">
        <v>6730344</v>
      </c>
      <c r="H259" s="97" t="n">
        <v>0.92</v>
      </c>
      <c r="I259" s="97" t="n">
        <v>25623</v>
      </c>
      <c r="J259" s="97" t="inlineStr">
        <is>
          <t>Y</t>
        </is>
      </c>
      <c r="K259" s="97" t="inlineStr">
        <is>
          <t>N</t>
        </is>
      </c>
      <c r="L259" s="97" t="inlineStr">
        <is>
          <t>N</t>
        </is>
      </c>
      <c r="M259" s="97" t="n">
        <v>37.1</v>
      </c>
      <c r="N259" s="97" t="inlineStr">
        <is>
          <t>N</t>
        </is>
      </c>
      <c r="O259" s="97" t="n">
        <v>2.74</v>
      </c>
      <c r="P259" s="97" t="inlineStr">
        <is>
          <t>N</t>
        </is>
      </c>
      <c r="Q259" s="97" t="inlineStr">
        <is>
          <t>N/A</t>
        </is>
      </c>
      <c r="R259" s="97" t="inlineStr">
        <is>
          <t>N</t>
        </is>
      </c>
      <c r="S259" s="97" t="n">
        <v>-12.2</v>
      </c>
      <c r="T259" s="97" t="n">
        <v>1.1</v>
      </c>
      <c r="U259" s="97" t="inlineStr">
        <is>
          <t>Y</t>
        </is>
      </c>
      <c r="V259" s="97" t="n">
        <v>35.5</v>
      </c>
      <c r="W259" s="97" t="n">
        <v>25.2</v>
      </c>
      <c r="X259" s="97" t="n">
        <v>0.01</v>
      </c>
      <c r="Y259" s="97" t="n">
        <v>25.1</v>
      </c>
      <c r="Z259" s="97" t="n">
        <v>4</v>
      </c>
      <c r="AA259" s="92" t="inlineStr">
        <is>
          <t>AVOID</t>
        </is>
      </c>
    </row>
    <row r="260">
      <c r="A260" s="99" t="inlineStr">
        <is>
          <t>NLCINDIA</t>
        </is>
      </c>
      <c r="B260" s="99" t="inlineStr">
        <is>
          <t>NLC India Ltd.</t>
        </is>
      </c>
      <c r="C260" s="99" t="inlineStr">
        <is>
          <t>Power</t>
        </is>
      </c>
      <c r="D260" s="99" t="inlineStr">
        <is>
          <t>Large/Midcap</t>
        </is>
      </c>
      <c r="E260" s="99" t="n">
        <v>298.45</v>
      </c>
      <c r="F260" s="99" t="n">
        <v>1.93</v>
      </c>
      <c r="G260" s="99" t="n">
        <v>2030451</v>
      </c>
      <c r="H260" s="99" t="n">
        <v>0.83</v>
      </c>
      <c r="I260" s="99" t="n">
        <v>41384</v>
      </c>
      <c r="J260" s="99" t="inlineStr">
        <is>
          <t>Y</t>
        </is>
      </c>
      <c r="K260" s="99" t="inlineStr">
        <is>
          <t>N</t>
        </is>
      </c>
      <c r="L260" s="99" t="inlineStr">
        <is>
          <t>Y</t>
        </is>
      </c>
      <c r="M260" s="99" t="n">
        <v>47.2</v>
      </c>
      <c r="N260" s="99" t="inlineStr">
        <is>
          <t>N</t>
        </is>
      </c>
      <c r="O260" s="99" t="n">
        <v>8.94</v>
      </c>
      <c r="P260" s="99" t="inlineStr">
        <is>
          <t>N</t>
        </is>
      </c>
      <c r="Q260" s="99" t="inlineStr">
        <is>
          <t>N/A</t>
        </is>
      </c>
      <c r="R260" s="99" t="inlineStr">
        <is>
          <t>N</t>
        </is>
      </c>
      <c r="S260" s="99" t="n">
        <v>-6.5</v>
      </c>
      <c r="T260" s="99" t="n">
        <v>-5.3</v>
      </c>
      <c r="U260" s="99" t="inlineStr">
        <is>
          <t>N</t>
        </is>
      </c>
      <c r="V260" s="99" t="n">
        <v>11.5</v>
      </c>
      <c r="W260" s="99" t="n">
        <v>16</v>
      </c>
      <c r="X260" s="99" t="n">
        <v>82</v>
      </c>
      <c r="Y260" s="99" t="n">
        <v>109.2</v>
      </c>
      <c r="Z260" s="99" t="n">
        <v>4</v>
      </c>
      <c r="AA260" s="94" t="inlineStr">
        <is>
          <t>AVOID</t>
        </is>
      </c>
    </row>
    <row r="261">
      <c r="A261" s="97" t="inlineStr">
        <is>
          <t>NMDC</t>
        </is>
      </c>
      <c r="B261" s="97" t="inlineStr">
        <is>
          <t>NMDC Ltd.</t>
        </is>
      </c>
      <c r="C261" s="97" t="inlineStr">
        <is>
          <t>Metals &amp; Mining</t>
        </is>
      </c>
      <c r="D261" s="97" t="inlineStr">
        <is>
          <t>Large/Midcap</t>
        </is>
      </c>
      <c r="E261" s="97" t="n">
        <v>83.56</v>
      </c>
      <c r="F261" s="97" t="n">
        <v>1.11</v>
      </c>
      <c r="G261" s="97" t="n">
        <v>16131661</v>
      </c>
      <c r="H261" s="97" t="n">
        <v>1.28</v>
      </c>
      <c r="I261" s="97" t="n">
        <v>73429</v>
      </c>
      <c r="J261" s="97" t="inlineStr">
        <is>
          <t>Y</t>
        </is>
      </c>
      <c r="K261" s="97" t="inlineStr">
        <is>
          <t>N</t>
        </is>
      </c>
      <c r="L261" s="97" t="inlineStr">
        <is>
          <t>Y</t>
        </is>
      </c>
      <c r="M261" s="97" t="n">
        <v>41.5</v>
      </c>
      <c r="N261" s="97" t="inlineStr">
        <is>
          <t>N</t>
        </is>
      </c>
      <c r="O261" s="97" t="n">
        <v>1.61</v>
      </c>
      <c r="P261" s="97" t="inlineStr">
        <is>
          <t>N</t>
        </is>
      </c>
      <c r="Q261" s="97" t="inlineStr">
        <is>
          <t>N/A</t>
        </is>
      </c>
      <c r="R261" s="97" t="inlineStr">
        <is>
          <t>N</t>
        </is>
      </c>
      <c r="S261" s="97" t="n">
        <v>-1.4</v>
      </c>
      <c r="T261" s="97" t="n">
        <v>-8.5</v>
      </c>
      <c r="U261" s="97" t="inlineStr">
        <is>
          <t>N</t>
        </is>
      </c>
      <c r="V261" s="97" t="n">
        <v>9.9</v>
      </c>
      <c r="W261" s="97" t="n">
        <v>23.4</v>
      </c>
      <c r="X261" s="97" t="n">
        <v>18.8</v>
      </c>
      <c r="Y261" s="97" t="n">
        <v>15.4</v>
      </c>
      <c r="Z261" s="97" t="n">
        <v>4</v>
      </c>
      <c r="AA261" s="92" t="inlineStr">
        <is>
          <t>AVOID</t>
        </is>
      </c>
    </row>
    <row r="262">
      <c r="A262" s="99" t="inlineStr">
        <is>
          <t>NEWGEN</t>
        </is>
      </c>
      <c r="B262" s="99" t="inlineStr">
        <is>
          <t>Newgen Software Technologies Ltd.</t>
        </is>
      </c>
      <c r="C262" s="99" t="inlineStr">
        <is>
          <t>Information Technology</t>
        </is>
      </c>
      <c r="D262" s="99" t="inlineStr">
        <is>
          <t>BSE Smallcap</t>
        </is>
      </c>
      <c r="E262" s="99" t="n">
        <v>505.7</v>
      </c>
      <c r="F262" s="99" t="n">
        <v>-0.61</v>
      </c>
      <c r="G262" s="99" t="n">
        <v>975202</v>
      </c>
      <c r="H262" s="99" t="n">
        <v>0.68</v>
      </c>
      <c r="I262" s="99" t="n">
        <v>7147</v>
      </c>
      <c r="J262" s="99" t="inlineStr">
        <is>
          <t>Y</t>
        </is>
      </c>
      <c r="K262" s="99" t="inlineStr">
        <is>
          <t>Y</t>
        </is>
      </c>
      <c r="L262" s="99" t="inlineStr">
        <is>
          <t>N</t>
        </is>
      </c>
      <c r="M262" s="99" t="n">
        <v>55.7</v>
      </c>
      <c r="N262" s="99" t="inlineStr">
        <is>
          <t>Y</t>
        </is>
      </c>
      <c r="O262" s="99" t="n">
        <v>36.61</v>
      </c>
      <c r="P262" s="99" t="inlineStr">
        <is>
          <t>N</t>
        </is>
      </c>
      <c r="Q262" s="99" t="inlineStr">
        <is>
          <t>N/A</t>
        </is>
      </c>
      <c r="R262" s="99" t="inlineStr">
        <is>
          <t>N</t>
        </is>
      </c>
      <c r="S262" s="99" t="n">
        <v>8.300000000000001</v>
      </c>
      <c r="T262" s="99" t="n">
        <v>6.9</v>
      </c>
      <c r="U262" s="99" t="inlineStr">
        <is>
          <t>Y</t>
        </is>
      </c>
      <c r="V262" s="99" t="n">
        <v>22.8</v>
      </c>
      <c r="W262" s="99" t="inlineStr">
        <is>
          <t>N/A</t>
        </is>
      </c>
      <c r="X262" s="99" t="n">
        <v>2.21</v>
      </c>
      <c r="Y262" s="99" t="n">
        <v>-40.9</v>
      </c>
      <c r="Z262" s="99" t="n">
        <v>4</v>
      </c>
      <c r="AA262" s="94" t="inlineStr">
        <is>
          <t>AVOID</t>
        </is>
      </c>
    </row>
    <row r="263">
      <c r="A263" s="97" t="inlineStr">
        <is>
          <t>NAM-INDIA</t>
        </is>
      </c>
      <c r="B263" s="97" t="inlineStr">
        <is>
          <t>Nippon Life India Asset Management Ltd.</t>
        </is>
      </c>
      <c r="C263" s="97" t="inlineStr">
        <is>
          <t>Financial Services</t>
        </is>
      </c>
      <c r="D263" s="97" t="inlineStr">
        <is>
          <t>Large/Midcap</t>
        </is>
      </c>
      <c r="E263" s="97" t="n">
        <v>1112.5</v>
      </c>
      <c r="F263" s="97" t="n">
        <v>0.61</v>
      </c>
      <c r="G263" s="97" t="n">
        <v>764070</v>
      </c>
      <c r="H263" s="97" t="n">
        <v>0.54</v>
      </c>
      <c r="I263" s="97" t="n">
        <v>73768</v>
      </c>
      <c r="J263" s="97" t="inlineStr">
        <is>
          <t>Y</t>
        </is>
      </c>
      <c r="K263" s="97" t="inlineStr">
        <is>
          <t>N</t>
        </is>
      </c>
      <c r="L263" s="97" t="inlineStr">
        <is>
          <t>Y</t>
        </is>
      </c>
      <c r="M263" s="97" t="n">
        <v>33.7</v>
      </c>
      <c r="N263" s="97" t="inlineStr">
        <is>
          <t>N</t>
        </is>
      </c>
      <c r="O263" s="97" t="n">
        <v>39.79</v>
      </c>
      <c r="P263" s="97" t="inlineStr">
        <is>
          <t>N</t>
        </is>
      </c>
      <c r="Q263" s="97" t="inlineStr">
        <is>
          <t>N/A</t>
        </is>
      </c>
      <c r="R263" s="97" t="inlineStr">
        <is>
          <t>N</t>
        </is>
      </c>
      <c r="S263" s="97" t="n">
        <v>-2.1</v>
      </c>
      <c r="T263" s="97" t="n">
        <v>9.699999999999999</v>
      </c>
      <c r="U263" s="97" t="inlineStr">
        <is>
          <t>Y</t>
        </is>
      </c>
      <c r="V263" s="97" t="n">
        <v>45.7</v>
      </c>
      <c r="W263" s="97" t="inlineStr">
        <is>
          <t>N/A</t>
        </is>
      </c>
      <c r="X263" s="97" t="n">
        <v>1.62</v>
      </c>
      <c r="Y263" s="97" t="n">
        <v>30.9</v>
      </c>
      <c r="Z263" s="97" t="n">
        <v>4</v>
      </c>
      <c r="AA263" s="92" t="inlineStr">
        <is>
          <t>AVOID</t>
        </is>
      </c>
    </row>
    <row r="264">
      <c r="A264" s="99" t="inlineStr">
        <is>
          <t>OBEROIRLTY</t>
        </is>
      </c>
      <c r="B264" s="99" t="inlineStr">
        <is>
          <t>Oberoi Realty Ltd.</t>
        </is>
      </c>
      <c r="C264" s="99" t="inlineStr">
        <is>
          <t>Realty</t>
        </is>
      </c>
      <c r="D264" s="99" t="inlineStr">
        <is>
          <t>Large/Midcap</t>
        </is>
      </c>
      <c r="E264" s="99" t="n">
        <v>1821.2</v>
      </c>
      <c r="F264" s="99" t="n">
        <v>0.17</v>
      </c>
      <c r="G264" s="99" t="n">
        <v>191482</v>
      </c>
      <c r="H264" s="99" t="n">
        <v>0.8100000000000001</v>
      </c>
      <c r="I264" s="99" t="n">
        <v>66634</v>
      </c>
      <c r="J264" s="99" t="inlineStr">
        <is>
          <t>Y</t>
        </is>
      </c>
      <c r="K264" s="99" t="inlineStr">
        <is>
          <t>Y</t>
        </is>
      </c>
      <c r="L264" s="99" t="inlineStr">
        <is>
          <t>Y</t>
        </is>
      </c>
      <c r="M264" s="99" t="n">
        <v>29.5</v>
      </c>
      <c r="N264" s="99" t="inlineStr">
        <is>
          <t>N</t>
        </is>
      </c>
      <c r="O264" s="99" t="n">
        <v>56.11</v>
      </c>
      <c r="P264" s="99" t="inlineStr">
        <is>
          <t>N</t>
        </is>
      </c>
      <c r="Q264" s="99" t="inlineStr">
        <is>
          <t>N/A</t>
        </is>
      </c>
      <c r="R264" s="99" t="inlineStr">
        <is>
          <t>N</t>
        </is>
      </c>
      <c r="S264" s="99" t="n">
        <v>4.5</v>
      </c>
      <c r="T264" s="99" t="n">
        <v>7.1</v>
      </c>
      <c r="U264" s="99" t="inlineStr">
        <is>
          <t>Y</t>
        </is>
      </c>
      <c r="V264" s="99" t="n">
        <v>25.3</v>
      </c>
      <c r="W264" s="99" t="inlineStr">
        <is>
          <t>N/A</t>
        </is>
      </c>
      <c r="X264" s="99" t="n">
        <v>15.77</v>
      </c>
      <c r="Y264" s="99" t="n">
        <v>-22.7</v>
      </c>
      <c r="Z264" s="99" t="n">
        <v>4</v>
      </c>
      <c r="AA264" s="94" t="inlineStr">
        <is>
          <t>AVOID</t>
        </is>
      </c>
    </row>
    <row r="265">
      <c r="A265" s="97" t="inlineStr">
        <is>
          <t>OLECTRA</t>
        </is>
      </c>
      <c r="B265" s="97" t="inlineStr">
        <is>
          <t>Olectra Greentech Ltd.</t>
        </is>
      </c>
      <c r="C265" s="97" t="inlineStr">
        <is>
          <t>Automobile and Auto Components</t>
        </is>
      </c>
      <c r="D265" s="97" t="inlineStr">
        <is>
          <t>BSE Smallcap</t>
        </is>
      </c>
      <c r="E265" s="97" t="n">
        <v>1336.3</v>
      </c>
      <c r="F265" s="97" t="n">
        <v>1.37</v>
      </c>
      <c r="G265" s="97" t="n">
        <v>224871</v>
      </c>
      <c r="H265" s="97" t="n">
        <v>0.7</v>
      </c>
      <c r="I265" s="97" t="n">
        <v>10901</v>
      </c>
      <c r="J265" s="97" t="inlineStr">
        <is>
          <t>Y</t>
        </is>
      </c>
      <c r="K265" s="97" t="inlineStr">
        <is>
          <t>N</t>
        </is>
      </c>
      <c r="L265" s="97" t="inlineStr">
        <is>
          <t>Y</t>
        </is>
      </c>
      <c r="M265" s="97" t="n">
        <v>24.1</v>
      </c>
      <c r="N265" s="97" t="inlineStr">
        <is>
          <t>N</t>
        </is>
      </c>
      <c r="O265" s="97" t="n">
        <v>40.99</v>
      </c>
      <c r="P265" s="97" t="inlineStr">
        <is>
          <t>N</t>
        </is>
      </c>
      <c r="Q265" s="97" t="inlineStr">
        <is>
          <t>N/A</t>
        </is>
      </c>
      <c r="R265" s="97" t="inlineStr">
        <is>
          <t>N</t>
        </is>
      </c>
      <c r="S265" s="97" t="n">
        <v>-10.3</v>
      </c>
      <c r="T265" s="97" t="n">
        <v>6.7</v>
      </c>
      <c r="U265" s="97" t="inlineStr">
        <is>
          <t>Y</t>
        </is>
      </c>
      <c r="V265" s="97" t="n">
        <v>61.3</v>
      </c>
      <c r="W265" s="97" t="inlineStr">
        <is>
          <t>N/A</t>
        </is>
      </c>
      <c r="X265" s="97" t="n">
        <v>30.84</v>
      </c>
      <c r="Y265" s="97" t="n">
        <v>19.7</v>
      </c>
      <c r="Z265" s="97" t="n">
        <v>4</v>
      </c>
      <c r="AA265" s="92" t="inlineStr">
        <is>
          <t>AVOID</t>
        </is>
      </c>
    </row>
    <row r="266">
      <c r="A266" s="99" t="inlineStr">
        <is>
          <t>PARADEEP</t>
        </is>
      </c>
      <c r="B266" s="99" t="inlineStr">
        <is>
          <t>Paradeep Phosphates Ltd.</t>
        </is>
      </c>
      <c r="C266" s="99" t="inlineStr">
        <is>
          <t>Chemicals</t>
        </is>
      </c>
      <c r="D266" s="99" t="inlineStr">
        <is>
          <t>BSE Smallcap</t>
        </is>
      </c>
      <c r="E266" s="99" t="n">
        <v>134.64</v>
      </c>
      <c r="F266" s="99" t="n">
        <v>-1.05</v>
      </c>
      <c r="G266" s="99" t="n">
        <v>2556199</v>
      </c>
      <c r="H266" s="99" t="n">
        <v>1.65</v>
      </c>
      <c r="I266" s="99" t="n">
        <v>13978</v>
      </c>
      <c r="J266" s="99" t="inlineStr">
        <is>
          <t>Y</t>
        </is>
      </c>
      <c r="K266" s="99" t="inlineStr">
        <is>
          <t>Y</t>
        </is>
      </c>
      <c r="L266" s="99" t="inlineStr">
        <is>
          <t>N</t>
        </is>
      </c>
      <c r="M266" s="99" t="n">
        <v>38.2</v>
      </c>
      <c r="N266" s="99" t="inlineStr">
        <is>
          <t>N</t>
        </is>
      </c>
      <c r="O266" s="99" t="n">
        <v>4.43</v>
      </c>
      <c r="P266" s="99" t="inlineStr">
        <is>
          <t>N</t>
        </is>
      </c>
      <c r="Q266" s="99" t="inlineStr">
        <is>
          <t>N/A</t>
        </is>
      </c>
      <c r="R266" s="99" t="inlineStr">
        <is>
          <t>N</t>
        </is>
      </c>
      <c r="S266" s="99" t="n">
        <v>-0.9</v>
      </c>
      <c r="T266" s="99" t="n">
        <v>4.8</v>
      </c>
      <c r="U266" s="99" t="inlineStr">
        <is>
          <t>Y</t>
        </is>
      </c>
      <c r="V266" s="99" t="n">
        <v>14.2</v>
      </c>
      <c r="W266" s="99" t="n">
        <v>18.4</v>
      </c>
      <c r="X266" s="99" t="n">
        <v>101.82</v>
      </c>
      <c r="Y266" s="99" t="n">
        <v>-14.5</v>
      </c>
      <c r="Z266" s="99" t="n">
        <v>4</v>
      </c>
      <c r="AA266" s="94" t="inlineStr">
        <is>
          <t>AVOID</t>
        </is>
      </c>
    </row>
    <row r="267">
      <c r="A267" s="97" t="inlineStr">
        <is>
          <t>POLYMED</t>
        </is>
      </c>
      <c r="B267" s="97" t="inlineStr">
        <is>
          <t>Poly Medicure Ltd.</t>
        </is>
      </c>
      <c r="C267" s="97" t="inlineStr">
        <is>
          <t>Healthcare</t>
        </is>
      </c>
      <c r="D267" s="97" t="inlineStr">
        <is>
          <t>BSE Smallcap</t>
        </is>
      </c>
      <c r="E267" s="97" t="n">
        <v>1664</v>
      </c>
      <c r="F267" s="97" t="n">
        <v>2.07</v>
      </c>
      <c r="G267" s="97" t="n">
        <v>59004</v>
      </c>
      <c r="H267" s="97" t="n">
        <v>0.82</v>
      </c>
      <c r="I267" s="97" t="n">
        <v>17056</v>
      </c>
      <c r="J267" s="97" t="inlineStr">
        <is>
          <t>Y</t>
        </is>
      </c>
      <c r="K267" s="97" t="inlineStr">
        <is>
          <t>Y</t>
        </is>
      </c>
      <c r="L267" s="97" t="inlineStr">
        <is>
          <t>Y</t>
        </is>
      </c>
      <c r="M267" s="97" t="n">
        <v>47.2</v>
      </c>
      <c r="N267" s="97" t="inlineStr">
        <is>
          <t>N</t>
        </is>
      </c>
      <c r="O267" s="97" t="n">
        <v>53.19</v>
      </c>
      <c r="P267" s="97" t="inlineStr">
        <is>
          <t>N</t>
        </is>
      </c>
      <c r="Q267" s="97" t="inlineStr">
        <is>
          <t>N/A</t>
        </is>
      </c>
      <c r="R267" s="97" t="inlineStr">
        <is>
          <t>N</t>
        </is>
      </c>
      <c r="S267" s="97" t="n">
        <v>1.1</v>
      </c>
      <c r="T267" s="97" t="n">
        <v>10</v>
      </c>
      <c r="U267" s="97" t="inlineStr">
        <is>
          <t>Y</t>
        </is>
      </c>
      <c r="V267" s="97" t="n">
        <v>52.9</v>
      </c>
      <c r="W267" s="97" t="n">
        <v>10.8</v>
      </c>
      <c r="X267" s="97" t="n">
        <v>11.23</v>
      </c>
      <c r="Y267" s="97" t="n">
        <v>-8.300000000000001</v>
      </c>
      <c r="Z267" s="97" t="n">
        <v>4</v>
      </c>
      <c r="AA267" s="92" t="inlineStr">
        <is>
          <t>AVOID</t>
        </is>
      </c>
    </row>
    <row r="268">
      <c r="A268" s="99" t="inlineStr">
        <is>
          <t>PREMIERENE</t>
        </is>
      </c>
      <c r="B268" s="99" t="inlineStr">
        <is>
          <t>Premier Energies Ltd.</t>
        </is>
      </c>
      <c r="C268" s="99" t="inlineStr">
        <is>
          <t>Capital Goods</t>
        </is>
      </c>
      <c r="D268" s="99" t="inlineStr">
        <is>
          <t>Large/Midcap</t>
        </is>
      </c>
      <c r="E268" s="99" t="n">
        <v>1019.3</v>
      </c>
      <c r="F268" s="99" t="n">
        <v>-0.53</v>
      </c>
      <c r="G268" s="99" t="n">
        <v>934272</v>
      </c>
      <c r="H268" s="99" t="n">
        <v>0.87</v>
      </c>
      <c r="I268" s="99" t="n">
        <v>46930</v>
      </c>
      <c r="J268" s="99" t="inlineStr">
        <is>
          <t>Y</t>
        </is>
      </c>
      <c r="K268" s="99" t="inlineStr">
        <is>
          <t>N</t>
        </is>
      </c>
      <c r="L268" s="99" t="inlineStr">
        <is>
          <t>Y</t>
        </is>
      </c>
      <c r="M268" s="99" t="n">
        <v>49.2</v>
      </c>
      <c r="N268" s="99" t="inlineStr">
        <is>
          <t>N</t>
        </is>
      </c>
      <c r="O268" s="99" t="n">
        <v>35.49</v>
      </c>
      <c r="P268" s="99" t="inlineStr">
        <is>
          <t>N</t>
        </is>
      </c>
      <c r="Q268" s="99" t="inlineStr">
        <is>
          <t>N/A</t>
        </is>
      </c>
      <c r="R268" s="99" t="inlineStr">
        <is>
          <t>N</t>
        </is>
      </c>
      <c r="S268" s="99" t="n">
        <v>-2.7</v>
      </c>
      <c r="T268" s="99" t="n">
        <v>-1.4</v>
      </c>
      <c r="U268" s="99" t="inlineStr">
        <is>
          <t>N</t>
        </is>
      </c>
      <c r="V268" s="99" t="n">
        <v>30.9</v>
      </c>
      <c r="W268" s="99" t="n">
        <v>42.3</v>
      </c>
      <c r="X268" s="99" t="n">
        <v>86</v>
      </c>
      <c r="Y268" s="99" t="n">
        <v>16.6</v>
      </c>
      <c r="Z268" s="99" t="n">
        <v>4</v>
      </c>
      <c r="AA268" s="94" t="inlineStr">
        <is>
          <t>AVOID</t>
        </is>
      </c>
    </row>
    <row r="269">
      <c r="A269" s="97" t="inlineStr">
        <is>
          <t>PFOCUS</t>
        </is>
      </c>
      <c r="B269" s="97" t="inlineStr">
        <is>
          <t>Prime Focus Ltd.</t>
        </is>
      </c>
      <c r="C269" s="97" t="inlineStr">
        <is>
          <t>Media Entertainment &amp; Publication</t>
        </is>
      </c>
      <c r="D269" s="97" t="inlineStr">
        <is>
          <t>BSE Smallcap</t>
        </is>
      </c>
      <c r="E269" s="97" t="n">
        <v>287.75</v>
      </c>
      <c r="F269" s="97" t="n">
        <v>-0.53</v>
      </c>
      <c r="G269" s="97" t="n">
        <v>623243</v>
      </c>
      <c r="H269" s="97" t="n">
        <v>1.05</v>
      </c>
      <c r="I269" s="97" t="n">
        <v>22344</v>
      </c>
      <c r="J269" s="97" t="inlineStr">
        <is>
          <t>Y</t>
        </is>
      </c>
      <c r="K269" s="97" t="inlineStr">
        <is>
          <t>Y</t>
        </is>
      </c>
      <c r="L269" s="97" t="inlineStr">
        <is>
          <t>Y</t>
        </is>
      </c>
      <c r="M269" s="97" t="n">
        <v>76.5</v>
      </c>
      <c r="N269" s="97" t="inlineStr">
        <is>
          <t>N</t>
        </is>
      </c>
      <c r="O269" s="97" t="n">
        <v>12.88</v>
      </c>
      <c r="P269" s="97" t="inlineStr">
        <is>
          <t>N</t>
        </is>
      </c>
      <c r="Q269" s="97" t="inlineStr">
        <is>
          <t>N/A</t>
        </is>
      </c>
      <c r="R269" s="97" t="inlineStr">
        <is>
          <t>N</t>
        </is>
      </c>
      <c r="S269" s="97" t="n">
        <v>37.3</v>
      </c>
      <c r="T269" s="97" t="n">
        <v>-6.8</v>
      </c>
      <c r="U269" s="97" t="inlineStr">
        <is>
          <t>N</t>
        </is>
      </c>
      <c r="V269" s="97" t="n">
        <v>73.59999999999999</v>
      </c>
      <c r="W269" s="97" t="n">
        <v>13.1</v>
      </c>
      <c r="X269" s="97" t="n">
        <v>224.57</v>
      </c>
      <c r="Y269" s="97" t="n">
        <v>16.1</v>
      </c>
      <c r="Z269" s="97" t="n">
        <v>4</v>
      </c>
      <c r="AA269" s="92" t="inlineStr">
        <is>
          <t>AVOID</t>
        </is>
      </c>
    </row>
    <row r="270">
      <c r="A270" s="99" t="inlineStr">
        <is>
          <t>RITES</t>
        </is>
      </c>
      <c r="B270" s="99" t="inlineStr">
        <is>
          <t>RITES Ltd.</t>
        </is>
      </c>
      <c r="C270" s="99" t="inlineStr">
        <is>
          <t>Construction</t>
        </is>
      </c>
      <c r="D270" s="99" t="inlineStr">
        <is>
          <t>BSE Smallcap</t>
        </is>
      </c>
      <c r="E270" s="99" t="n">
        <v>213.7</v>
      </c>
      <c r="F270" s="99" t="n">
        <v>0.15</v>
      </c>
      <c r="G270" s="99" t="n">
        <v>351076</v>
      </c>
      <c r="H270" s="99" t="n">
        <v>0.84</v>
      </c>
      <c r="I270" s="99" t="n">
        <v>10436</v>
      </c>
      <c r="J270" s="99" t="inlineStr">
        <is>
          <t>Y</t>
        </is>
      </c>
      <c r="K270" s="99" t="inlineStr">
        <is>
          <t>Y</t>
        </is>
      </c>
      <c r="L270" s="99" t="inlineStr">
        <is>
          <t>N</t>
        </is>
      </c>
      <c r="M270" s="99" t="n">
        <v>47.8</v>
      </c>
      <c r="N270" s="99" t="inlineStr">
        <is>
          <t>N</t>
        </is>
      </c>
      <c r="O270" s="99" t="n">
        <v>7.36</v>
      </c>
      <c r="P270" s="99" t="inlineStr">
        <is>
          <t>N</t>
        </is>
      </c>
      <c r="Q270" s="99" t="inlineStr">
        <is>
          <t>N/A</t>
        </is>
      </c>
      <c r="R270" s="99" t="inlineStr">
        <is>
          <t>N</t>
        </is>
      </c>
      <c r="S270" s="99" t="n">
        <v>2.6</v>
      </c>
      <c r="T270" s="99" t="n">
        <v>-2.1</v>
      </c>
      <c r="U270" s="99" t="inlineStr">
        <is>
          <t>N</t>
        </is>
      </c>
      <c r="V270" s="99" t="n">
        <v>25.4</v>
      </c>
      <c r="W270" s="99" t="n">
        <v>16.4</v>
      </c>
      <c r="X270" s="99" t="n">
        <v>0.24</v>
      </c>
      <c r="Y270" s="99" t="n">
        <v>27.4</v>
      </c>
      <c r="Z270" s="99" t="n">
        <v>4</v>
      </c>
      <c r="AA270" s="94" t="inlineStr">
        <is>
          <t>AVOID</t>
        </is>
      </c>
    </row>
    <row r="271">
      <c r="A271" s="97" t="inlineStr">
        <is>
          <t>REDINGTON</t>
        </is>
      </c>
      <c r="B271" s="97" t="inlineStr">
        <is>
          <t>Redington Ltd.</t>
        </is>
      </c>
      <c r="C271" s="97" t="inlineStr">
        <is>
          <t>Services</t>
        </is>
      </c>
      <c r="D271" s="97" t="inlineStr">
        <is>
          <t>BSE Smallcap</t>
        </is>
      </c>
      <c r="E271" s="97" t="n">
        <v>259.05</v>
      </c>
      <c r="F271" s="97" t="n">
        <v>-1.14</v>
      </c>
      <c r="G271" s="97" t="n">
        <v>1016983</v>
      </c>
      <c r="H271" s="97" t="n">
        <v>0.82</v>
      </c>
      <c r="I271" s="97" t="n">
        <v>21745</v>
      </c>
      <c r="J271" s="97" t="inlineStr">
        <is>
          <t>Y</t>
        </is>
      </c>
      <c r="K271" s="97" t="inlineStr">
        <is>
          <t>Y</t>
        </is>
      </c>
      <c r="L271" s="97" t="inlineStr">
        <is>
          <t>Y</t>
        </is>
      </c>
      <c r="M271" s="97" t="n">
        <v>31.6</v>
      </c>
      <c r="N271" s="97" t="inlineStr">
        <is>
          <t>N</t>
        </is>
      </c>
      <c r="O271" s="97" t="n">
        <v>8.630000000000001</v>
      </c>
      <c r="P271" s="97" t="inlineStr">
        <is>
          <t>N</t>
        </is>
      </c>
      <c r="Q271" s="97" t="inlineStr">
        <is>
          <t>N/A</t>
        </is>
      </c>
      <c r="R271" s="97" t="inlineStr">
        <is>
          <t>N</t>
        </is>
      </c>
      <c r="S271" s="97" t="n">
        <v>-7.3</v>
      </c>
      <c r="T271" s="97" t="n">
        <v>23.9</v>
      </c>
      <c r="U271" s="97" t="inlineStr">
        <is>
          <t>Y</t>
        </is>
      </c>
      <c r="V271" s="97" t="n">
        <v>14.6</v>
      </c>
      <c r="W271" s="97" t="n">
        <v>13.1</v>
      </c>
      <c r="X271" s="97" t="n">
        <v>27.26</v>
      </c>
      <c r="Y271" s="97" t="n">
        <v>-10.2</v>
      </c>
      <c r="Z271" s="97" t="n">
        <v>4</v>
      </c>
      <c r="AA271" s="92" t="inlineStr">
        <is>
          <t>AVOID</t>
        </is>
      </c>
    </row>
    <row r="272">
      <c r="A272" s="99" t="inlineStr">
        <is>
          <t>SBICARD</t>
        </is>
      </c>
      <c r="B272" s="99" t="inlineStr">
        <is>
          <t>SBI Cards and Payment Services Ltd.</t>
        </is>
      </c>
      <c r="C272" s="99" t="inlineStr">
        <is>
          <t>Financial Services</t>
        </is>
      </c>
      <c r="D272" s="99" t="inlineStr">
        <is>
          <t>Large/Midcap</t>
        </is>
      </c>
      <c r="E272" s="99" t="n">
        <v>618.75</v>
      </c>
      <c r="F272" s="99" t="n">
        <v>-0.53</v>
      </c>
      <c r="G272" s="99" t="n">
        <v>616274</v>
      </c>
      <c r="H272" s="99" t="n">
        <v>0.51</v>
      </c>
      <c r="I272" s="99" t="n">
        <v>61381</v>
      </c>
      <c r="J272" s="99" t="inlineStr">
        <is>
          <t>Y</t>
        </is>
      </c>
      <c r="K272" s="99" t="inlineStr">
        <is>
          <t>Y</t>
        </is>
      </c>
      <c r="L272" s="99" t="inlineStr">
        <is>
          <t>N</t>
        </is>
      </c>
      <c r="M272" s="99" t="n">
        <v>56</v>
      </c>
      <c r="N272" s="99" t="inlineStr">
        <is>
          <t>Y</t>
        </is>
      </c>
      <c r="O272" s="99" t="n">
        <v>18.48</v>
      </c>
      <c r="P272" s="99" t="inlineStr">
        <is>
          <t>N</t>
        </is>
      </c>
      <c r="Q272" s="99" t="inlineStr">
        <is>
          <t>N/A</t>
        </is>
      </c>
      <c r="R272" s="99" t="inlineStr">
        <is>
          <t>N</t>
        </is>
      </c>
      <c r="S272" s="99" t="n">
        <v>-0.7</v>
      </c>
      <c r="T272" s="99" t="n">
        <v>-4.6</v>
      </c>
      <c r="U272" s="99" t="inlineStr">
        <is>
          <t>N</t>
        </is>
      </c>
      <c r="V272" s="99" t="n">
        <v>27</v>
      </c>
      <c r="W272" s="99" t="inlineStr">
        <is>
          <t>N/A</t>
        </is>
      </c>
      <c r="X272" s="99" t="n">
        <v>280.21</v>
      </c>
      <c r="Y272" s="99" t="n">
        <v>9</v>
      </c>
      <c r="Z272" s="99" t="n">
        <v>4</v>
      </c>
      <c r="AA272" s="94" t="inlineStr">
        <is>
          <t>AVOID</t>
        </is>
      </c>
    </row>
    <row r="273">
      <c r="A273" s="97" t="inlineStr">
        <is>
          <t>SRF</t>
        </is>
      </c>
      <c r="B273" s="97" t="inlineStr">
        <is>
          <t>SRF Ltd.</t>
        </is>
      </c>
      <c r="C273" s="97" t="inlineStr">
        <is>
          <t>Chemicals</t>
        </is>
      </c>
      <c r="D273" s="97" t="inlineStr">
        <is>
          <t>Large/Midcap</t>
        </is>
      </c>
      <c r="E273" s="97" t="n">
        <v>2631.5</v>
      </c>
      <c r="F273" s="97" t="n">
        <v>-1.06</v>
      </c>
      <c r="G273" s="97" t="n">
        <v>1098350</v>
      </c>
      <c r="H273" s="97" t="n">
        <v>0.63</v>
      </c>
      <c r="I273" s="97" t="n">
        <v>78147</v>
      </c>
      <c r="J273" s="97" t="inlineStr">
        <is>
          <t>Y</t>
        </is>
      </c>
      <c r="K273" s="97" t="inlineStr">
        <is>
          <t>N</t>
        </is>
      </c>
      <c r="L273" s="97" t="inlineStr">
        <is>
          <t>N</t>
        </is>
      </c>
      <c r="M273" s="97" t="n">
        <v>39.4</v>
      </c>
      <c r="N273" s="97" t="inlineStr">
        <is>
          <t>N</t>
        </is>
      </c>
      <c r="O273" s="97" t="n">
        <v>93.43000000000001</v>
      </c>
      <c r="P273" s="97" t="inlineStr">
        <is>
          <t>Y</t>
        </is>
      </c>
      <c r="Q273" s="97" t="inlineStr">
        <is>
          <t>N/A</t>
        </is>
      </c>
      <c r="R273" s="97" t="inlineStr">
        <is>
          <t>N</t>
        </is>
      </c>
      <c r="S273" s="97" t="n">
        <v>-3.3</v>
      </c>
      <c r="T273" s="97" t="n">
        <v>5.1</v>
      </c>
      <c r="U273" s="97" t="inlineStr">
        <is>
          <t>Y</t>
        </is>
      </c>
      <c r="V273" s="97" t="n">
        <v>36.5</v>
      </c>
      <c r="W273" s="97" t="inlineStr">
        <is>
          <t>N/A</t>
        </is>
      </c>
      <c r="X273" s="97" t="n">
        <v>36.2</v>
      </c>
      <c r="Y273" s="97" t="n">
        <v>30.4</v>
      </c>
      <c r="Z273" s="97" t="n">
        <v>4</v>
      </c>
      <c r="AA273" s="92" t="inlineStr">
        <is>
          <t>AVOID</t>
        </is>
      </c>
    </row>
    <row r="274">
      <c r="A274" s="99" t="inlineStr">
        <is>
          <t>SBILIFE</t>
        </is>
      </c>
      <c r="B274" s="99" t="inlineStr">
        <is>
          <t>SBI Life Insurance Company Ltd.</t>
        </is>
      </c>
      <c r="C274" s="99" t="inlineStr">
        <is>
          <t>Financial Services</t>
        </is>
      </c>
      <c r="D274" s="99" t="inlineStr">
        <is>
          <t>Large/Midcap</t>
        </is>
      </c>
      <c r="E274" s="99" t="n">
        <v>1866.8</v>
      </c>
      <c r="F274" s="99" t="n">
        <v>0.44</v>
      </c>
      <c r="G274" s="99" t="n">
        <v>1098594</v>
      </c>
      <c r="H274" s="99" t="n">
        <v>1.36</v>
      </c>
      <c r="I274" s="99" t="n">
        <v>187289</v>
      </c>
      <c r="J274" s="99" t="inlineStr">
        <is>
          <t>Y</t>
        </is>
      </c>
      <c r="K274" s="99" t="inlineStr">
        <is>
          <t>Y</t>
        </is>
      </c>
      <c r="L274" s="99" t="inlineStr">
        <is>
          <t>N</t>
        </is>
      </c>
      <c r="M274" s="99" t="n">
        <v>55.6</v>
      </c>
      <c r="N274" s="99" t="inlineStr">
        <is>
          <t>Y</t>
        </is>
      </c>
      <c r="O274" s="99" t="n">
        <v>42.69</v>
      </c>
      <c r="P274" s="99" t="inlineStr">
        <is>
          <t>N</t>
        </is>
      </c>
      <c r="Q274" s="99" t="inlineStr">
        <is>
          <t>N/A</t>
        </is>
      </c>
      <c r="R274" s="99" t="inlineStr">
        <is>
          <t>N</t>
        </is>
      </c>
      <c r="S274" s="99" t="n">
        <v>7.2</v>
      </c>
      <c r="T274" s="99" t="n">
        <v>3</v>
      </c>
      <c r="U274" s="99" t="inlineStr">
        <is>
          <t>Y</t>
        </is>
      </c>
      <c r="V274" s="99" t="n">
        <v>71.90000000000001</v>
      </c>
      <c r="W274" s="99" t="n">
        <v>13.7</v>
      </c>
      <c r="X274" s="99" t="inlineStr">
        <is>
          <t>N/A</t>
        </is>
      </c>
      <c r="Y274" s="99" t="n">
        <v>-9.9</v>
      </c>
      <c r="Z274" s="99" t="n">
        <v>4</v>
      </c>
      <c r="AA274" s="94" t="inlineStr">
        <is>
          <t>AVOID</t>
        </is>
      </c>
    </row>
    <row r="275">
      <c r="A275" s="97" t="inlineStr">
        <is>
          <t>SAPPHIRE</t>
        </is>
      </c>
      <c r="B275" s="97" t="inlineStr">
        <is>
          <t>Sapphire Foods India Ltd.</t>
        </is>
      </c>
      <c r="C275" s="97" t="inlineStr">
        <is>
          <t>Consumer Services</t>
        </is>
      </c>
      <c r="D275" s="97" t="inlineStr">
        <is>
          <t>BSE Smallcap</t>
        </is>
      </c>
      <c r="E275" s="97" t="n">
        <v>187.09</v>
      </c>
      <c r="F275" s="97" t="n">
        <v>4.45</v>
      </c>
      <c r="G275" s="97" t="n">
        <v>5604160</v>
      </c>
      <c r="H275" s="97" t="n">
        <v>2.57</v>
      </c>
      <c r="I275" s="97" t="n">
        <v>6020</v>
      </c>
      <c r="J275" s="97" t="inlineStr">
        <is>
          <t>Y</t>
        </is>
      </c>
      <c r="K275" s="97" t="inlineStr">
        <is>
          <t>Y</t>
        </is>
      </c>
      <c r="L275" s="97" t="inlineStr">
        <is>
          <t>N</t>
        </is>
      </c>
      <c r="M275" s="97" t="n">
        <v>47.3</v>
      </c>
      <c r="N275" s="97" t="inlineStr">
        <is>
          <t>N</t>
        </is>
      </c>
      <c r="O275" s="97" t="n">
        <v>6.68</v>
      </c>
      <c r="P275" s="97" t="inlineStr">
        <is>
          <t>Y</t>
        </is>
      </c>
      <c r="Q275" s="97" t="inlineStr">
        <is>
          <t>N/A</t>
        </is>
      </c>
      <c r="R275" s="97" t="inlineStr">
        <is>
          <t>N</t>
        </is>
      </c>
      <c r="S275" s="97" t="n">
        <v>4</v>
      </c>
      <c r="T275" s="97" t="n">
        <v>-8.6</v>
      </c>
      <c r="U275" s="97" t="inlineStr">
        <is>
          <t>N</t>
        </is>
      </c>
      <c r="V275" s="97" t="inlineStr">
        <is>
          <t>N/A</t>
        </is>
      </c>
      <c r="W275" s="97" t="inlineStr">
        <is>
          <t>N/A</t>
        </is>
      </c>
      <c r="X275" s="97" t="n">
        <v>102.06</v>
      </c>
      <c r="Y275" s="97" t="n">
        <v>211.4</v>
      </c>
      <c r="Z275" s="97" t="n">
        <v>4</v>
      </c>
      <c r="AA275" s="92" t="inlineStr">
        <is>
          <t>AVOID</t>
        </is>
      </c>
    </row>
    <row r="276">
      <c r="A276" s="99" t="inlineStr">
        <is>
          <t>SCHAEFFLER</t>
        </is>
      </c>
      <c r="B276" s="99" t="inlineStr">
        <is>
          <t>Schaeffler India Ltd.</t>
        </is>
      </c>
      <c r="C276" s="99" t="inlineStr">
        <is>
          <t>Automobile and Auto Components</t>
        </is>
      </c>
      <c r="D276" s="99" t="inlineStr">
        <is>
          <t>Large/Midcap</t>
        </is>
      </c>
      <c r="E276" s="99" t="n">
        <v>4107.7</v>
      </c>
      <c r="F276" s="99" t="n">
        <v>0.35</v>
      </c>
      <c r="G276" s="99" t="n">
        <v>79917</v>
      </c>
      <c r="H276" s="99" t="n">
        <v>1.39</v>
      </c>
      <c r="I276" s="99" t="n">
        <v>65421</v>
      </c>
      <c r="J276" s="99" t="inlineStr">
        <is>
          <t>Y</t>
        </is>
      </c>
      <c r="K276" s="99" t="inlineStr">
        <is>
          <t>N</t>
        </is>
      </c>
      <c r="L276" s="99" t="inlineStr">
        <is>
          <t>Y</t>
        </is>
      </c>
      <c r="M276" s="99" t="n">
        <v>46.4</v>
      </c>
      <c r="N276" s="99" t="inlineStr">
        <is>
          <t>N</t>
        </is>
      </c>
      <c r="O276" s="99" t="n">
        <v>96.86</v>
      </c>
      <c r="P276" s="99" t="inlineStr">
        <is>
          <t>N</t>
        </is>
      </c>
      <c r="Q276" s="99" t="inlineStr">
        <is>
          <t>N/A</t>
        </is>
      </c>
      <c r="R276" s="99" t="inlineStr">
        <is>
          <t>N</t>
        </is>
      </c>
      <c r="S276" s="99" t="n">
        <v>-1</v>
      </c>
      <c r="T276" s="99" t="n">
        <v>-4.7</v>
      </c>
      <c r="U276" s="99" t="inlineStr">
        <is>
          <t>N</t>
        </is>
      </c>
      <c r="V276" s="99" t="n">
        <v>52.3</v>
      </c>
      <c r="W276" s="99" t="n">
        <v>21.6</v>
      </c>
      <c r="X276" s="99" t="n">
        <v>0.78</v>
      </c>
      <c r="Y276" s="99" t="n">
        <v>3.1</v>
      </c>
      <c r="Z276" s="99" t="n">
        <v>4</v>
      </c>
      <c r="AA276" s="94" t="inlineStr">
        <is>
          <t>AVOID</t>
        </is>
      </c>
    </row>
    <row r="277">
      <c r="A277" s="97" t="inlineStr">
        <is>
          <t>STARHEALTH</t>
        </is>
      </c>
      <c r="B277" s="97" t="inlineStr">
        <is>
          <t>Star Health and Allied Insurance Company Ltd.</t>
        </is>
      </c>
      <c r="C277" s="97" t="inlineStr">
        <is>
          <t>Financial Services</t>
        </is>
      </c>
      <c r="D277" s="97" t="inlineStr">
        <is>
          <t>BSE Smallcap</t>
        </is>
      </c>
      <c r="E277" s="97" t="n">
        <v>580.8</v>
      </c>
      <c r="F277" s="97" t="n">
        <v>0.66</v>
      </c>
      <c r="G277" s="97" t="n">
        <v>328746</v>
      </c>
      <c r="H277" s="97" t="n">
        <v>1.54</v>
      </c>
      <c r="I277" s="97" t="n">
        <v>34836</v>
      </c>
      <c r="J277" s="97" t="inlineStr">
        <is>
          <t>Y</t>
        </is>
      </c>
      <c r="K277" s="97" t="inlineStr">
        <is>
          <t>Y</t>
        </is>
      </c>
      <c r="L277" s="97" t="inlineStr">
        <is>
          <t>Y</t>
        </is>
      </c>
      <c r="M277" s="97" t="n">
        <v>49.7</v>
      </c>
      <c r="N277" s="97" t="inlineStr">
        <is>
          <t>N</t>
        </is>
      </c>
      <c r="O277" s="97" t="n">
        <v>17.88</v>
      </c>
      <c r="P277" s="97" t="inlineStr">
        <is>
          <t>N</t>
        </is>
      </c>
      <c r="Q277" s="97" t="inlineStr">
        <is>
          <t>N/A</t>
        </is>
      </c>
      <c r="R277" s="97" t="inlineStr">
        <is>
          <t>N</t>
        </is>
      </c>
      <c r="S277" s="97" t="n">
        <v>0.9</v>
      </c>
      <c r="T277" s="97" t="n">
        <v>9.300000000000001</v>
      </c>
      <c r="U277" s="97" t="inlineStr">
        <is>
          <t>Y</t>
        </is>
      </c>
      <c r="V277" s="97" t="n">
        <v>62.5</v>
      </c>
      <c r="W277" s="97" t="inlineStr">
        <is>
          <t>N/A</t>
        </is>
      </c>
      <c r="X277" s="97" t="inlineStr">
        <is>
          <t>N/A</t>
        </is>
      </c>
      <c r="Y277" s="97" t="n">
        <v>-13.2</v>
      </c>
      <c r="Z277" s="97" t="n">
        <v>4</v>
      </c>
      <c r="AA277" s="92" t="inlineStr">
        <is>
          <t>AVOID</t>
        </is>
      </c>
    </row>
    <row r="278">
      <c r="A278" s="99" t="inlineStr">
        <is>
          <t>SBIN</t>
        </is>
      </c>
      <c r="B278" s="99" t="inlineStr">
        <is>
          <t>State Bank of India</t>
        </is>
      </c>
      <c r="C278" s="99" t="inlineStr">
        <is>
          <t>Financial Services</t>
        </is>
      </c>
      <c r="D278" s="99" t="inlineStr">
        <is>
          <t>Large/Midcap</t>
        </is>
      </c>
      <c r="E278" s="99" t="n">
        <v>1020.6</v>
      </c>
      <c r="F278" s="99" t="n">
        <v>0.55</v>
      </c>
      <c r="G278" s="99" t="n">
        <v>6093002</v>
      </c>
      <c r="H278" s="99" t="n">
        <v>0.54</v>
      </c>
      <c r="I278" s="99" t="n">
        <v>942077</v>
      </c>
      <c r="J278" s="99" t="inlineStr">
        <is>
          <t>Y</t>
        </is>
      </c>
      <c r="K278" s="99" t="inlineStr">
        <is>
          <t>Y</t>
        </is>
      </c>
      <c r="L278" s="99" t="inlineStr">
        <is>
          <t>Y</t>
        </is>
      </c>
      <c r="M278" s="99" t="n">
        <v>44.6</v>
      </c>
      <c r="N278" s="99" t="inlineStr">
        <is>
          <t>N</t>
        </is>
      </c>
      <c r="O278" s="99" t="n">
        <v>20.32</v>
      </c>
      <c r="P278" s="99" t="inlineStr">
        <is>
          <t>N</t>
        </is>
      </c>
      <c r="Q278" s="99" t="inlineStr">
        <is>
          <t>N/A</t>
        </is>
      </c>
      <c r="R278" s="99" t="inlineStr">
        <is>
          <t>N</t>
        </is>
      </c>
      <c r="S278" s="99" t="n">
        <v>-2.1</v>
      </c>
      <c r="T278" s="99" t="n">
        <v>-2.4</v>
      </c>
      <c r="U278" s="99" t="inlineStr">
        <is>
          <t>N</t>
        </is>
      </c>
      <c r="V278" s="99" t="n">
        <v>11.1</v>
      </c>
      <c r="W278" s="99" t="n">
        <v>15.5</v>
      </c>
      <c r="X278" s="99" t="inlineStr">
        <is>
          <t>N/A</t>
        </is>
      </c>
      <c r="Y278" s="99" t="n">
        <v>-7.9</v>
      </c>
      <c r="Z278" s="99" t="n">
        <v>4</v>
      </c>
      <c r="AA278" s="94" t="inlineStr">
        <is>
          <t>AVOID</t>
        </is>
      </c>
    </row>
    <row r="279">
      <c r="A279" s="97" t="inlineStr">
        <is>
          <t>SUPREMEIND</t>
        </is>
      </c>
      <c r="B279" s="97" t="inlineStr">
        <is>
          <t>Supreme Industries Ltd.</t>
        </is>
      </c>
      <c r="C279" s="97" t="inlineStr">
        <is>
          <t>Capital Goods</t>
        </is>
      </c>
      <c r="D279" s="97" t="inlineStr">
        <is>
          <t>Large/Midcap</t>
        </is>
      </c>
      <c r="E279" s="97" t="n">
        <v>3338.2</v>
      </c>
      <c r="F279" s="97" t="n">
        <v>-3.49</v>
      </c>
      <c r="G279" s="97" t="n">
        <v>184892</v>
      </c>
      <c r="H279" s="97" t="n">
        <v>1.93</v>
      </c>
      <c r="I279" s="97" t="n">
        <v>42422</v>
      </c>
      <c r="J279" s="97" t="inlineStr">
        <is>
          <t>Y</t>
        </is>
      </c>
      <c r="K279" s="97" t="inlineStr">
        <is>
          <t>N</t>
        </is>
      </c>
      <c r="L279" s="97" t="inlineStr">
        <is>
          <t>N</t>
        </is>
      </c>
      <c r="M279" s="97" t="n">
        <v>60.8</v>
      </c>
      <c r="N279" s="97" t="inlineStr">
        <is>
          <t>Y</t>
        </is>
      </c>
      <c r="O279" s="97" t="n">
        <v>94.27</v>
      </c>
      <c r="P279" s="97" t="inlineStr">
        <is>
          <t>N</t>
        </is>
      </c>
      <c r="Q279" s="97" t="inlineStr">
        <is>
          <t>N/A</t>
        </is>
      </c>
      <c r="R279" s="97" t="inlineStr">
        <is>
          <t>N</t>
        </is>
      </c>
      <c r="S279" s="97" t="n">
        <v>-2.2</v>
      </c>
      <c r="T279" s="97" t="n">
        <v>-6.8</v>
      </c>
      <c r="U279" s="97" t="inlineStr">
        <is>
          <t>N</t>
        </is>
      </c>
      <c r="V279" s="97" t="n">
        <v>46.1</v>
      </c>
      <c r="W279" s="97" t="n">
        <v>16.1</v>
      </c>
      <c r="X279" s="97" t="n">
        <v>1.47</v>
      </c>
      <c r="Y279" s="97" t="n">
        <v>182.7</v>
      </c>
      <c r="Z279" s="97" t="n">
        <v>4</v>
      </c>
      <c r="AA279" s="92" t="inlineStr">
        <is>
          <t>AVOID</t>
        </is>
      </c>
    </row>
    <row r="280">
      <c r="A280" s="99" t="inlineStr">
        <is>
          <t>SUZLON</t>
        </is>
      </c>
      <c r="B280" s="99" t="inlineStr">
        <is>
          <t>Suzlon Energy Ltd.</t>
        </is>
      </c>
      <c r="C280" s="99" t="inlineStr">
        <is>
          <t>Capital Goods</t>
        </is>
      </c>
      <c r="D280" s="99" t="inlineStr">
        <is>
          <t>Large/Midcap</t>
        </is>
      </c>
      <c r="E280" s="99" t="n">
        <v>53.15</v>
      </c>
      <c r="F280" s="99" t="n">
        <v>1.66</v>
      </c>
      <c r="G280" s="99" t="n">
        <v>45205048</v>
      </c>
      <c r="H280" s="99" t="n">
        <v>0.91</v>
      </c>
      <c r="I280" s="99" t="n">
        <v>73049</v>
      </c>
      <c r="J280" s="99" t="inlineStr">
        <is>
          <t>Y</t>
        </is>
      </c>
      <c r="K280" s="99" t="inlineStr">
        <is>
          <t>N</t>
        </is>
      </c>
      <c r="L280" s="99" t="inlineStr">
        <is>
          <t>Y</t>
        </is>
      </c>
      <c r="M280" s="99" t="n">
        <v>41.2</v>
      </c>
      <c r="N280" s="99" t="inlineStr">
        <is>
          <t>N</t>
        </is>
      </c>
      <c r="O280" s="99" t="n">
        <v>1.1</v>
      </c>
      <c r="P280" s="99" t="inlineStr">
        <is>
          <t>N</t>
        </is>
      </c>
      <c r="Q280" s="99" t="inlineStr">
        <is>
          <t>N/A</t>
        </is>
      </c>
      <c r="R280" s="99" t="inlineStr">
        <is>
          <t>N</t>
        </is>
      </c>
      <c r="S280" s="99" t="n">
        <v>-6.7</v>
      </c>
      <c r="T280" s="99" t="n">
        <v>-4</v>
      </c>
      <c r="U280" s="99" t="inlineStr">
        <is>
          <t>N</t>
        </is>
      </c>
      <c r="V280" s="99" t="n">
        <v>22.6</v>
      </c>
      <c r="W280" s="99" t="n">
        <v>40.6</v>
      </c>
      <c r="X280" s="99" t="n">
        <v>5.87</v>
      </c>
      <c r="Y280" s="99" t="n">
        <v>150.3</v>
      </c>
      <c r="Z280" s="99" t="n">
        <v>4</v>
      </c>
      <c r="AA280" s="94" t="inlineStr">
        <is>
          <t>AVOID</t>
        </is>
      </c>
    </row>
    <row r="281">
      <c r="A281" s="97" t="inlineStr">
        <is>
          <t>SYRMA</t>
        </is>
      </c>
      <c r="B281" s="97" t="inlineStr">
        <is>
          <t>Syrma SGS Technology Ltd.</t>
        </is>
      </c>
      <c r="C281" s="97" t="inlineStr">
        <is>
          <t>Capital Goods</t>
        </is>
      </c>
      <c r="D281" s="97" t="inlineStr">
        <is>
          <t>BSE Smallcap</t>
        </is>
      </c>
      <c r="E281" s="97" t="n">
        <v>1288.3</v>
      </c>
      <c r="F281" s="97" t="n">
        <v>-6.64</v>
      </c>
      <c r="G281" s="97" t="n">
        <v>1098492</v>
      </c>
      <c r="H281" s="97" t="n">
        <v>1.59</v>
      </c>
      <c r="I281" s="97" t="n">
        <v>25353</v>
      </c>
      <c r="J281" s="97" t="inlineStr">
        <is>
          <t>Y</t>
        </is>
      </c>
      <c r="K281" s="97" t="inlineStr">
        <is>
          <t>Y</t>
        </is>
      </c>
      <c r="L281" s="97" t="inlineStr">
        <is>
          <t>Y</t>
        </is>
      </c>
      <c r="M281" s="97" t="n">
        <v>38.1</v>
      </c>
      <c r="N281" s="97" t="inlineStr">
        <is>
          <t>N</t>
        </is>
      </c>
      <c r="O281" s="97" t="n">
        <v>53.96</v>
      </c>
      <c r="P281" s="97" t="inlineStr">
        <is>
          <t>N</t>
        </is>
      </c>
      <c r="Q281" s="97" t="inlineStr">
        <is>
          <t>N/A</t>
        </is>
      </c>
      <c r="R281" s="97" t="inlineStr">
        <is>
          <t>N</t>
        </is>
      </c>
      <c r="S281" s="97" t="n">
        <v>-10.3</v>
      </c>
      <c r="T281" s="97" t="n">
        <v>32.4</v>
      </c>
      <c r="U281" s="97" t="inlineStr">
        <is>
          <t>Y</t>
        </is>
      </c>
      <c r="V281" s="97" t="n">
        <v>78</v>
      </c>
      <c r="W281" s="97" t="n">
        <v>14.1</v>
      </c>
      <c r="X281" s="97" t="n">
        <v>13.04</v>
      </c>
      <c r="Y281" s="97" t="n">
        <v>-1.5</v>
      </c>
      <c r="Z281" s="97" t="n">
        <v>4</v>
      </c>
      <c r="AA281" s="92" t="inlineStr">
        <is>
          <t>AVOID</t>
        </is>
      </c>
    </row>
    <row r="282">
      <c r="A282" s="99" t="inlineStr">
        <is>
          <t>TATACAP</t>
        </is>
      </c>
      <c r="B282" s="99" t="inlineStr">
        <is>
          <t>Tata Capital Ltd.</t>
        </is>
      </c>
      <c r="C282" s="99" t="inlineStr">
        <is>
          <t>Financial Services</t>
        </is>
      </c>
      <c r="D282" s="99" t="inlineStr">
        <is>
          <t>Large/Midcap</t>
        </is>
      </c>
      <c r="E282" s="99" t="n">
        <v>350.55</v>
      </c>
      <c r="F282" s="99" t="n">
        <v>2.7</v>
      </c>
      <c r="G282" s="99" t="n">
        <v>939267</v>
      </c>
      <c r="H282" s="99" t="n">
        <v>1.26</v>
      </c>
      <c r="I282" s="99" t="n">
        <v>147816</v>
      </c>
      <c r="J282" s="99" t="inlineStr">
        <is>
          <t>Y</t>
        </is>
      </c>
      <c r="K282" s="99" t="inlineStr">
        <is>
          <t>Y</t>
        </is>
      </c>
      <c r="L282" s="99" t="inlineStr">
        <is>
          <t>N/A</t>
        </is>
      </c>
      <c r="M282" s="99" t="n">
        <v>48.8</v>
      </c>
      <c r="N282" s="99" t="inlineStr">
        <is>
          <t>N</t>
        </is>
      </c>
      <c r="O282" s="99" t="n">
        <v>8.49</v>
      </c>
      <c r="P282" s="99" t="inlineStr">
        <is>
          <t>N</t>
        </is>
      </c>
      <c r="Q282" s="99" t="inlineStr">
        <is>
          <t>N/A</t>
        </is>
      </c>
      <c r="R282" s="99" t="inlineStr">
        <is>
          <t>N</t>
        </is>
      </c>
      <c r="S282" s="99" t="n">
        <v>-3.2</v>
      </c>
      <c r="T282" s="99" t="n">
        <v>5.8</v>
      </c>
      <c r="U282" s="99" t="inlineStr">
        <is>
          <t>Y</t>
        </is>
      </c>
      <c r="V282" s="99" t="n">
        <v>29.1</v>
      </c>
      <c r="W282" s="99" t="n">
        <v>12</v>
      </c>
      <c r="X282" s="99" t="n">
        <v>502.93</v>
      </c>
      <c r="Y282" s="99" t="n">
        <v>19.5</v>
      </c>
      <c r="Z282" s="99" t="n">
        <v>4</v>
      </c>
      <c r="AA282" s="94" t="inlineStr">
        <is>
          <t>AVOID</t>
        </is>
      </c>
    </row>
    <row r="283">
      <c r="A283" s="97" t="inlineStr">
        <is>
          <t>TECHM</t>
        </is>
      </c>
      <c r="B283" s="97" t="inlineStr">
        <is>
          <t>Tech Mahindra Ltd.</t>
        </is>
      </c>
      <c r="C283" s="97" t="inlineStr">
        <is>
          <t>Information Technology</t>
        </is>
      </c>
      <c r="D283" s="97" t="inlineStr">
        <is>
          <t>Large/Midcap</t>
        </is>
      </c>
      <c r="E283" s="97" t="n">
        <v>1575</v>
      </c>
      <c r="F283" s="97" t="n">
        <v>0.99</v>
      </c>
      <c r="G283" s="97" t="n">
        <v>1513324</v>
      </c>
      <c r="H283" s="97" t="n">
        <v>0.98</v>
      </c>
      <c r="I283" s="97" t="inlineStr">
        <is>
          <t>N/A</t>
        </is>
      </c>
      <c r="J283" s="97" t="inlineStr">
        <is>
          <t>Y</t>
        </is>
      </c>
      <c r="K283" s="97" t="inlineStr">
        <is>
          <t>Y</t>
        </is>
      </c>
      <c r="L283" s="97" t="inlineStr">
        <is>
          <t>Y</t>
        </is>
      </c>
      <c r="M283" s="97" t="n">
        <v>75.3</v>
      </c>
      <c r="N283" s="97" t="inlineStr">
        <is>
          <t>N</t>
        </is>
      </c>
      <c r="O283" s="97" t="n">
        <v>44.94</v>
      </c>
      <c r="P283" s="97" t="inlineStr">
        <is>
          <t>N</t>
        </is>
      </c>
      <c r="Q283" s="97" t="inlineStr">
        <is>
          <t>N/A</t>
        </is>
      </c>
      <c r="R283" s="97" t="inlineStr">
        <is>
          <t>N</t>
        </is>
      </c>
      <c r="S283" s="97" t="n">
        <v>12.7</v>
      </c>
      <c r="T283" s="97" t="n">
        <v>10.1</v>
      </c>
      <c r="U283" s="97" t="inlineStr">
        <is>
          <t>Y</t>
        </is>
      </c>
      <c r="V283" s="97" t="inlineStr">
        <is>
          <t>N/A</t>
        </is>
      </c>
      <c r="W283" s="97" t="inlineStr">
        <is>
          <t>N/A</t>
        </is>
      </c>
      <c r="X283" s="97" t="inlineStr">
        <is>
          <t>N/A</t>
        </is>
      </c>
      <c r="Y283" s="97" t="inlineStr">
        <is>
          <t>N/A</t>
        </is>
      </c>
      <c r="Z283" s="97" t="n">
        <v>4</v>
      </c>
      <c r="AA283" s="92" t="inlineStr">
        <is>
          <t>AVOID</t>
        </is>
      </c>
    </row>
    <row r="284">
      <c r="A284" s="99" t="inlineStr">
        <is>
          <t>TITAGARH</t>
        </is>
      </c>
      <c r="B284" s="99" t="inlineStr">
        <is>
          <t>Titagarh Rail Systems Ltd.</t>
        </is>
      </c>
      <c r="C284" s="99" t="inlineStr">
        <is>
          <t>Capital Goods</t>
        </is>
      </c>
      <c r="D284" s="99" t="inlineStr">
        <is>
          <t>BSE Smallcap</t>
        </is>
      </c>
      <c r="E284" s="99" t="n">
        <v>819.45</v>
      </c>
      <c r="F284" s="99" t="n">
        <v>0.48</v>
      </c>
      <c r="G284" s="99" t="n">
        <v>387023</v>
      </c>
      <c r="H284" s="99" t="n">
        <v>1.11</v>
      </c>
      <c r="I284" s="99" t="n">
        <v>10991</v>
      </c>
      <c r="J284" s="99" t="inlineStr">
        <is>
          <t>Y</t>
        </is>
      </c>
      <c r="K284" s="99" t="inlineStr">
        <is>
          <t>N</t>
        </is>
      </c>
      <c r="L284" s="99" t="inlineStr">
        <is>
          <t>Y</t>
        </is>
      </c>
      <c r="M284" s="99" t="n">
        <v>37.5</v>
      </c>
      <c r="N284" s="99" t="inlineStr">
        <is>
          <t>N</t>
        </is>
      </c>
      <c r="O284" s="99" t="n">
        <v>27.59</v>
      </c>
      <c r="P284" s="99" t="inlineStr">
        <is>
          <t>N</t>
        </is>
      </c>
      <c r="Q284" s="99" t="inlineStr">
        <is>
          <t>N/A</t>
        </is>
      </c>
      <c r="R284" s="99" t="inlineStr">
        <is>
          <t>N</t>
        </is>
      </c>
      <c r="S284" s="99" t="n">
        <v>-7.5</v>
      </c>
      <c r="T284" s="99" t="n">
        <v>4.6</v>
      </c>
      <c r="U284" s="99" t="inlineStr">
        <is>
          <t>Y</t>
        </is>
      </c>
      <c r="V284" s="99" t="n">
        <v>90.59999999999999</v>
      </c>
      <c r="W284" s="99" t="n">
        <v>4.9</v>
      </c>
      <c r="X284" s="99" t="n">
        <v>25.36</v>
      </c>
      <c r="Y284" s="99" t="n">
        <v>12.3</v>
      </c>
      <c r="Z284" s="99" t="n">
        <v>4</v>
      </c>
      <c r="AA284" s="94" t="inlineStr">
        <is>
          <t>AVOID</t>
        </is>
      </c>
    </row>
    <row r="285">
      <c r="A285" s="97" t="inlineStr">
        <is>
          <t>TORNTPOWER</t>
        </is>
      </c>
      <c r="B285" s="97" t="inlineStr">
        <is>
          <t>Torrent Power Ltd.</t>
        </is>
      </c>
      <c r="C285" s="97" t="inlineStr">
        <is>
          <t>Power</t>
        </is>
      </c>
      <c r="D285" s="97" t="inlineStr">
        <is>
          <t>Large/Midcap</t>
        </is>
      </c>
      <c r="E285" s="97" t="n">
        <v>1434.1</v>
      </c>
      <c r="F285" s="97" t="n">
        <v>0.29</v>
      </c>
      <c r="G285" s="97" t="n">
        <v>509230</v>
      </c>
      <c r="H285" s="97" t="n">
        <v>1.67</v>
      </c>
      <c r="I285" s="97" t="n">
        <v>72562</v>
      </c>
      <c r="J285" s="97" t="inlineStr">
        <is>
          <t>Y</t>
        </is>
      </c>
      <c r="K285" s="97" t="inlineStr">
        <is>
          <t>Y</t>
        </is>
      </c>
      <c r="L285" s="97" t="inlineStr">
        <is>
          <t>Y</t>
        </is>
      </c>
      <c r="M285" s="97" t="n">
        <v>66.09999999999999</v>
      </c>
      <c r="N285" s="97" t="inlineStr">
        <is>
          <t>Y</t>
        </is>
      </c>
      <c r="O285" s="97" t="n">
        <v>36.15</v>
      </c>
      <c r="P285" s="97" t="inlineStr">
        <is>
          <t>N</t>
        </is>
      </c>
      <c r="Q285" s="97" t="inlineStr">
        <is>
          <t>N/A</t>
        </is>
      </c>
      <c r="R285" s="97" t="inlineStr">
        <is>
          <t>N</t>
        </is>
      </c>
      <c r="S285" s="97" t="n">
        <v>1.7</v>
      </c>
      <c r="T285" s="97" t="n">
        <v>-15</v>
      </c>
      <c r="U285" s="97" t="inlineStr">
        <is>
          <t>N</t>
        </is>
      </c>
      <c r="V285" s="97" t="n">
        <v>30.1</v>
      </c>
      <c r="W285" s="97" t="n">
        <v>13</v>
      </c>
      <c r="X285" s="97" t="n">
        <v>70.89</v>
      </c>
      <c r="Y285" s="97" t="n">
        <v>-50.5</v>
      </c>
      <c r="Z285" s="97" t="n">
        <v>4</v>
      </c>
      <c r="AA285" s="92" t="inlineStr">
        <is>
          <t>AVOID</t>
        </is>
      </c>
    </row>
    <row r="286">
      <c r="A286" s="99" t="inlineStr">
        <is>
          <t>TRENT</t>
        </is>
      </c>
      <c r="B286" s="99" t="inlineStr">
        <is>
          <t>Trent Ltd.</t>
        </is>
      </c>
      <c r="C286" s="99" t="inlineStr">
        <is>
          <t>Consumer Services</t>
        </is>
      </c>
      <c r="D286" s="99" t="inlineStr">
        <is>
          <t>Large/Midcap</t>
        </is>
      </c>
      <c r="E286" s="99" t="n">
        <v>2938.3</v>
      </c>
      <c r="F286" s="99" t="n">
        <v>1.65</v>
      </c>
      <c r="G286" s="99" t="n">
        <v>789065</v>
      </c>
      <c r="H286" s="99" t="n">
        <v>1.19</v>
      </c>
      <c r="I286" s="99" t="n">
        <v>156680</v>
      </c>
      <c r="J286" s="99" t="inlineStr">
        <is>
          <t>Y</t>
        </is>
      </c>
      <c r="K286" s="99" t="inlineStr">
        <is>
          <t>N</t>
        </is>
      </c>
      <c r="L286" s="99" t="inlineStr">
        <is>
          <t>N</t>
        </is>
      </c>
      <c r="M286" s="99" t="n">
        <v>51.9</v>
      </c>
      <c r="N286" s="99" t="inlineStr">
        <is>
          <t>Y</t>
        </is>
      </c>
      <c r="O286" s="99" t="n">
        <v>59.49</v>
      </c>
      <c r="P286" s="99" t="inlineStr">
        <is>
          <t>N</t>
        </is>
      </c>
      <c r="Q286" s="99" t="inlineStr">
        <is>
          <t>N/A</t>
        </is>
      </c>
      <c r="R286" s="99" t="inlineStr">
        <is>
          <t>N</t>
        </is>
      </c>
      <c r="S286" s="99" t="n">
        <v>-8.4</v>
      </c>
      <c r="T286" s="99" t="n">
        <v>6.9</v>
      </c>
      <c r="U286" s="99" t="inlineStr">
        <is>
          <t>Y</t>
        </is>
      </c>
      <c r="V286" s="99" t="n">
        <v>89.3</v>
      </c>
      <c r="W286" s="99" t="n">
        <v>27.1</v>
      </c>
      <c r="X286" s="99" t="n">
        <v>36.03</v>
      </c>
      <c r="Y286" s="99" t="n">
        <v>-21.9</v>
      </c>
      <c r="Z286" s="99" t="n">
        <v>4</v>
      </c>
      <c r="AA286" s="94" t="inlineStr">
        <is>
          <t>AVOID</t>
        </is>
      </c>
    </row>
    <row r="287">
      <c r="A287" s="97" t="inlineStr">
        <is>
          <t>UPL</t>
        </is>
      </c>
      <c r="B287" s="97" t="inlineStr">
        <is>
          <t>UPL Ltd.</t>
        </is>
      </c>
      <c r="C287" s="97" t="inlineStr">
        <is>
          <t>Chemicals</t>
        </is>
      </c>
      <c r="D287" s="97" t="inlineStr">
        <is>
          <t>Large/Midcap</t>
        </is>
      </c>
      <c r="E287" s="97" t="n">
        <v>608.5</v>
      </c>
      <c r="F287" s="97" t="n">
        <v>1</v>
      </c>
      <c r="G287" s="97" t="n">
        <v>1543100</v>
      </c>
      <c r="H287" s="97" t="n">
        <v>2.34</v>
      </c>
      <c r="I287" s="97" t="n">
        <v>51436</v>
      </c>
      <c r="J287" s="97" t="inlineStr">
        <is>
          <t>Y</t>
        </is>
      </c>
      <c r="K287" s="97" t="inlineStr">
        <is>
          <t>Y</t>
        </is>
      </c>
      <c r="L287" s="97" t="inlineStr">
        <is>
          <t>N</t>
        </is>
      </c>
      <c r="M287" s="97" t="n">
        <v>55.8</v>
      </c>
      <c r="N287" s="97" t="inlineStr">
        <is>
          <t>Y</t>
        </is>
      </c>
      <c r="O287" s="97" t="n">
        <v>15.28</v>
      </c>
      <c r="P287" s="97" t="inlineStr">
        <is>
          <t>N</t>
        </is>
      </c>
      <c r="Q287" s="97" t="inlineStr">
        <is>
          <t>N/A</t>
        </is>
      </c>
      <c r="R287" s="97" t="inlineStr">
        <is>
          <t>N</t>
        </is>
      </c>
      <c r="S287" s="97" t="n">
        <v>4.3</v>
      </c>
      <c r="T287" s="97" t="n">
        <v>-3.9</v>
      </c>
      <c r="U287" s="97" t="inlineStr">
        <is>
          <t>N</t>
        </is>
      </c>
      <c r="V287" s="97" t="n">
        <v>27</v>
      </c>
      <c r="W287" s="97" t="n">
        <v>5.6</v>
      </c>
      <c r="X287" s="97" t="n">
        <v>57.13</v>
      </c>
      <c r="Y287" s="97" t="n">
        <v>167.9</v>
      </c>
      <c r="Z287" s="97" t="n">
        <v>4</v>
      </c>
      <c r="AA287" s="92" t="inlineStr">
        <is>
          <t>AVOID</t>
        </is>
      </c>
    </row>
    <row r="288">
      <c r="A288" s="99" t="inlineStr">
        <is>
          <t>UBL</t>
        </is>
      </c>
      <c r="B288" s="99" t="inlineStr">
        <is>
          <t>United Breweries Ltd.</t>
        </is>
      </c>
      <c r="C288" s="99" t="inlineStr">
        <is>
          <t>Fast Moving Consumer Goods</t>
        </is>
      </c>
      <c r="D288" s="99" t="inlineStr">
        <is>
          <t>Large/Midcap</t>
        </is>
      </c>
      <c r="E288" s="99" t="n">
        <v>1398.6</v>
      </c>
      <c r="F288" s="99" t="n">
        <v>0.06</v>
      </c>
      <c r="G288" s="99" t="n">
        <v>155336</v>
      </c>
      <c r="H288" s="99" t="n">
        <v>0.44</v>
      </c>
      <c r="I288" s="99" t="n">
        <v>37776</v>
      </c>
      <c r="J288" s="99" t="inlineStr">
        <is>
          <t>Y</t>
        </is>
      </c>
      <c r="K288" s="99" t="inlineStr">
        <is>
          <t>Y</t>
        </is>
      </c>
      <c r="L288" s="99" t="inlineStr">
        <is>
          <t>N</t>
        </is>
      </c>
      <c r="M288" s="99" t="n">
        <v>56.7</v>
      </c>
      <c r="N288" s="99" t="inlineStr">
        <is>
          <t>Y</t>
        </is>
      </c>
      <c r="O288" s="99" t="n">
        <v>32.85</v>
      </c>
      <c r="P288" s="99" t="inlineStr">
        <is>
          <t>N</t>
        </is>
      </c>
      <c r="Q288" s="99" t="inlineStr">
        <is>
          <t>N/A</t>
        </is>
      </c>
      <c r="R288" s="99" t="inlineStr">
        <is>
          <t>N</t>
        </is>
      </c>
      <c r="S288" s="99" t="n">
        <v>5.5</v>
      </c>
      <c r="T288" s="99" t="n">
        <v>-4.4</v>
      </c>
      <c r="U288" s="99" t="inlineStr">
        <is>
          <t>N</t>
        </is>
      </c>
      <c r="V288" s="99" t="n">
        <v>91.2</v>
      </c>
      <c r="W288" s="99" t="n">
        <v>9.300000000000001</v>
      </c>
      <c r="X288" s="99" t="n">
        <v>29.08</v>
      </c>
      <c r="Y288" s="99" t="n">
        <v>25.7</v>
      </c>
      <c r="Z288" s="99" t="n">
        <v>4</v>
      </c>
      <c r="AA288" s="94" t="inlineStr">
        <is>
          <t>AVOID</t>
        </is>
      </c>
    </row>
    <row r="289">
      <c r="A289" s="97" t="inlineStr">
        <is>
          <t>VTL</t>
        </is>
      </c>
      <c r="B289" s="97" t="inlineStr">
        <is>
          <t>Vardhman Textiles Ltd.</t>
        </is>
      </c>
      <c r="C289" s="97" t="inlineStr">
        <is>
          <t>Textiles</t>
        </is>
      </c>
      <c r="D289" s="97" t="inlineStr">
        <is>
          <t>BSE Smallcap</t>
        </is>
      </c>
      <c r="E289" s="97" t="n">
        <v>614.6</v>
      </c>
      <c r="F289" s="97" t="n">
        <v>0.74</v>
      </c>
      <c r="G289" s="97" t="n">
        <v>130927</v>
      </c>
      <c r="H289" s="97" t="n">
        <v>0.76</v>
      </c>
      <c r="I289" s="97" t="n">
        <v>18186</v>
      </c>
      <c r="J289" s="97" t="inlineStr">
        <is>
          <t>Y</t>
        </is>
      </c>
      <c r="K289" s="97" t="inlineStr">
        <is>
          <t>N</t>
        </is>
      </c>
      <c r="L289" s="97" t="inlineStr">
        <is>
          <t>Y</t>
        </is>
      </c>
      <c r="M289" s="97" t="n">
        <v>29.3</v>
      </c>
      <c r="N289" s="97" t="inlineStr">
        <is>
          <t>N</t>
        </is>
      </c>
      <c r="O289" s="97" t="n">
        <v>19.43</v>
      </c>
      <c r="P289" s="97" t="inlineStr">
        <is>
          <t>N</t>
        </is>
      </c>
      <c r="Q289" s="97" t="inlineStr">
        <is>
          <t>N/A</t>
        </is>
      </c>
      <c r="R289" s="97" t="inlineStr">
        <is>
          <t>N</t>
        </is>
      </c>
      <c r="S289" s="97" t="n">
        <v>-2.9</v>
      </c>
      <c r="T289" s="97" t="n">
        <v>1.4</v>
      </c>
      <c r="U289" s="97" t="inlineStr">
        <is>
          <t>Y</t>
        </is>
      </c>
      <c r="V289" s="97" t="n">
        <v>24</v>
      </c>
      <c r="W289" s="97" t="n">
        <v>7.3</v>
      </c>
      <c r="X289" s="97" t="n">
        <v>17.52</v>
      </c>
      <c r="Y289" s="97" t="n">
        <v>11</v>
      </c>
      <c r="Z289" s="97" t="n">
        <v>4</v>
      </c>
      <c r="AA289" s="92" t="inlineStr">
        <is>
          <t>AVOID</t>
        </is>
      </c>
    </row>
    <row r="290">
      <c r="A290" s="99" t="inlineStr">
        <is>
          <t>IDEA</t>
        </is>
      </c>
      <c r="B290" s="99" t="inlineStr">
        <is>
          <t>Vodafone Idea Ltd.</t>
        </is>
      </c>
      <c r="C290" s="99" t="inlineStr">
        <is>
          <t>Telecommunication</t>
        </is>
      </c>
      <c r="D290" s="99" t="inlineStr">
        <is>
          <t>Large/Midcap</t>
        </is>
      </c>
      <c r="E290" s="99" t="n">
        <v>13.06</v>
      </c>
      <c r="F290" s="99" t="n">
        <v>-0.53</v>
      </c>
      <c r="G290" s="99" t="n">
        <v>247499082</v>
      </c>
      <c r="H290" s="99" t="n">
        <v>0.68</v>
      </c>
      <c r="I290" s="99" t="n">
        <v>141496</v>
      </c>
      <c r="J290" s="99" t="inlineStr">
        <is>
          <t>Y</t>
        </is>
      </c>
      <c r="K290" s="99" t="inlineStr">
        <is>
          <t>N</t>
        </is>
      </c>
      <c r="L290" s="99" t="inlineStr">
        <is>
          <t>Y</t>
        </is>
      </c>
      <c r="M290" s="99" t="n">
        <v>30.3</v>
      </c>
      <c r="N290" s="99" t="inlineStr">
        <is>
          <t>N</t>
        </is>
      </c>
      <c r="O290" s="99" t="n">
        <v>0.35</v>
      </c>
      <c r="P290" s="99" t="inlineStr">
        <is>
          <t>N</t>
        </is>
      </c>
      <c r="Q290" s="99" t="inlineStr">
        <is>
          <t>N/A</t>
        </is>
      </c>
      <c r="R290" s="99" t="inlineStr">
        <is>
          <t>N</t>
        </is>
      </c>
      <c r="S290" s="99" t="n">
        <v>-6.9</v>
      </c>
      <c r="T290" s="99" t="n">
        <v>28.2</v>
      </c>
      <c r="U290" s="99" t="inlineStr">
        <is>
          <t>Y</t>
        </is>
      </c>
      <c r="V290" s="99" t="n">
        <v>4.1</v>
      </c>
      <c r="W290" s="99" t="inlineStr">
        <is>
          <t>N/A</t>
        </is>
      </c>
      <c r="X290" s="99" t="inlineStr">
        <is>
          <t>N/A</t>
        </is>
      </c>
      <c r="Y290" s="99" t="n">
        <v>1083.2</v>
      </c>
      <c r="Z290" s="99" t="n">
        <v>4</v>
      </c>
      <c r="AA290" s="94" t="inlineStr">
        <is>
          <t>AVOID</t>
        </is>
      </c>
    </row>
    <row r="291">
      <c r="A291" s="97" t="inlineStr">
        <is>
          <t>VOLTAS</t>
        </is>
      </c>
      <c r="B291" s="97" t="inlineStr">
        <is>
          <t>Voltas Ltd.</t>
        </is>
      </c>
      <c r="C291" s="97" t="inlineStr">
        <is>
          <t>Consumer Durables</t>
        </is>
      </c>
      <c r="D291" s="97" t="inlineStr">
        <is>
          <t>Large/Midcap</t>
        </is>
      </c>
      <c r="E291" s="97" t="n">
        <v>1327.3</v>
      </c>
      <c r="F291" s="97" t="n">
        <v>1.31</v>
      </c>
      <c r="G291" s="97" t="n">
        <v>569448</v>
      </c>
      <c r="H291" s="97" t="n">
        <v>1.19</v>
      </c>
      <c r="I291" s="97" t="n">
        <v>43654</v>
      </c>
      <c r="J291" s="97" t="inlineStr">
        <is>
          <t>Y</t>
        </is>
      </c>
      <c r="K291" s="97" t="inlineStr">
        <is>
          <t>Y</t>
        </is>
      </c>
      <c r="L291" s="97" t="inlineStr">
        <is>
          <t>N</t>
        </is>
      </c>
      <c r="M291" s="97" t="n">
        <v>57.5</v>
      </c>
      <c r="N291" s="97" t="inlineStr">
        <is>
          <t>Y</t>
        </is>
      </c>
      <c r="O291" s="97" t="n">
        <v>37.26</v>
      </c>
      <c r="P291" s="97" t="inlineStr">
        <is>
          <t>N</t>
        </is>
      </c>
      <c r="Q291" s="97" t="inlineStr">
        <is>
          <t>N/A</t>
        </is>
      </c>
      <c r="R291" s="97" t="inlineStr">
        <is>
          <t>N</t>
        </is>
      </c>
      <c r="S291" s="97" t="n">
        <v>2.2</v>
      </c>
      <c r="T291" s="97" t="n">
        <v>-9.300000000000001</v>
      </c>
      <c r="U291" s="97" t="inlineStr">
        <is>
          <t>N</t>
        </is>
      </c>
      <c r="V291" s="97" t="n">
        <v>115.6</v>
      </c>
      <c r="W291" s="97" t="n">
        <v>5.7</v>
      </c>
      <c r="X291" s="97" t="n">
        <v>15.51</v>
      </c>
      <c r="Y291" s="97" t="n">
        <v>36.8</v>
      </c>
      <c r="Z291" s="97" t="n">
        <v>4</v>
      </c>
      <c r="AA291" s="92" t="inlineStr">
        <is>
          <t>AVOID</t>
        </is>
      </c>
    </row>
    <row r="292">
      <c r="A292" s="99" t="inlineStr">
        <is>
          <t>WOCKPHARMA</t>
        </is>
      </c>
      <c r="B292" s="99" t="inlineStr">
        <is>
          <t>Wockhardt Ltd.</t>
        </is>
      </c>
      <c r="C292" s="99" t="inlineStr">
        <is>
          <t>Healthcare</t>
        </is>
      </c>
      <c r="D292" s="99" t="inlineStr">
        <is>
          <t>BSE Smallcap</t>
        </is>
      </c>
      <c r="E292" s="99" t="n">
        <v>1849.2</v>
      </c>
      <c r="F292" s="99" t="n">
        <v>-0.03</v>
      </c>
      <c r="G292" s="99" t="n">
        <v>330095</v>
      </c>
      <c r="H292" s="99" t="n">
        <v>0.62</v>
      </c>
      <c r="I292" s="99" t="n">
        <v>30308</v>
      </c>
      <c r="J292" s="99" t="inlineStr">
        <is>
          <t>Y</t>
        </is>
      </c>
      <c r="K292" s="99" t="inlineStr">
        <is>
          <t>N</t>
        </is>
      </c>
      <c r="L292" s="99" t="inlineStr">
        <is>
          <t>Y</t>
        </is>
      </c>
      <c r="M292" s="99" t="n">
        <v>40.3</v>
      </c>
      <c r="N292" s="99" t="inlineStr">
        <is>
          <t>N</t>
        </is>
      </c>
      <c r="O292" s="99" t="n">
        <v>61.09</v>
      </c>
      <c r="P292" s="99" t="inlineStr">
        <is>
          <t>N</t>
        </is>
      </c>
      <c r="Q292" s="99" t="inlineStr">
        <is>
          <t>N/A</t>
        </is>
      </c>
      <c r="R292" s="99" t="inlineStr">
        <is>
          <t>N</t>
        </is>
      </c>
      <c r="S292" s="99" t="n">
        <v>-5.7</v>
      </c>
      <c r="T292" s="99" t="n">
        <v>33.3</v>
      </c>
      <c r="U292" s="99" t="inlineStr">
        <is>
          <t>Y</t>
        </is>
      </c>
      <c r="V292" s="99" t="n">
        <v>142.1</v>
      </c>
      <c r="W292" s="99" t="n">
        <v>4</v>
      </c>
      <c r="X292" s="99" t="n">
        <v>42.28</v>
      </c>
      <c r="Y292" s="99" t="n">
        <v>181.4</v>
      </c>
      <c r="Z292" s="99" t="n">
        <v>4</v>
      </c>
      <c r="AA292" s="94" t="inlineStr">
        <is>
          <t>AVOID</t>
        </is>
      </c>
    </row>
    <row r="293">
      <c r="A293" s="97" t="inlineStr">
        <is>
          <t>ZENTEC</t>
        </is>
      </c>
      <c r="B293" s="97" t="inlineStr">
        <is>
          <t>Zen Technologies Ltd.</t>
        </is>
      </c>
      <c r="C293" s="97" t="inlineStr">
        <is>
          <t>Capital Goods</t>
        </is>
      </c>
      <c r="D293" s="97" t="inlineStr">
        <is>
          <t>BSE Smallcap</t>
        </is>
      </c>
      <c r="E293" s="97" t="n">
        <v>1688.2</v>
      </c>
      <c r="F293" s="97" t="n">
        <v>-4.55</v>
      </c>
      <c r="G293" s="97" t="n">
        <v>1617808</v>
      </c>
      <c r="H293" s="97" t="n">
        <v>6.58</v>
      </c>
      <c r="I293" s="97" t="n">
        <v>15183</v>
      </c>
      <c r="J293" s="97" t="inlineStr">
        <is>
          <t>Y</t>
        </is>
      </c>
      <c r="K293" s="97" t="inlineStr">
        <is>
          <t>N</t>
        </is>
      </c>
      <c r="L293" s="97" t="inlineStr">
        <is>
          <t>Y</t>
        </is>
      </c>
      <c r="M293" s="97" t="n">
        <v>32.1</v>
      </c>
      <c r="N293" s="97" t="inlineStr">
        <is>
          <t>N</t>
        </is>
      </c>
      <c r="O293" s="97" t="n">
        <v>66.66</v>
      </c>
      <c r="P293" s="97" t="inlineStr">
        <is>
          <t>Y</t>
        </is>
      </c>
      <c r="Q293" s="97" t="inlineStr">
        <is>
          <t>N/A</t>
        </is>
      </c>
      <c r="R293" s="97" t="inlineStr">
        <is>
          <t>N</t>
        </is>
      </c>
      <c r="S293" s="97" t="n">
        <v>-4.4</v>
      </c>
      <c r="T293" s="97" t="n">
        <v>1.4</v>
      </c>
      <c r="U293" s="97" t="inlineStr">
        <is>
          <t>Y</t>
        </is>
      </c>
      <c r="V293" s="97" t="n">
        <v>82</v>
      </c>
      <c r="W293" s="97" t="inlineStr">
        <is>
          <t>N/A</t>
        </is>
      </c>
      <c r="X293" s="97" t="n">
        <v>0.95</v>
      </c>
      <c r="Y293" s="97" t="n">
        <v>-42.4</v>
      </c>
      <c r="Z293" s="97" t="n">
        <v>4</v>
      </c>
      <c r="AA293" s="92" t="inlineStr">
        <is>
          <t>AVOID</t>
        </is>
      </c>
    </row>
    <row r="294">
      <c r="A294" s="99" t="inlineStr">
        <is>
          <t>GODREJAGRO</t>
        </is>
      </c>
      <c r="B294" s="99" t="inlineStr">
        <is>
          <t>Godrej Agrovet Limited</t>
        </is>
      </c>
      <c r="C294" s="99" t="n"/>
      <c r="D294" s="99" t="inlineStr">
        <is>
          <t>BSE Smallcap</t>
        </is>
      </c>
      <c r="E294" s="99" t="n">
        <v>573.6</v>
      </c>
      <c r="F294" s="99" t="n">
        <v>2.21</v>
      </c>
      <c r="G294" s="99" t="n">
        <v>111216</v>
      </c>
      <c r="H294" s="99" t="n">
        <v>1.39</v>
      </c>
      <c r="I294" s="99" t="n">
        <v>11048</v>
      </c>
      <c r="J294" s="99" t="inlineStr">
        <is>
          <t>Y</t>
        </is>
      </c>
      <c r="K294" s="99" t="inlineStr">
        <is>
          <t>Y</t>
        </is>
      </c>
      <c r="L294" s="99" t="inlineStr">
        <is>
          <t>N</t>
        </is>
      </c>
      <c r="M294" s="99" t="n">
        <v>53.1</v>
      </c>
      <c r="N294" s="99" t="inlineStr">
        <is>
          <t>Y</t>
        </is>
      </c>
      <c r="O294" s="99" t="n">
        <v>11.74</v>
      </c>
      <c r="P294" s="99" t="inlineStr">
        <is>
          <t>N</t>
        </is>
      </c>
      <c r="Q294" s="99" t="inlineStr">
        <is>
          <t>N/A</t>
        </is>
      </c>
      <c r="R294" s="99" t="inlineStr">
        <is>
          <t>N</t>
        </is>
      </c>
      <c r="S294" s="99" t="n">
        <v>2.3</v>
      </c>
      <c r="T294" s="99" t="n">
        <v>-2.9</v>
      </c>
      <c r="U294" s="99" t="inlineStr">
        <is>
          <t>N</t>
        </is>
      </c>
      <c r="V294" s="99" t="n">
        <v>23.4</v>
      </c>
      <c r="W294" s="99" t="n">
        <v>18.7</v>
      </c>
      <c r="X294" s="99" t="n">
        <v>72.75</v>
      </c>
      <c r="Y294" s="99" t="n">
        <v>-8.699999999999999</v>
      </c>
      <c r="Z294" s="99" t="n">
        <v>4</v>
      </c>
      <c r="AA294" s="94" t="inlineStr">
        <is>
          <t>AVOID</t>
        </is>
      </c>
    </row>
    <row r="295">
      <c r="A295" s="97" t="inlineStr">
        <is>
          <t>GRINDWELL</t>
        </is>
      </c>
      <c r="B295" s="97" t="inlineStr">
        <is>
          <t>GRINDWELL NORTON LTD.</t>
        </is>
      </c>
      <c r="C295" s="97" t="n"/>
      <c r="D295" s="97" t="inlineStr">
        <is>
          <t>BSE Smallcap</t>
        </is>
      </c>
      <c r="E295" s="97" t="n">
        <v>2011.6</v>
      </c>
      <c r="F295" s="97" t="n">
        <v>0.38</v>
      </c>
      <c r="G295" s="97" t="n">
        <v>90565</v>
      </c>
      <c r="H295" s="97" t="n">
        <v>2.11</v>
      </c>
      <c r="I295" s="97" t="n">
        <v>22306</v>
      </c>
      <c r="J295" s="97" t="inlineStr">
        <is>
          <t>Y</t>
        </is>
      </c>
      <c r="K295" s="97" t="inlineStr">
        <is>
          <t>Y</t>
        </is>
      </c>
      <c r="L295" s="97" t="inlineStr">
        <is>
          <t>Y</t>
        </is>
      </c>
      <c r="M295" s="97" t="n">
        <v>47.5</v>
      </c>
      <c r="N295" s="97" t="inlineStr">
        <is>
          <t>N</t>
        </is>
      </c>
      <c r="O295" s="97" t="n">
        <v>115.14</v>
      </c>
      <c r="P295" s="97" t="inlineStr">
        <is>
          <t>N</t>
        </is>
      </c>
      <c r="Q295" s="97" t="inlineStr">
        <is>
          <t>N/A</t>
        </is>
      </c>
      <c r="R295" s="97" t="inlineStr">
        <is>
          <t>N</t>
        </is>
      </c>
      <c r="S295" s="97" t="n">
        <v>-8.6</v>
      </c>
      <c r="T295" s="97" t="n">
        <v>26</v>
      </c>
      <c r="U295" s="97" t="inlineStr">
        <is>
          <t>Y</t>
        </is>
      </c>
      <c r="V295" s="97" t="n">
        <v>51.1</v>
      </c>
      <c r="W295" s="97" t="inlineStr">
        <is>
          <t>N/A</t>
        </is>
      </c>
      <c r="X295" s="97" t="n">
        <v>2.38</v>
      </c>
      <c r="Y295" s="97" t="n">
        <v>-2.7</v>
      </c>
      <c r="Z295" s="97" t="n">
        <v>4</v>
      </c>
      <c r="AA295" s="92" t="inlineStr">
        <is>
          <t>AVOID</t>
        </is>
      </c>
    </row>
    <row r="296">
      <c r="A296" s="99" t="inlineStr">
        <is>
          <t>ADANIPOWER</t>
        </is>
      </c>
      <c r="B296" s="99" t="inlineStr">
        <is>
          <t>Adani Power Ltd.</t>
        </is>
      </c>
      <c r="C296" s="99" t="inlineStr">
        <is>
          <t>Power</t>
        </is>
      </c>
      <c r="D296" s="99" t="inlineStr">
        <is>
          <t>Large/Midcap</t>
        </is>
      </c>
      <c r="E296" s="99" t="n">
        <v>213.96</v>
      </c>
      <c r="F296" s="99" t="n">
        <v>0.14</v>
      </c>
      <c r="G296" s="99" t="n">
        <v>14546955</v>
      </c>
      <c r="H296" s="99" t="n">
        <v>0.4</v>
      </c>
      <c r="I296" s="99" t="n">
        <v>412615</v>
      </c>
      <c r="J296" s="99" t="inlineStr">
        <is>
          <t>Y</t>
        </is>
      </c>
      <c r="K296" s="99" t="inlineStr">
        <is>
          <t>N</t>
        </is>
      </c>
      <c r="L296" s="99" t="inlineStr">
        <is>
          <t>Y</t>
        </is>
      </c>
      <c r="M296" s="99" t="n">
        <v>45.4</v>
      </c>
      <c r="N296" s="99" t="inlineStr">
        <is>
          <t>N</t>
        </is>
      </c>
      <c r="O296" s="99" t="n">
        <v>6.57</v>
      </c>
      <c r="P296" s="99" t="inlineStr">
        <is>
          <t>N</t>
        </is>
      </c>
      <c r="Q296" s="99" t="inlineStr">
        <is>
          <t>N/A</t>
        </is>
      </c>
      <c r="R296" s="99" t="inlineStr">
        <is>
          <t>N</t>
        </is>
      </c>
      <c r="S296" s="99" t="n">
        <v>-6.4</v>
      </c>
      <c r="T296" s="99" t="n">
        <v>-3.2</v>
      </c>
      <c r="U296" s="99" t="inlineStr">
        <is>
          <t>N</t>
        </is>
      </c>
      <c r="V296" s="99" t="n">
        <v>28.9</v>
      </c>
      <c r="W296" s="99" t="inlineStr">
        <is>
          <t>N/A</t>
        </is>
      </c>
      <c r="X296" s="99" t="n">
        <v>82.33</v>
      </c>
      <c r="Y296" s="99" t="n">
        <v>19.6</v>
      </c>
      <c r="Z296" s="99" t="n">
        <v>3</v>
      </c>
      <c r="AA296" s="94" t="inlineStr">
        <is>
          <t>AVOID</t>
        </is>
      </c>
    </row>
    <row r="297">
      <c r="A297" s="97" t="inlineStr">
        <is>
          <t>ABREL</t>
        </is>
      </c>
      <c r="B297" s="97" t="inlineStr">
        <is>
          <t>Aditya Birla Real Estate Ltd.</t>
        </is>
      </c>
      <c r="C297" s="97" t="inlineStr">
        <is>
          <t>Realty</t>
        </is>
      </c>
      <c r="D297" s="97" t="inlineStr">
        <is>
          <t>BSE Smallcap</t>
        </is>
      </c>
      <c r="E297" s="97" t="n">
        <v>1374.2</v>
      </c>
      <c r="F297" s="97" t="n">
        <v>-1.71</v>
      </c>
      <c r="G297" s="97" t="n">
        <v>113460</v>
      </c>
      <c r="H297" s="97" t="n">
        <v>1.11</v>
      </c>
      <c r="I297" s="97" t="n">
        <v>15483</v>
      </c>
      <c r="J297" s="97" t="inlineStr">
        <is>
          <t>Y</t>
        </is>
      </c>
      <c r="K297" s="97" t="inlineStr">
        <is>
          <t>Y</t>
        </is>
      </c>
      <c r="L297" s="97" t="inlineStr">
        <is>
          <t>N</t>
        </is>
      </c>
      <c r="M297" s="97" t="n">
        <v>43.3</v>
      </c>
      <c r="N297" s="97" t="inlineStr">
        <is>
          <t>N</t>
        </is>
      </c>
      <c r="O297" s="97" t="n">
        <v>45.58</v>
      </c>
      <c r="P297" s="97" t="inlineStr">
        <is>
          <t>N</t>
        </is>
      </c>
      <c r="Q297" s="97" t="inlineStr">
        <is>
          <t>N/A</t>
        </is>
      </c>
      <c r="R297" s="97" t="inlineStr">
        <is>
          <t>N</t>
        </is>
      </c>
      <c r="S297" s="97" t="n">
        <v>2.5</v>
      </c>
      <c r="T297" s="97" t="n">
        <v>-10.8</v>
      </c>
      <c r="U297" s="97" t="inlineStr">
        <is>
          <t>N</t>
        </is>
      </c>
      <c r="V297" s="97" t="inlineStr">
        <is>
          <t>N/A</t>
        </is>
      </c>
      <c r="W297" s="97" t="n">
        <v>-8.9</v>
      </c>
      <c r="X297" s="97" t="n">
        <v>152.37</v>
      </c>
      <c r="Y297" s="97" t="n">
        <v>114.9</v>
      </c>
      <c r="Z297" s="97" t="n">
        <v>3</v>
      </c>
      <c r="AA297" s="92" t="inlineStr">
        <is>
          <t>AVOID</t>
        </is>
      </c>
    </row>
    <row r="298">
      <c r="A298" s="99" t="inlineStr">
        <is>
          <t>ATGL</t>
        </is>
      </c>
      <c r="B298" s="99" t="inlineStr">
        <is>
          <t>Adani Total Gas Ltd.</t>
        </is>
      </c>
      <c r="C298" s="99" t="inlineStr">
        <is>
          <t>Oil Gas &amp; Consumable Fuels</t>
        </is>
      </c>
      <c r="D298" s="99" t="inlineStr">
        <is>
          <t>Large/Midcap</t>
        </is>
      </c>
      <c r="E298" s="99" t="n">
        <v>660.5</v>
      </c>
      <c r="F298" s="99" t="n">
        <v>1.17</v>
      </c>
      <c r="G298" s="99" t="n">
        <v>671241</v>
      </c>
      <c r="H298" s="99" t="n">
        <v>0.43</v>
      </c>
      <c r="I298" s="99" t="n">
        <v>72642</v>
      </c>
      <c r="J298" s="99" t="inlineStr">
        <is>
          <t>Y</t>
        </is>
      </c>
      <c r="K298" s="99" t="inlineStr">
        <is>
          <t>N</t>
        </is>
      </c>
      <c r="L298" s="99" t="inlineStr">
        <is>
          <t>Y</t>
        </is>
      </c>
      <c r="M298" s="99" t="n">
        <v>30.6</v>
      </c>
      <c r="N298" s="99" t="inlineStr">
        <is>
          <t>N</t>
        </is>
      </c>
      <c r="O298" s="99" t="n">
        <v>22.11</v>
      </c>
      <c r="P298" s="99" t="inlineStr">
        <is>
          <t>N</t>
        </is>
      </c>
      <c r="Q298" s="99" t="inlineStr">
        <is>
          <t>N/A</t>
        </is>
      </c>
      <c r="R298" s="99" t="inlineStr">
        <is>
          <t>N</t>
        </is>
      </c>
      <c r="S298" s="99" t="n">
        <v>-8</v>
      </c>
      <c r="T298" s="99" t="n">
        <v>4.5</v>
      </c>
      <c r="U298" s="99" t="inlineStr">
        <is>
          <t>Y</t>
        </is>
      </c>
      <c r="V298" s="99" t="n">
        <v>113.7</v>
      </c>
      <c r="W298" s="99" t="inlineStr">
        <is>
          <t>N/A</t>
        </is>
      </c>
      <c r="X298" s="99" t="n">
        <v>58.65</v>
      </c>
      <c r="Y298" s="99" t="n">
        <v>-15.8</v>
      </c>
      <c r="Z298" s="99" t="n">
        <v>3</v>
      </c>
      <c r="AA298" s="94" t="inlineStr">
        <is>
          <t>AVOID</t>
        </is>
      </c>
    </row>
    <row r="299">
      <c r="A299" s="97" t="inlineStr">
        <is>
          <t>AFFLE</t>
        </is>
      </c>
      <c r="B299" s="97" t="inlineStr">
        <is>
          <t>Affle 3i Ltd.</t>
        </is>
      </c>
      <c r="C299" s="97" t="inlineStr">
        <is>
          <t>Information Technology</t>
        </is>
      </c>
      <c r="D299" s="97" t="inlineStr">
        <is>
          <t>BSE Smallcap</t>
        </is>
      </c>
      <c r="E299" s="97" t="n">
        <v>1445.3</v>
      </c>
      <c r="F299" s="97" t="n">
        <v>-1.07</v>
      </c>
      <c r="G299" s="97" t="n">
        <v>238606</v>
      </c>
      <c r="H299" s="97" t="n">
        <v>2.08</v>
      </c>
      <c r="I299" s="97" t="n">
        <v>20995</v>
      </c>
      <c r="J299" s="97" t="inlineStr">
        <is>
          <t>Y</t>
        </is>
      </c>
      <c r="K299" s="97" t="inlineStr">
        <is>
          <t>N</t>
        </is>
      </c>
      <c r="L299" s="97" t="inlineStr">
        <is>
          <t>N</t>
        </is>
      </c>
      <c r="M299" s="97" t="n">
        <v>49.7</v>
      </c>
      <c r="N299" s="97" t="inlineStr">
        <is>
          <t>N</t>
        </is>
      </c>
      <c r="O299" s="97" t="n">
        <v>48.56</v>
      </c>
      <c r="P299" s="97" t="inlineStr">
        <is>
          <t>N</t>
        </is>
      </c>
      <c r="Q299" s="97" t="inlineStr">
        <is>
          <t>N/A</t>
        </is>
      </c>
      <c r="R299" s="97" t="inlineStr">
        <is>
          <t>N</t>
        </is>
      </c>
      <c r="S299" s="97" t="n">
        <v>-0.1</v>
      </c>
      <c r="T299" s="97" t="n">
        <v>1.3</v>
      </c>
      <c r="U299" s="97" t="inlineStr">
        <is>
          <t>Y</t>
        </is>
      </c>
      <c r="V299" s="97" t="n">
        <v>46.1</v>
      </c>
      <c r="W299" s="97" t="n">
        <v>13.8</v>
      </c>
      <c r="X299" s="97" t="n">
        <v>0.41</v>
      </c>
      <c r="Y299" s="97" t="n">
        <v>0.2</v>
      </c>
      <c r="Z299" s="97" t="n">
        <v>3</v>
      </c>
      <c r="AA299" s="92" t="inlineStr">
        <is>
          <t>AVOID</t>
        </is>
      </c>
    </row>
    <row r="300">
      <c r="A300" s="99" t="inlineStr">
        <is>
          <t>AMBUJACEM</t>
        </is>
      </c>
      <c r="B300" s="99" t="inlineStr">
        <is>
          <t>Ambuja Cements Ltd.</t>
        </is>
      </c>
      <c r="C300" s="99" t="inlineStr">
        <is>
          <t>Construction Materials</t>
        </is>
      </c>
      <c r="D300" s="99" t="inlineStr">
        <is>
          <t>Large/Midcap</t>
        </is>
      </c>
      <c r="E300" s="99" t="n">
        <v>430.95</v>
      </c>
      <c r="F300" s="99" t="n">
        <v>1.36</v>
      </c>
      <c r="G300" s="99" t="n">
        <v>1140841</v>
      </c>
      <c r="H300" s="99" t="n">
        <v>0.82</v>
      </c>
      <c r="I300" s="99" t="n">
        <v>107083</v>
      </c>
      <c r="J300" s="99" t="inlineStr">
        <is>
          <t>Y</t>
        </is>
      </c>
      <c r="K300" s="99" t="inlineStr">
        <is>
          <t>Y</t>
        </is>
      </c>
      <c r="L300" s="99" t="inlineStr">
        <is>
          <t>N</t>
        </is>
      </c>
      <c r="M300" s="99" t="n">
        <v>46.8</v>
      </c>
      <c r="N300" s="99" t="inlineStr">
        <is>
          <t>N</t>
        </is>
      </c>
      <c r="O300" s="99" t="n">
        <v>10.13</v>
      </c>
      <c r="P300" s="99" t="inlineStr">
        <is>
          <t>N</t>
        </is>
      </c>
      <c r="Q300" s="99" t="inlineStr">
        <is>
          <t>N/A</t>
        </is>
      </c>
      <c r="R300" s="99" t="inlineStr">
        <is>
          <t>N</t>
        </is>
      </c>
      <c r="S300" s="99" t="n">
        <v>1.9</v>
      </c>
      <c r="T300" s="99" t="n">
        <v>-2.1</v>
      </c>
      <c r="U300" s="99" t="inlineStr">
        <is>
          <t>N</t>
        </is>
      </c>
      <c r="V300" s="99" t="n">
        <v>22.3</v>
      </c>
      <c r="W300" s="99" t="n">
        <v>8.300000000000001</v>
      </c>
      <c r="X300" s="99" t="n">
        <v>1.21</v>
      </c>
      <c r="Y300" s="99" t="n">
        <v>798.5</v>
      </c>
      <c r="Z300" s="99" t="n">
        <v>3</v>
      </c>
      <c r="AA300" s="94" t="inlineStr">
        <is>
          <t>AVOID</t>
        </is>
      </c>
    </row>
    <row r="301">
      <c r="A301" s="97" t="inlineStr">
        <is>
          <t>ANTHEM</t>
        </is>
      </c>
      <c r="B301" s="97" t="inlineStr">
        <is>
          <t>Anthem Biosciences Ltd.</t>
        </is>
      </c>
      <c r="C301" s="97" t="inlineStr">
        <is>
          <t>Healthcare</t>
        </is>
      </c>
      <c r="D301" s="97" t="inlineStr">
        <is>
          <t>BSE Smallcap</t>
        </is>
      </c>
      <c r="E301" s="97" t="n">
        <v>769.9</v>
      </c>
      <c r="F301" s="97" t="n">
        <v>-1.02</v>
      </c>
      <c r="G301" s="97" t="n">
        <v>242556</v>
      </c>
      <c r="H301" s="97" t="n">
        <v>0.13</v>
      </c>
      <c r="I301" s="97" t="n">
        <v>44406</v>
      </c>
      <c r="J301" s="97" t="inlineStr">
        <is>
          <t>Y</t>
        </is>
      </c>
      <c r="K301" s="97" t="inlineStr">
        <is>
          <t>Y</t>
        </is>
      </c>
      <c r="L301" s="97" t="inlineStr">
        <is>
          <t>Y</t>
        </is>
      </c>
      <c r="M301" s="97" t="n">
        <v>48</v>
      </c>
      <c r="N301" s="97" t="inlineStr">
        <is>
          <t>N</t>
        </is>
      </c>
      <c r="O301" s="97" t="n">
        <v>21.08</v>
      </c>
      <c r="P301" s="97" t="inlineStr">
        <is>
          <t>N</t>
        </is>
      </c>
      <c r="Q301" s="97" t="inlineStr">
        <is>
          <t>N/A</t>
        </is>
      </c>
      <c r="R301" s="97" t="inlineStr">
        <is>
          <t>N</t>
        </is>
      </c>
      <c r="S301" s="97" t="n">
        <v>1.3</v>
      </c>
      <c r="T301" s="97" t="n">
        <v>0</v>
      </c>
      <c r="U301" s="97" t="inlineStr">
        <is>
          <t>N</t>
        </is>
      </c>
      <c r="V301" s="97" t="n">
        <v>78.3</v>
      </c>
      <c r="W301" s="97" t="inlineStr">
        <is>
          <t>N/A</t>
        </is>
      </c>
      <c r="X301" s="97" t="n">
        <v>1.77</v>
      </c>
      <c r="Y301" s="97" t="n">
        <v>-36.8</v>
      </c>
      <c r="Z301" s="97" t="n">
        <v>3</v>
      </c>
      <c r="AA301" s="92" t="inlineStr">
        <is>
          <t>AVOID</t>
        </is>
      </c>
    </row>
    <row r="302">
      <c r="A302" s="99" t="inlineStr">
        <is>
          <t>APOLLOTYRE</t>
        </is>
      </c>
      <c r="B302" s="99" t="inlineStr">
        <is>
          <t>Apollo Tyres Ltd.</t>
        </is>
      </c>
      <c r="C302" s="99" t="inlineStr">
        <is>
          <t>Automobile and Auto Components</t>
        </is>
      </c>
      <c r="D302" s="99" t="inlineStr">
        <is>
          <t>Large/Midcap</t>
        </is>
      </c>
      <c r="E302" s="99" t="n">
        <v>419.65</v>
      </c>
      <c r="F302" s="99" t="n">
        <v>-1.11</v>
      </c>
      <c r="G302" s="99" t="n">
        <v>488448</v>
      </c>
      <c r="H302" s="99" t="n">
        <v>1.61</v>
      </c>
      <c r="I302" s="99" t="n">
        <v>26565</v>
      </c>
      <c r="J302" s="99" t="inlineStr">
        <is>
          <t>Y</t>
        </is>
      </c>
      <c r="K302" s="99" t="inlineStr">
        <is>
          <t>Y</t>
        </is>
      </c>
      <c r="L302" s="99" t="inlineStr">
        <is>
          <t>N</t>
        </is>
      </c>
      <c r="M302" s="99" t="n">
        <v>18.5</v>
      </c>
      <c r="N302" s="99" t="inlineStr">
        <is>
          <t>N</t>
        </is>
      </c>
      <c r="O302" s="99" t="n">
        <v>10.18</v>
      </c>
      <c r="P302" s="99" t="inlineStr">
        <is>
          <t>N</t>
        </is>
      </c>
      <c r="Q302" s="99" t="inlineStr">
        <is>
          <t>N/A</t>
        </is>
      </c>
      <c r="R302" s="99" t="inlineStr">
        <is>
          <t>N</t>
        </is>
      </c>
      <c r="S302" s="99" t="n">
        <v>-1.7</v>
      </c>
      <c r="T302" s="99" t="n">
        <v>-0.1</v>
      </c>
      <c r="U302" s="99" t="inlineStr">
        <is>
          <t>N</t>
        </is>
      </c>
      <c r="V302" s="99" t="n">
        <v>19.4</v>
      </c>
      <c r="W302" s="99" t="n">
        <v>8.699999999999999</v>
      </c>
      <c r="X302" s="99" t="n">
        <v>21.99</v>
      </c>
      <c r="Y302" s="99" t="n">
        <v>34.1</v>
      </c>
      <c r="Z302" s="99" t="n">
        <v>3</v>
      </c>
      <c r="AA302" s="94" t="inlineStr">
        <is>
          <t>AVOID</t>
        </is>
      </c>
    </row>
    <row r="303">
      <c r="A303" s="97" t="inlineStr">
        <is>
          <t>BLS</t>
        </is>
      </c>
      <c r="B303" s="97" t="inlineStr">
        <is>
          <t>BLS International Services Ltd.</t>
        </is>
      </c>
      <c r="C303" s="97" t="inlineStr">
        <is>
          <t>Consumer Services</t>
        </is>
      </c>
      <c r="D303" s="97" t="inlineStr">
        <is>
          <t>BSE Smallcap</t>
        </is>
      </c>
      <c r="E303" s="97" t="n">
        <v>233.6</v>
      </c>
      <c r="F303" s="97" t="n">
        <v>1.43</v>
      </c>
      <c r="G303" s="97" t="n">
        <v>814649</v>
      </c>
      <c r="H303" s="97" t="n">
        <v>1.21</v>
      </c>
      <c r="I303" s="97" t="n">
        <v>9774</v>
      </c>
      <c r="J303" s="97" t="inlineStr">
        <is>
          <t>Y</t>
        </is>
      </c>
      <c r="K303" s="97" t="inlineStr">
        <is>
          <t>N</t>
        </is>
      </c>
      <c r="L303" s="97" t="inlineStr">
        <is>
          <t>N</t>
        </is>
      </c>
      <c r="M303" s="97" t="n">
        <v>30.6</v>
      </c>
      <c r="N303" s="97" t="inlineStr">
        <is>
          <t>N</t>
        </is>
      </c>
      <c r="O303" s="97" t="n">
        <v>6.89</v>
      </c>
      <c r="P303" s="97" t="inlineStr">
        <is>
          <t>N</t>
        </is>
      </c>
      <c r="Q303" s="97" t="inlineStr">
        <is>
          <t>N/A</t>
        </is>
      </c>
      <c r="R303" s="97" t="inlineStr">
        <is>
          <t>N</t>
        </is>
      </c>
      <c r="S303" s="97" t="n">
        <v>-9.699999999999999</v>
      </c>
      <c r="T303" s="97" t="n">
        <v>-15.9</v>
      </c>
      <c r="U303" s="97" t="inlineStr">
        <is>
          <t>N</t>
        </is>
      </c>
      <c r="V303" s="97" t="n">
        <v>14.3</v>
      </c>
      <c r="W303" s="97" t="n">
        <v>30.1</v>
      </c>
      <c r="X303" s="97" t="n">
        <v>15.47</v>
      </c>
      <c r="Y303" s="97" t="n">
        <v>9.300000000000001</v>
      </c>
      <c r="Z303" s="97" t="n">
        <v>3</v>
      </c>
      <c r="AA303" s="92" t="inlineStr">
        <is>
          <t>AVOID</t>
        </is>
      </c>
    </row>
    <row r="304">
      <c r="A304" s="99" t="inlineStr">
        <is>
          <t>BATAINDIA</t>
        </is>
      </c>
      <c r="B304" s="99" t="inlineStr">
        <is>
          <t>Bata India Ltd.</t>
        </is>
      </c>
      <c r="C304" s="99" t="inlineStr">
        <is>
          <t>Consumer Durables</t>
        </is>
      </c>
      <c r="D304" s="99" t="inlineStr">
        <is>
          <t>BSE Smallcap</t>
        </is>
      </c>
      <c r="E304" s="99" t="n">
        <v>689.95</v>
      </c>
      <c r="F304" s="99" t="n">
        <v>2.03</v>
      </c>
      <c r="G304" s="99" t="n">
        <v>170171</v>
      </c>
      <c r="H304" s="99" t="n">
        <v>0.88</v>
      </c>
      <c r="I304" s="99" t="n">
        <v>8992</v>
      </c>
      <c r="J304" s="99" t="inlineStr">
        <is>
          <t>Y</t>
        </is>
      </c>
      <c r="K304" s="99" t="inlineStr">
        <is>
          <t>Y</t>
        </is>
      </c>
      <c r="L304" s="99" t="inlineStr">
        <is>
          <t>N</t>
        </is>
      </c>
      <c r="M304" s="99" t="n">
        <v>50.3</v>
      </c>
      <c r="N304" s="99" t="inlineStr">
        <is>
          <t>Y</t>
        </is>
      </c>
      <c r="O304" s="99" t="n">
        <v>19.1</v>
      </c>
      <c r="P304" s="99" t="inlineStr">
        <is>
          <t>N</t>
        </is>
      </c>
      <c r="Q304" s="99" t="inlineStr">
        <is>
          <t>N/A</t>
        </is>
      </c>
      <c r="R304" s="99" t="inlineStr">
        <is>
          <t>N</t>
        </is>
      </c>
      <c r="S304" s="99" t="n">
        <v>-3.3</v>
      </c>
      <c r="T304" s="99" t="n">
        <v>-4.4</v>
      </c>
      <c r="U304" s="99" t="inlineStr">
        <is>
          <t>N</t>
        </is>
      </c>
      <c r="V304" s="99" t="n">
        <v>67.09999999999999</v>
      </c>
      <c r="W304" s="99" t="n">
        <v>8.5</v>
      </c>
      <c r="X304" s="99" t="n">
        <v>86.90000000000001</v>
      </c>
      <c r="Y304" s="99" t="n">
        <v>-96.7</v>
      </c>
      <c r="Z304" s="99" t="n">
        <v>3</v>
      </c>
      <c r="AA304" s="94" t="inlineStr">
        <is>
          <t>AVOID</t>
        </is>
      </c>
    </row>
    <row r="305">
      <c r="A305" s="97" t="inlineStr">
        <is>
          <t>BEL</t>
        </is>
      </c>
      <c r="B305" s="97" t="inlineStr">
        <is>
          <t>Bharat Electronics Ltd.</t>
        </is>
      </c>
      <c r="C305" s="97" t="inlineStr">
        <is>
          <t>Capital Goods</t>
        </is>
      </c>
      <c r="D305" s="97" t="inlineStr">
        <is>
          <t>Large/Midcap</t>
        </is>
      </c>
      <c r="E305" s="97" t="n">
        <v>407.15</v>
      </c>
      <c r="F305" s="97" t="n">
        <v>0.53</v>
      </c>
      <c r="G305" s="97" t="n">
        <v>9683515</v>
      </c>
      <c r="H305" s="97" t="n">
        <v>1.27</v>
      </c>
      <c r="I305" s="97" t="n">
        <v>297618</v>
      </c>
      <c r="J305" s="97" t="inlineStr">
        <is>
          <t>Y</t>
        </is>
      </c>
      <c r="K305" s="97" t="inlineStr">
        <is>
          <t>N</t>
        </is>
      </c>
      <c r="L305" s="97" t="inlineStr">
        <is>
          <t>N</t>
        </is>
      </c>
      <c r="M305" s="97" t="n">
        <v>36.3</v>
      </c>
      <c r="N305" s="97" t="inlineStr">
        <is>
          <t>N</t>
        </is>
      </c>
      <c r="O305" s="97" t="n">
        <v>6.2</v>
      </c>
      <c r="P305" s="97" t="inlineStr">
        <is>
          <t>N</t>
        </is>
      </c>
      <c r="Q305" s="97" t="inlineStr">
        <is>
          <t>N/A</t>
        </is>
      </c>
      <c r="R305" s="97" t="inlineStr">
        <is>
          <t>N</t>
        </is>
      </c>
      <c r="S305" s="97" t="n">
        <v>0.2</v>
      </c>
      <c r="T305" s="97" t="n">
        <v>-5.2</v>
      </c>
      <c r="U305" s="97" t="inlineStr">
        <is>
          <t>N</t>
        </is>
      </c>
      <c r="V305" s="97" t="n">
        <v>48.8</v>
      </c>
      <c r="W305" s="97" t="n">
        <v>27.6</v>
      </c>
      <c r="X305" s="97" t="n">
        <v>0.27</v>
      </c>
      <c r="Y305" s="97" t="n">
        <v>40.9</v>
      </c>
      <c r="Z305" s="97" t="n">
        <v>3</v>
      </c>
      <c r="AA305" s="92" t="inlineStr">
        <is>
          <t>AVOID</t>
        </is>
      </c>
    </row>
    <row r="306">
      <c r="A306" s="99" t="inlineStr">
        <is>
          <t>BSOFT</t>
        </is>
      </c>
      <c r="B306" s="99" t="inlineStr">
        <is>
          <t>Birlasoft Ltd.</t>
        </is>
      </c>
      <c r="C306" s="99" t="inlineStr">
        <is>
          <t>Information Technology</t>
        </is>
      </c>
      <c r="D306" s="99" t="inlineStr">
        <is>
          <t>BSE Smallcap</t>
        </is>
      </c>
      <c r="E306" s="99" t="n">
        <v>293.45</v>
      </c>
      <c r="F306" s="99" t="n">
        <v>3.91</v>
      </c>
      <c r="G306" s="99" t="n">
        <v>1999905</v>
      </c>
      <c r="H306" s="99" t="n">
        <v>2.41</v>
      </c>
      <c r="I306" s="99" t="n">
        <v>8204</v>
      </c>
      <c r="J306" s="99" t="inlineStr">
        <is>
          <t>Y</t>
        </is>
      </c>
      <c r="K306" s="99" t="inlineStr">
        <is>
          <t>N</t>
        </is>
      </c>
      <c r="L306" s="99" t="inlineStr">
        <is>
          <t>N</t>
        </is>
      </c>
      <c r="M306" s="99" t="n">
        <v>58.8</v>
      </c>
      <c r="N306" s="99" t="inlineStr">
        <is>
          <t>Y</t>
        </is>
      </c>
      <c r="O306" s="99" t="n">
        <v>10.45</v>
      </c>
      <c r="P306" s="99" t="inlineStr">
        <is>
          <t>N</t>
        </is>
      </c>
      <c r="Q306" s="99" t="inlineStr">
        <is>
          <t>N/A</t>
        </is>
      </c>
      <c r="R306" s="99" t="inlineStr">
        <is>
          <t>N</t>
        </is>
      </c>
      <c r="S306" s="99" t="n">
        <v>-0.7</v>
      </c>
      <c r="T306" s="99" t="n">
        <v>-19</v>
      </c>
      <c r="U306" s="99" t="inlineStr">
        <is>
          <t>N</t>
        </is>
      </c>
      <c r="V306" s="99" t="n">
        <v>15.3</v>
      </c>
      <c r="W306" s="99" t="n">
        <v>13.7</v>
      </c>
      <c r="X306" s="99" t="n">
        <v>3.42</v>
      </c>
      <c r="Y306" s="99" t="n">
        <v>46.7</v>
      </c>
      <c r="Z306" s="99" t="n">
        <v>3</v>
      </c>
      <c r="AA306" s="94" t="inlineStr">
        <is>
          <t>AVOID</t>
        </is>
      </c>
    </row>
    <row r="307">
      <c r="A307" s="97" t="inlineStr">
        <is>
          <t>BRIGADE</t>
        </is>
      </c>
      <c r="B307" s="97" t="inlineStr">
        <is>
          <t>Brigade Enterprises Ltd.</t>
        </is>
      </c>
      <c r="C307" s="97" t="inlineStr">
        <is>
          <t>Realty</t>
        </is>
      </c>
      <c r="D307" s="97" t="inlineStr">
        <is>
          <t>BSE Smallcap</t>
        </is>
      </c>
      <c r="E307" s="97" t="n">
        <v>543.45</v>
      </c>
      <c r="F307" s="97" t="n">
        <v>3.43</v>
      </c>
      <c r="G307" s="97" t="n">
        <v>410222</v>
      </c>
      <c r="H307" s="97" t="n">
        <v>1.53</v>
      </c>
      <c r="I307" s="97" t="n">
        <v>17725</v>
      </c>
      <c r="J307" s="97" t="inlineStr">
        <is>
          <t>Y</t>
        </is>
      </c>
      <c r="K307" s="97" t="inlineStr">
        <is>
          <t>Y</t>
        </is>
      </c>
      <c r="L307" s="97" t="inlineStr">
        <is>
          <t>N</t>
        </is>
      </c>
      <c r="M307" s="97" t="n">
        <v>57</v>
      </c>
      <c r="N307" s="97" t="inlineStr">
        <is>
          <t>Y</t>
        </is>
      </c>
      <c r="O307" s="97" t="n">
        <v>21.87</v>
      </c>
      <c r="P307" s="97" t="inlineStr">
        <is>
          <t>N</t>
        </is>
      </c>
      <c r="Q307" s="97" t="inlineStr">
        <is>
          <t>N/A</t>
        </is>
      </c>
      <c r="R307" s="97" t="inlineStr">
        <is>
          <t>N</t>
        </is>
      </c>
      <c r="S307" s="97" t="n">
        <v>3.7</v>
      </c>
      <c r="T307" s="97" t="n">
        <v>-7.9</v>
      </c>
      <c r="U307" s="97" t="inlineStr">
        <is>
          <t>N</t>
        </is>
      </c>
      <c r="V307" s="97" t="n">
        <v>26.6</v>
      </c>
      <c r="W307" s="97" t="n">
        <v>10.8</v>
      </c>
      <c r="X307" s="97" t="n">
        <v>84.31999999999999</v>
      </c>
      <c r="Y307" s="97" t="n">
        <v>-22</v>
      </c>
      <c r="Z307" s="97" t="n">
        <v>3</v>
      </c>
      <c r="AA307" s="92" t="inlineStr">
        <is>
          <t>AVOID</t>
        </is>
      </c>
    </row>
    <row r="308">
      <c r="A308" s="99" t="inlineStr">
        <is>
          <t>BRITANNIA</t>
        </is>
      </c>
      <c r="B308" s="99" t="inlineStr">
        <is>
          <t>Britannia Industries Ltd.</t>
        </is>
      </c>
      <c r="C308" s="99" t="inlineStr">
        <is>
          <t>Fast Moving Consumer Goods</t>
        </is>
      </c>
      <c r="D308" s="99" t="inlineStr">
        <is>
          <t>Large/Midcap</t>
        </is>
      </c>
      <c r="E308" s="99" t="n">
        <v>5379.5</v>
      </c>
      <c r="F308" s="99" t="n">
        <v>-0.16</v>
      </c>
      <c r="G308" s="99" t="n">
        <v>208047</v>
      </c>
      <c r="H308" s="99" t="n">
        <v>1.04</v>
      </c>
      <c r="I308" s="99" t="n">
        <v>129696</v>
      </c>
      <c r="J308" s="99" t="inlineStr">
        <is>
          <t>Y</t>
        </is>
      </c>
      <c r="K308" s="99" t="inlineStr">
        <is>
          <t>Y</t>
        </is>
      </c>
      <c r="L308" s="99" t="inlineStr">
        <is>
          <t>N</t>
        </is>
      </c>
      <c r="M308" s="99" t="n">
        <v>43.5</v>
      </c>
      <c r="N308" s="99" t="inlineStr">
        <is>
          <t>N</t>
        </is>
      </c>
      <c r="O308" s="99" t="n">
        <v>100.11</v>
      </c>
      <c r="P308" s="99" t="inlineStr">
        <is>
          <t>N</t>
        </is>
      </c>
      <c r="Q308" s="99" t="inlineStr">
        <is>
          <t>N/A</t>
        </is>
      </c>
      <c r="R308" s="99" t="inlineStr">
        <is>
          <t>N</t>
        </is>
      </c>
      <c r="S308" s="99" t="n">
        <v>3</v>
      </c>
      <c r="T308" s="99" t="n">
        <v>-5.4</v>
      </c>
      <c r="U308" s="99" t="inlineStr">
        <is>
          <t>N</t>
        </is>
      </c>
      <c r="V308" s="99" t="n">
        <v>51.1</v>
      </c>
      <c r="W308" s="99" t="n">
        <v>53.3</v>
      </c>
      <c r="X308" s="99" t="n">
        <v>26.88</v>
      </c>
      <c r="Y308" s="99" t="n">
        <v>-0.2</v>
      </c>
      <c r="Z308" s="99" t="n">
        <v>3</v>
      </c>
      <c r="AA308" s="94" t="inlineStr">
        <is>
          <t>AVOID</t>
        </is>
      </c>
    </row>
    <row r="309">
      <c r="A309" s="97" t="inlineStr">
        <is>
          <t>CGPOWER</t>
        </is>
      </c>
      <c r="B309" s="97" t="inlineStr">
        <is>
          <t>CG Power and Industrial Solutions Ltd.</t>
        </is>
      </c>
      <c r="C309" s="97" t="inlineStr">
        <is>
          <t>Capital Goods</t>
        </is>
      </c>
      <c r="D309" s="97" t="inlineStr">
        <is>
          <t>Large/Midcap</t>
        </is>
      </c>
      <c r="E309" s="97" t="n">
        <v>877.3</v>
      </c>
      <c r="F309" s="97" t="n">
        <v>1.11</v>
      </c>
      <c r="G309" s="97" t="n">
        <v>4921275</v>
      </c>
      <c r="H309" s="97" t="n">
        <v>0.9399999999999999</v>
      </c>
      <c r="I309" s="97" t="n">
        <v>138176</v>
      </c>
      <c r="J309" s="97" t="inlineStr">
        <is>
          <t>Y</t>
        </is>
      </c>
      <c r="K309" s="97" t="inlineStr">
        <is>
          <t>N</t>
        </is>
      </c>
      <c r="L309" s="97" t="inlineStr">
        <is>
          <t>Y</t>
        </is>
      </c>
      <c r="M309" s="97" t="n">
        <v>37.8</v>
      </c>
      <c r="N309" s="97" t="inlineStr">
        <is>
          <t>N</t>
        </is>
      </c>
      <c r="O309" s="97" t="n">
        <v>25.57</v>
      </c>
      <c r="P309" s="97" t="inlineStr">
        <is>
          <t>N</t>
        </is>
      </c>
      <c r="Q309" s="97" t="inlineStr">
        <is>
          <t>N/A</t>
        </is>
      </c>
      <c r="R309" s="97" t="inlineStr">
        <is>
          <t>N</t>
        </is>
      </c>
      <c r="S309" s="97" t="n">
        <v>-6.6</v>
      </c>
      <c r="T309" s="97" t="n">
        <v>8.300000000000001</v>
      </c>
      <c r="U309" s="97" t="inlineStr">
        <is>
          <t>Y</t>
        </is>
      </c>
      <c r="V309" s="97" t="n">
        <v>109.9</v>
      </c>
      <c r="W309" s="97" t="inlineStr">
        <is>
          <t>N/A</t>
        </is>
      </c>
      <c r="X309" s="97" t="n">
        <v>1.45</v>
      </c>
      <c r="Y309" s="97" t="n">
        <v>-14.4</v>
      </c>
      <c r="Z309" s="97" t="n">
        <v>3</v>
      </c>
      <c r="AA309" s="92" t="inlineStr">
        <is>
          <t>AVOID</t>
        </is>
      </c>
    </row>
    <row r="310">
      <c r="A310" s="99" t="inlineStr">
        <is>
          <t>CARBORUNIV</t>
        </is>
      </c>
      <c r="B310" s="99" t="inlineStr">
        <is>
          <t>Carborundum Universal Ltd.</t>
        </is>
      </c>
      <c r="C310" s="99" t="inlineStr">
        <is>
          <t>Capital Goods</t>
        </is>
      </c>
      <c r="D310" s="99" t="inlineStr">
        <is>
          <t>BSE Smallcap</t>
        </is>
      </c>
      <c r="E310" s="99" t="n">
        <v>1073.1</v>
      </c>
      <c r="F310" s="99" t="n">
        <v>0.83</v>
      </c>
      <c r="G310" s="99" t="n">
        <v>79889</v>
      </c>
      <c r="H310" s="99" t="n">
        <v>0.51</v>
      </c>
      <c r="I310" s="99" t="n">
        <v>20442</v>
      </c>
      <c r="J310" s="99" t="inlineStr">
        <is>
          <t>Y</t>
        </is>
      </c>
      <c r="K310" s="99" t="inlineStr">
        <is>
          <t>N</t>
        </is>
      </c>
      <c r="L310" s="99" t="inlineStr">
        <is>
          <t>Y</t>
        </is>
      </c>
      <c r="M310" s="99" t="n">
        <v>40.9</v>
      </c>
      <c r="N310" s="99" t="inlineStr">
        <is>
          <t>N</t>
        </is>
      </c>
      <c r="O310" s="99" t="n">
        <v>36.94</v>
      </c>
      <c r="P310" s="99" t="inlineStr">
        <is>
          <t>N</t>
        </is>
      </c>
      <c r="Q310" s="99" t="inlineStr">
        <is>
          <t>N/A</t>
        </is>
      </c>
      <c r="R310" s="99" t="inlineStr">
        <is>
          <t>N</t>
        </is>
      </c>
      <c r="S310" s="99" t="n">
        <v>-5.9</v>
      </c>
      <c r="T310" s="99" t="n">
        <v>13.2</v>
      </c>
      <c r="U310" s="99" t="inlineStr">
        <is>
          <t>Y</t>
        </is>
      </c>
      <c r="V310" s="99" t="n">
        <v>103.1</v>
      </c>
      <c r="W310" s="99" t="n">
        <v>4.4</v>
      </c>
      <c r="X310" s="99" t="n">
        <v>10.29</v>
      </c>
      <c r="Y310" s="99" t="n">
        <v>-123.2</v>
      </c>
      <c r="Z310" s="99" t="n">
        <v>3</v>
      </c>
      <c r="AA310" s="94" t="inlineStr">
        <is>
          <t>AVOID</t>
        </is>
      </c>
    </row>
    <row r="311">
      <c r="A311" s="97" t="inlineStr">
        <is>
          <t>CHAMBLFERT</t>
        </is>
      </c>
      <c r="B311" s="97" t="inlineStr">
        <is>
          <t>Chambal Fertilizers &amp; Chemicals Ltd.</t>
        </is>
      </c>
      <c r="C311" s="97" t="inlineStr">
        <is>
          <t>Chemicals</t>
        </is>
      </c>
      <c r="D311" s="97" t="inlineStr">
        <is>
          <t>BSE Smallcap</t>
        </is>
      </c>
      <c r="E311" s="97" t="n">
        <v>439.7</v>
      </c>
      <c r="F311" s="97" t="n">
        <v>2.02</v>
      </c>
      <c r="G311" s="97" t="n">
        <v>240525</v>
      </c>
      <c r="H311" s="97" t="n">
        <v>0.82</v>
      </c>
      <c r="I311" s="97" t="n">
        <v>17617</v>
      </c>
      <c r="J311" s="97" t="inlineStr">
        <is>
          <t>Y</t>
        </is>
      </c>
      <c r="K311" s="97" t="inlineStr">
        <is>
          <t>N</t>
        </is>
      </c>
      <c r="L311" s="97" t="inlineStr">
        <is>
          <t>N</t>
        </is>
      </c>
      <c r="M311" s="97" t="n">
        <v>29.1</v>
      </c>
      <c r="N311" s="97" t="inlineStr">
        <is>
          <t>N</t>
        </is>
      </c>
      <c r="O311" s="97" t="n">
        <v>9.1</v>
      </c>
      <c r="P311" s="97" t="inlineStr">
        <is>
          <t>N</t>
        </is>
      </c>
      <c r="Q311" s="97" t="inlineStr">
        <is>
          <t>N/A</t>
        </is>
      </c>
      <c r="R311" s="97" t="inlineStr">
        <is>
          <t>N</t>
        </is>
      </c>
      <c r="S311" s="97" t="n">
        <v>-6</v>
      </c>
      <c r="T311" s="97" t="n">
        <v>0.8</v>
      </c>
      <c r="U311" s="97" t="inlineStr">
        <is>
          <t>Y</t>
        </is>
      </c>
      <c r="V311" s="97" t="n">
        <v>8.800000000000001</v>
      </c>
      <c r="W311" s="97" t="n">
        <v>20.5</v>
      </c>
      <c r="X311" s="97" t="n">
        <v>10.27</v>
      </c>
      <c r="Y311" s="97" t="n">
        <v>-71.09999999999999</v>
      </c>
      <c r="Z311" s="97" t="n">
        <v>3</v>
      </c>
      <c r="AA311" s="92" t="inlineStr">
        <is>
          <t>AVOID</t>
        </is>
      </c>
    </row>
    <row r="312">
      <c r="A312" s="99" t="inlineStr">
        <is>
          <t>CHOLAHLDNG</t>
        </is>
      </c>
      <c r="B312" s="99" t="inlineStr">
        <is>
          <t>Cholamandalam Financial Holdings Ltd.</t>
        </is>
      </c>
      <c r="C312" s="99" t="inlineStr">
        <is>
          <t>Financial Services</t>
        </is>
      </c>
      <c r="D312" s="99" t="inlineStr">
        <is>
          <t>BSE Smallcap</t>
        </is>
      </c>
      <c r="E312" s="99" t="n">
        <v>1516.7</v>
      </c>
      <c r="F312" s="99" t="n">
        <v>0.05</v>
      </c>
      <c r="G312" s="99" t="n">
        <v>68574</v>
      </c>
      <c r="H312" s="99" t="n">
        <v>0.41</v>
      </c>
      <c r="I312" s="99" t="n">
        <v>28664</v>
      </c>
      <c r="J312" s="99" t="inlineStr">
        <is>
          <t>Y</t>
        </is>
      </c>
      <c r="K312" s="99" t="inlineStr">
        <is>
          <t>N</t>
        </is>
      </c>
      <c r="L312" s="99" t="inlineStr">
        <is>
          <t>N</t>
        </is>
      </c>
      <c r="M312" s="99" t="n">
        <v>15.3</v>
      </c>
      <c r="N312" s="99" t="inlineStr">
        <is>
          <t>N</t>
        </is>
      </c>
      <c r="O312" s="99" t="n">
        <v>39.69</v>
      </c>
      <c r="P312" s="99" t="inlineStr">
        <is>
          <t>N</t>
        </is>
      </c>
      <c r="Q312" s="99" t="inlineStr">
        <is>
          <t>N/A</t>
        </is>
      </c>
      <c r="R312" s="99" t="inlineStr">
        <is>
          <t>N</t>
        </is>
      </c>
      <c r="S312" s="99" t="n">
        <v>-8</v>
      </c>
      <c r="T312" s="99" t="n">
        <v>-1.7</v>
      </c>
      <c r="U312" s="99" t="inlineStr">
        <is>
          <t>N</t>
        </is>
      </c>
      <c r="V312" s="99" t="n">
        <v>11.7</v>
      </c>
      <c r="W312" s="99" t="n">
        <v>18</v>
      </c>
      <c r="X312" s="99" t="n">
        <v>623.16</v>
      </c>
      <c r="Y312" s="99" t="n">
        <v>9.800000000000001</v>
      </c>
      <c r="Z312" s="99" t="n">
        <v>3</v>
      </c>
      <c r="AA312" s="94" t="inlineStr">
        <is>
          <t>AVOID</t>
        </is>
      </c>
    </row>
    <row r="313">
      <c r="A313" s="97" t="inlineStr">
        <is>
          <t>CLEAN</t>
        </is>
      </c>
      <c r="B313" s="97" t="inlineStr">
        <is>
          <t>Clean Science and Technology Ltd.</t>
        </is>
      </c>
      <c r="C313" s="97" t="inlineStr">
        <is>
          <t>Chemicals</t>
        </is>
      </c>
      <c r="D313" s="97" t="inlineStr">
        <is>
          <t>BSE Smallcap</t>
        </is>
      </c>
      <c r="E313" s="97" t="n">
        <v>721</v>
      </c>
      <c r="F313" s="97" t="n">
        <v>-1.08</v>
      </c>
      <c r="G313" s="97" t="n">
        <v>135581</v>
      </c>
      <c r="H313" s="97" t="n">
        <v>0.5600000000000001</v>
      </c>
      <c r="I313" s="97" t="n">
        <v>7741</v>
      </c>
      <c r="J313" s="97" t="inlineStr">
        <is>
          <t>Y</t>
        </is>
      </c>
      <c r="K313" s="97" t="inlineStr">
        <is>
          <t>N</t>
        </is>
      </c>
      <c r="L313" s="97" t="inlineStr">
        <is>
          <t>N</t>
        </is>
      </c>
      <c r="M313" s="97" t="n">
        <v>30.9</v>
      </c>
      <c r="N313" s="97" t="inlineStr">
        <is>
          <t>N</t>
        </is>
      </c>
      <c r="O313" s="97" t="n">
        <v>25.01</v>
      </c>
      <c r="P313" s="97" t="inlineStr">
        <is>
          <t>N</t>
        </is>
      </c>
      <c r="Q313" s="97" t="inlineStr">
        <is>
          <t>N/A</t>
        </is>
      </c>
      <c r="R313" s="97" t="inlineStr">
        <is>
          <t>N</t>
        </is>
      </c>
      <c r="S313" s="97" t="n">
        <v>-7.2</v>
      </c>
      <c r="T313" s="97" t="n">
        <v>-11.9</v>
      </c>
      <c r="U313" s="97" t="inlineStr">
        <is>
          <t>N</t>
        </is>
      </c>
      <c r="V313" s="97" t="n">
        <v>33.7</v>
      </c>
      <c r="W313" s="97" t="n">
        <v>15.3</v>
      </c>
      <c r="X313" s="97" t="n">
        <v>0.14</v>
      </c>
      <c r="Y313" s="97" t="n">
        <v>27</v>
      </c>
      <c r="Z313" s="97" t="n">
        <v>3</v>
      </c>
      <c r="AA313" s="92" t="inlineStr">
        <is>
          <t>AVOID</t>
        </is>
      </c>
    </row>
    <row r="314">
      <c r="A314" s="99" t="inlineStr">
        <is>
          <t>CONCORDBIO</t>
        </is>
      </c>
      <c r="B314" s="99" t="inlineStr">
        <is>
          <t>Concord Biotech Ltd.</t>
        </is>
      </c>
      <c r="C314" s="99" t="inlineStr">
        <is>
          <t>Healthcare</t>
        </is>
      </c>
      <c r="D314" s="99" t="inlineStr">
        <is>
          <t>BSE Smallcap</t>
        </is>
      </c>
      <c r="E314" s="99" t="n">
        <v>1248.5</v>
      </c>
      <c r="F314" s="99" t="n">
        <v>-0.99</v>
      </c>
      <c r="G314" s="99" t="n">
        <v>50664</v>
      </c>
      <c r="H314" s="99" t="n">
        <v>0.78</v>
      </c>
      <c r="I314" s="99" t="n">
        <v>13144</v>
      </c>
      <c r="J314" s="99" t="inlineStr">
        <is>
          <t>Y</t>
        </is>
      </c>
      <c r="K314" s="99" t="inlineStr">
        <is>
          <t>N</t>
        </is>
      </c>
      <c r="L314" s="99" t="inlineStr">
        <is>
          <t>N</t>
        </is>
      </c>
      <c r="M314" s="99" t="n">
        <v>44.5</v>
      </c>
      <c r="N314" s="99" t="inlineStr">
        <is>
          <t>N</t>
        </is>
      </c>
      <c r="O314" s="99" t="n">
        <v>44.65</v>
      </c>
      <c r="P314" s="99" t="inlineStr">
        <is>
          <t>N</t>
        </is>
      </c>
      <c r="Q314" s="99" t="inlineStr">
        <is>
          <t>N/A</t>
        </is>
      </c>
      <c r="R314" s="99" t="inlineStr">
        <is>
          <t>N</t>
        </is>
      </c>
      <c r="S314" s="99" t="n">
        <v>-2.1</v>
      </c>
      <c r="T314" s="99" t="n">
        <v>11.1</v>
      </c>
      <c r="U314" s="99" t="inlineStr">
        <is>
          <t>Y</t>
        </is>
      </c>
      <c r="V314" s="99" t="n">
        <v>50.8</v>
      </c>
      <c r="W314" s="99" t="n">
        <v>13.5</v>
      </c>
      <c r="X314" s="99" t="n">
        <v>0.12</v>
      </c>
      <c r="Y314" s="99" t="n">
        <v>39.5</v>
      </c>
      <c r="Z314" s="99" t="n">
        <v>3</v>
      </c>
      <c r="AA314" s="94" t="inlineStr">
        <is>
          <t>AVOID</t>
        </is>
      </c>
    </row>
    <row r="315">
      <c r="A315" s="97" t="inlineStr">
        <is>
          <t>DELHIVERY</t>
        </is>
      </c>
      <c r="B315" s="97" t="inlineStr">
        <is>
          <t>Delhivery Ltd.</t>
        </is>
      </c>
      <c r="C315" s="97" t="inlineStr">
        <is>
          <t>Services</t>
        </is>
      </c>
      <c r="D315" s="97" t="inlineStr">
        <is>
          <t>BSE Smallcap</t>
        </is>
      </c>
      <c r="E315" s="97" t="n">
        <v>462.55</v>
      </c>
      <c r="F315" s="97" t="n">
        <v>-0.62</v>
      </c>
      <c r="G315" s="97" t="n">
        <v>2176831</v>
      </c>
      <c r="H315" s="97" t="n">
        <v>0.66</v>
      </c>
      <c r="I315" s="97" t="n">
        <v>35206</v>
      </c>
      <c r="J315" s="97" t="inlineStr">
        <is>
          <t>Y</t>
        </is>
      </c>
      <c r="K315" s="97" t="inlineStr">
        <is>
          <t>N</t>
        </is>
      </c>
      <c r="L315" s="97" t="inlineStr">
        <is>
          <t>Y</t>
        </is>
      </c>
      <c r="M315" s="97" t="n">
        <v>19.7</v>
      </c>
      <c r="N315" s="97" t="inlineStr">
        <is>
          <t>N</t>
        </is>
      </c>
      <c r="O315" s="97" t="n">
        <v>13.91</v>
      </c>
      <c r="P315" s="97" t="inlineStr">
        <is>
          <t>N</t>
        </is>
      </c>
      <c r="Q315" s="97" t="inlineStr">
        <is>
          <t>N/A</t>
        </is>
      </c>
      <c r="R315" s="97" t="inlineStr">
        <is>
          <t>N</t>
        </is>
      </c>
      <c r="S315" s="97" t="n">
        <v>-0.2</v>
      </c>
      <c r="T315" s="97" t="n">
        <v>-0.4</v>
      </c>
      <c r="U315" s="97" t="inlineStr">
        <is>
          <t>N</t>
        </is>
      </c>
      <c r="V315" s="97" t="n">
        <v>236.2</v>
      </c>
      <c r="W315" s="97" t="n">
        <v>1.6</v>
      </c>
      <c r="X315" s="97" t="n">
        <v>15.1</v>
      </c>
      <c r="Y315" s="97" t="n">
        <v>82.90000000000001</v>
      </c>
      <c r="Z315" s="97" t="n">
        <v>3</v>
      </c>
      <c r="AA315" s="92" t="inlineStr">
        <is>
          <t>AVOID</t>
        </is>
      </c>
    </row>
    <row r="316">
      <c r="A316" s="99" t="inlineStr">
        <is>
          <t>DRREDDY</t>
        </is>
      </c>
      <c r="B316" s="99" t="inlineStr">
        <is>
          <t>Dr. Reddy's Laboratories Ltd.</t>
        </is>
      </c>
      <c r="C316" s="99" t="inlineStr">
        <is>
          <t>Healthcare</t>
        </is>
      </c>
      <c r="D316" s="99" t="inlineStr">
        <is>
          <t>Large/Midcap</t>
        </is>
      </c>
      <c r="E316" s="99" t="n">
        <v>1151.7</v>
      </c>
      <c r="F316" s="99" t="n">
        <v>-1.25</v>
      </c>
      <c r="G316" s="99" t="n">
        <v>4750512</v>
      </c>
      <c r="H316" s="99" t="n">
        <v>1.25</v>
      </c>
      <c r="I316" s="99" t="n">
        <v>95862</v>
      </c>
      <c r="J316" s="99" t="inlineStr">
        <is>
          <t>Y</t>
        </is>
      </c>
      <c r="K316" s="99" t="inlineStr">
        <is>
          <t>N</t>
        </is>
      </c>
      <c r="L316" s="99" t="inlineStr">
        <is>
          <t>N</t>
        </is>
      </c>
      <c r="M316" s="99" t="n">
        <v>9.300000000000001</v>
      </c>
      <c r="N316" s="99" t="inlineStr">
        <is>
          <t>N</t>
        </is>
      </c>
      <c r="O316" s="99" t="n">
        <v>36.15</v>
      </c>
      <c r="P316" s="99" t="inlineStr">
        <is>
          <t>Y</t>
        </is>
      </c>
      <c r="Q316" s="99" t="inlineStr">
        <is>
          <t>N/A</t>
        </is>
      </c>
      <c r="R316" s="99" t="inlineStr">
        <is>
          <t>N</t>
        </is>
      </c>
      <c r="S316" s="99" t="n">
        <v>-13.9</v>
      </c>
      <c r="T316" s="99" t="n">
        <v>-12.4</v>
      </c>
      <c r="U316" s="99" t="inlineStr">
        <is>
          <t>N</t>
        </is>
      </c>
      <c r="V316" s="99" t="n">
        <v>29</v>
      </c>
      <c r="W316" s="99" t="n">
        <v>8.800000000000001</v>
      </c>
      <c r="X316" s="99" t="n">
        <v>18.61</v>
      </c>
      <c r="Y316" s="99" t="n">
        <v>100.8</v>
      </c>
      <c r="Z316" s="99" t="n">
        <v>3</v>
      </c>
      <c r="AA316" s="94" t="inlineStr">
        <is>
          <t>AVOID</t>
        </is>
      </c>
    </row>
    <row r="317">
      <c r="A317" s="97" t="inlineStr">
        <is>
          <t>EIHOTEL</t>
        </is>
      </c>
      <c r="B317" s="97" t="inlineStr">
        <is>
          <t>EIH Ltd.</t>
        </is>
      </c>
      <c r="C317" s="97" t="inlineStr">
        <is>
          <t>Consumer Services</t>
        </is>
      </c>
      <c r="D317" s="97" t="inlineStr">
        <is>
          <t>BSE Smallcap</t>
        </is>
      </c>
      <c r="E317" s="97" t="n">
        <v>326.4</v>
      </c>
      <c r="F317" s="97" t="n">
        <v>1.57</v>
      </c>
      <c r="G317" s="97" t="n">
        <v>156876</v>
      </c>
      <c r="H317" s="97" t="n">
        <v>1.26</v>
      </c>
      <c r="I317" s="97" t="n">
        <v>20678</v>
      </c>
      <c r="J317" s="97" t="inlineStr">
        <is>
          <t>Y</t>
        </is>
      </c>
      <c r="K317" s="97" t="inlineStr">
        <is>
          <t>Y</t>
        </is>
      </c>
      <c r="L317" s="97" t="inlineStr">
        <is>
          <t>N</t>
        </is>
      </c>
      <c r="M317" s="97" t="n">
        <v>44</v>
      </c>
      <c r="N317" s="97" t="inlineStr">
        <is>
          <t>N</t>
        </is>
      </c>
      <c r="O317" s="97" t="n">
        <v>10.88</v>
      </c>
      <c r="P317" s="97" t="inlineStr">
        <is>
          <t>N</t>
        </is>
      </c>
      <c r="Q317" s="97" t="inlineStr">
        <is>
          <t>N/A</t>
        </is>
      </c>
      <c r="R317" s="97" t="inlineStr">
        <is>
          <t>N</t>
        </is>
      </c>
      <c r="S317" s="97" t="n">
        <v>0.2</v>
      </c>
      <c r="T317" s="97" t="n">
        <v>1.4</v>
      </c>
      <c r="U317" s="97" t="inlineStr">
        <is>
          <t>Y</t>
        </is>
      </c>
      <c r="V317" s="97" t="n">
        <v>32.9</v>
      </c>
      <c r="W317" s="97" t="n">
        <v>12.9</v>
      </c>
      <c r="X317" s="97" t="n">
        <v>4.67</v>
      </c>
      <c r="Y317" s="97" t="n">
        <v>-2.2</v>
      </c>
      <c r="Z317" s="97" t="n">
        <v>3</v>
      </c>
      <c r="AA317" s="92" t="inlineStr">
        <is>
          <t>AVOID</t>
        </is>
      </c>
    </row>
    <row r="318">
      <c r="A318" s="99" t="inlineStr">
        <is>
          <t>ELECON</t>
        </is>
      </c>
      <c r="B318" s="99" t="inlineStr">
        <is>
          <t>Elecon Engineering Co. Ltd.</t>
        </is>
      </c>
      <c r="C318" s="99" t="inlineStr">
        <is>
          <t>Capital Goods</t>
        </is>
      </c>
      <c r="D318" s="99" t="inlineStr">
        <is>
          <t>BSE Smallcap</t>
        </is>
      </c>
      <c r="E318" s="99" t="n">
        <v>423.7</v>
      </c>
      <c r="F318" s="99" t="n">
        <v>0.49</v>
      </c>
      <c r="G318" s="99" t="n">
        <v>1284270</v>
      </c>
      <c r="H318" s="99" t="n">
        <v>2.61</v>
      </c>
      <c r="I318" s="99" t="n">
        <v>9508</v>
      </c>
      <c r="J318" s="99" t="inlineStr">
        <is>
          <t>Y</t>
        </is>
      </c>
      <c r="K318" s="99" t="inlineStr">
        <is>
          <t>N</t>
        </is>
      </c>
      <c r="L318" s="99" t="inlineStr">
        <is>
          <t>N</t>
        </is>
      </c>
      <c r="M318" s="99" t="n">
        <v>15.8</v>
      </c>
      <c r="N318" s="99" t="inlineStr">
        <is>
          <t>N</t>
        </is>
      </c>
      <c r="O318" s="99" t="n">
        <v>19.66</v>
      </c>
      <c r="P318" s="99" t="inlineStr">
        <is>
          <t>Y</t>
        </is>
      </c>
      <c r="Q318" s="99" t="inlineStr">
        <is>
          <t>N/A</t>
        </is>
      </c>
      <c r="R318" s="99" t="inlineStr">
        <is>
          <t>N</t>
        </is>
      </c>
      <c r="S318" s="99" t="n">
        <v>-18.6</v>
      </c>
      <c r="T318" s="99" t="n">
        <v>-15.7</v>
      </c>
      <c r="U318" s="99" t="inlineStr">
        <is>
          <t>N</t>
        </is>
      </c>
      <c r="V318" s="99" t="n">
        <v>40.2</v>
      </c>
      <c r="W318" s="99" t="inlineStr">
        <is>
          <t>N/A</t>
        </is>
      </c>
      <c r="X318" s="99" t="n">
        <v>11.82</v>
      </c>
      <c r="Y318" s="99" t="n">
        <v>1072.5</v>
      </c>
      <c r="Z318" s="99" t="n">
        <v>3</v>
      </c>
      <c r="AA318" s="94" t="inlineStr">
        <is>
          <t>AVOID</t>
        </is>
      </c>
    </row>
    <row r="319">
      <c r="A319" s="97" t="inlineStr">
        <is>
          <t>EMAMILTD</t>
        </is>
      </c>
      <c r="B319" s="97" t="inlineStr">
        <is>
          <t>Emami Ltd.</t>
        </is>
      </c>
      <c r="C319" s="97" t="inlineStr">
        <is>
          <t>Fast Moving Consumer Goods</t>
        </is>
      </c>
      <c r="D319" s="97" t="inlineStr">
        <is>
          <t>BSE Smallcap</t>
        </is>
      </c>
      <c r="E319" s="97" t="n">
        <v>407.9</v>
      </c>
      <c r="F319" s="97" t="n">
        <v>-2.01</v>
      </c>
      <c r="G319" s="97" t="n">
        <v>694321</v>
      </c>
      <c r="H319" s="97" t="n">
        <v>0.84</v>
      </c>
      <c r="I319" s="97" t="n">
        <v>18075</v>
      </c>
      <c r="J319" s="97" t="inlineStr">
        <is>
          <t>Y</t>
        </is>
      </c>
      <c r="K319" s="97" t="inlineStr">
        <is>
          <t>Y</t>
        </is>
      </c>
      <c r="L319" s="97" t="inlineStr">
        <is>
          <t>N</t>
        </is>
      </c>
      <c r="M319" s="97" t="n">
        <v>44.8</v>
      </c>
      <c r="N319" s="97" t="inlineStr">
        <is>
          <t>N</t>
        </is>
      </c>
      <c r="O319" s="97" t="n">
        <v>11.73</v>
      </c>
      <c r="P319" s="97" t="inlineStr">
        <is>
          <t>N</t>
        </is>
      </c>
      <c r="Q319" s="97" t="inlineStr">
        <is>
          <t>N/A</t>
        </is>
      </c>
      <c r="R319" s="97" t="inlineStr">
        <is>
          <t>N</t>
        </is>
      </c>
      <c r="S319" s="97" t="n">
        <v>3</v>
      </c>
      <c r="T319" s="97" t="n">
        <v>-10.5</v>
      </c>
      <c r="U319" s="97" t="inlineStr">
        <is>
          <t>N</t>
        </is>
      </c>
      <c r="V319" s="97" t="n">
        <v>23.3</v>
      </c>
      <c r="W319" s="97" t="n">
        <v>27.6</v>
      </c>
      <c r="X319" s="97" t="n">
        <v>5.54</v>
      </c>
      <c r="Y319" s="97" t="n">
        <v>-55.2</v>
      </c>
      <c r="Z319" s="97" t="n">
        <v>3</v>
      </c>
      <c r="AA319" s="92" t="inlineStr">
        <is>
          <t>AVOID</t>
        </is>
      </c>
    </row>
    <row r="320">
      <c r="A320" s="99" t="inlineStr">
        <is>
          <t>ENGINERSIN</t>
        </is>
      </c>
      <c r="B320" s="99" t="inlineStr">
        <is>
          <t>Engineers India Ltd.</t>
        </is>
      </c>
      <c r="C320" s="99" t="inlineStr">
        <is>
          <t>Construction</t>
        </is>
      </c>
      <c r="D320" s="99" t="inlineStr">
        <is>
          <t>BSE Smallcap</t>
        </is>
      </c>
      <c r="E320" s="99" t="n">
        <v>226.42</v>
      </c>
      <c r="F320" s="99" t="n">
        <v>0.54</v>
      </c>
      <c r="G320" s="99" t="n">
        <v>837874</v>
      </c>
      <c r="H320" s="99" t="n">
        <v>1.07</v>
      </c>
      <c r="I320" s="99" t="n">
        <v>12726</v>
      </c>
      <c r="J320" s="99" t="inlineStr">
        <is>
          <t>Y</t>
        </is>
      </c>
      <c r="K320" s="99" t="inlineStr">
        <is>
          <t>N</t>
        </is>
      </c>
      <c r="L320" s="99" t="inlineStr">
        <is>
          <t>Y</t>
        </is>
      </c>
      <c r="M320" s="99" t="n">
        <v>29.9</v>
      </c>
      <c r="N320" s="99" t="inlineStr">
        <is>
          <t>N</t>
        </is>
      </c>
      <c r="O320" s="99" t="n">
        <v>5.99</v>
      </c>
      <c r="P320" s="99" t="inlineStr">
        <is>
          <t>N</t>
        </is>
      </c>
      <c r="Q320" s="99" t="inlineStr">
        <is>
          <t>N/A</t>
        </is>
      </c>
      <c r="R320" s="99" t="inlineStr">
        <is>
          <t>N</t>
        </is>
      </c>
      <c r="S320" s="99" t="n">
        <v>-9.800000000000001</v>
      </c>
      <c r="T320" s="99" t="n">
        <v>-9.699999999999999</v>
      </c>
      <c r="U320" s="99" t="inlineStr">
        <is>
          <t>N</t>
        </is>
      </c>
      <c r="V320" s="99" t="n">
        <v>18.3</v>
      </c>
      <c r="W320" s="99" t="n">
        <v>23.8</v>
      </c>
      <c r="X320" s="99" t="n">
        <v>0.53</v>
      </c>
      <c r="Y320" s="99" t="n">
        <v>-43.7</v>
      </c>
      <c r="Z320" s="99" t="n">
        <v>3</v>
      </c>
      <c r="AA320" s="94" t="inlineStr">
        <is>
          <t>AVOID</t>
        </is>
      </c>
    </row>
    <row r="321">
      <c r="A321" s="97" t="inlineStr">
        <is>
          <t>FINCABLES</t>
        </is>
      </c>
      <c r="B321" s="97" t="inlineStr">
        <is>
          <t>Finolex Cables Ltd.</t>
        </is>
      </c>
      <c r="C321" s="97" t="inlineStr">
        <is>
          <t>Capital Goods</t>
        </is>
      </c>
      <c r="D321" s="97" t="inlineStr">
        <is>
          <t>BSE Smallcap</t>
        </is>
      </c>
      <c r="E321" s="97" t="n">
        <v>998.9</v>
      </c>
      <c r="F321" s="97" t="n">
        <v>2.16</v>
      </c>
      <c r="G321" s="97" t="n">
        <v>328672</v>
      </c>
      <c r="H321" s="97" t="n">
        <v>1.41</v>
      </c>
      <c r="I321" s="97" t="n">
        <v>15273</v>
      </c>
      <c r="J321" s="97" t="inlineStr">
        <is>
          <t>Y</t>
        </is>
      </c>
      <c r="K321" s="97" t="inlineStr">
        <is>
          <t>N</t>
        </is>
      </c>
      <c r="L321" s="97" t="inlineStr">
        <is>
          <t>Y</t>
        </is>
      </c>
      <c r="M321" s="97" t="n">
        <v>31.4</v>
      </c>
      <c r="N321" s="97" t="inlineStr">
        <is>
          <t>N</t>
        </is>
      </c>
      <c r="O321" s="97" t="n">
        <v>33.73</v>
      </c>
      <c r="P321" s="97" t="inlineStr">
        <is>
          <t>N</t>
        </is>
      </c>
      <c r="Q321" s="97" t="inlineStr">
        <is>
          <t>N/A</t>
        </is>
      </c>
      <c r="R321" s="97" t="inlineStr">
        <is>
          <t>N</t>
        </is>
      </c>
      <c r="S321" s="97" t="n">
        <v>-10.3</v>
      </c>
      <c r="T321" s="97" t="n">
        <v>0</v>
      </c>
      <c r="U321" s="97" t="inlineStr">
        <is>
          <t>N</t>
        </is>
      </c>
      <c r="V321" s="97" t="n">
        <v>21.4</v>
      </c>
      <c r="W321" s="97" t="n">
        <v>12.3</v>
      </c>
      <c r="X321" s="97" t="n">
        <v>0.31</v>
      </c>
      <c r="Y321" s="97" t="n">
        <v>36.8</v>
      </c>
      <c r="Z321" s="97" t="n">
        <v>3</v>
      </c>
      <c r="AA321" s="92" t="inlineStr">
        <is>
          <t>AVOID</t>
        </is>
      </c>
    </row>
    <row r="322">
      <c r="A322" s="99" t="inlineStr">
        <is>
          <t>GALLANTT</t>
        </is>
      </c>
      <c r="B322" s="99" t="inlineStr">
        <is>
          <t>Gallantt Ispat Ltd.</t>
        </is>
      </c>
      <c r="C322" s="99" t="inlineStr">
        <is>
          <t>Capital Goods</t>
        </is>
      </c>
      <c r="D322" s="99" t="inlineStr">
        <is>
          <t>BSE Smallcap</t>
        </is>
      </c>
      <c r="E322" s="99" t="n">
        <v>521.2</v>
      </c>
      <c r="F322" s="99" t="n">
        <v>-3.08</v>
      </c>
      <c r="G322" s="99" t="n">
        <v>652399</v>
      </c>
      <c r="H322" s="99" t="n">
        <v>1.69</v>
      </c>
      <c r="I322" s="99" t="n">
        <v>13204</v>
      </c>
      <c r="J322" s="99" t="inlineStr">
        <is>
          <t>Y</t>
        </is>
      </c>
      <c r="K322" s="99" t="inlineStr">
        <is>
          <t>N</t>
        </is>
      </c>
      <c r="L322" s="99" t="inlineStr">
        <is>
          <t>N</t>
        </is>
      </c>
      <c r="M322" s="99" t="n">
        <v>20.8</v>
      </c>
      <c r="N322" s="99" t="inlineStr">
        <is>
          <t>N</t>
        </is>
      </c>
      <c r="O322" s="99" t="n">
        <v>28.8</v>
      </c>
      <c r="P322" s="99" t="inlineStr">
        <is>
          <t>Y</t>
        </is>
      </c>
      <c r="Q322" s="99" t="inlineStr">
        <is>
          <t>N/A</t>
        </is>
      </c>
      <c r="R322" s="99" t="inlineStr">
        <is>
          <t>N</t>
        </is>
      </c>
      <c r="S322" s="99" t="n">
        <v>-26.5</v>
      </c>
      <c r="T322" s="99" t="n">
        <v>-39.5</v>
      </c>
      <c r="U322" s="99" t="inlineStr">
        <is>
          <t>N</t>
        </is>
      </c>
      <c r="V322" s="99" t="n">
        <v>27.3</v>
      </c>
      <c r="W322" s="99" t="inlineStr">
        <is>
          <t>N/A</t>
        </is>
      </c>
      <c r="X322" s="99" t="inlineStr">
        <is>
          <t>N/A</t>
        </is>
      </c>
      <c r="Y322" s="99" t="n">
        <v>22.3</v>
      </c>
      <c r="Z322" s="99" t="n">
        <v>3</v>
      </c>
      <c r="AA322" s="94" t="inlineStr">
        <is>
          <t>AVOID</t>
        </is>
      </c>
    </row>
    <row r="323">
      <c r="A323" s="97" t="inlineStr">
        <is>
          <t>GPIL</t>
        </is>
      </c>
      <c r="B323" s="97" t="inlineStr">
        <is>
          <t>Godawari Power &amp; Ispat Ltd.</t>
        </is>
      </c>
      <c r="C323" s="97" t="inlineStr">
        <is>
          <t>Capital Goods</t>
        </is>
      </c>
      <c r="D323" s="97" t="inlineStr">
        <is>
          <t>BSE Smallcap</t>
        </is>
      </c>
      <c r="E323" s="97" t="n">
        <v>237.75</v>
      </c>
      <c r="F323" s="97" t="n">
        <v>-1</v>
      </c>
      <c r="G323" s="97" t="n">
        <v>2618820</v>
      </c>
      <c r="H323" s="97" t="n">
        <v>4.48</v>
      </c>
      <c r="I323" s="97" t="n">
        <v>15468</v>
      </c>
      <c r="J323" s="97" t="inlineStr">
        <is>
          <t>Y</t>
        </is>
      </c>
      <c r="K323" s="97" t="inlineStr">
        <is>
          <t>N</t>
        </is>
      </c>
      <c r="L323" s="97" t="inlineStr">
        <is>
          <t>N</t>
        </is>
      </c>
      <c r="M323" s="97" t="n">
        <v>34.1</v>
      </c>
      <c r="N323" s="97" t="inlineStr">
        <is>
          <t>N</t>
        </is>
      </c>
      <c r="O323" s="97" t="n">
        <v>6.83</v>
      </c>
      <c r="P323" s="97" t="inlineStr">
        <is>
          <t>Y</t>
        </is>
      </c>
      <c r="Q323" s="97" t="inlineStr">
        <is>
          <t>N/A</t>
        </is>
      </c>
      <c r="R323" s="97" t="inlineStr">
        <is>
          <t>N</t>
        </is>
      </c>
      <c r="S323" s="97" t="n">
        <v>-10.2</v>
      </c>
      <c r="T323" s="97" t="n">
        <v>-19.4</v>
      </c>
      <c r="U323" s="97" t="inlineStr">
        <is>
          <t>N</t>
        </is>
      </c>
      <c r="V323" s="97" t="n">
        <v>19.1</v>
      </c>
      <c r="W323" s="97" t="n">
        <v>14.9</v>
      </c>
      <c r="X323" s="97" t="n">
        <v>7.58</v>
      </c>
      <c r="Y323" s="97" t="n">
        <v>95.5</v>
      </c>
      <c r="Z323" s="97" t="n">
        <v>3</v>
      </c>
      <c r="AA323" s="92" t="inlineStr">
        <is>
          <t>AVOID</t>
        </is>
      </c>
    </row>
    <row r="324">
      <c r="A324" s="99" t="inlineStr">
        <is>
          <t>HDBFS</t>
        </is>
      </c>
      <c r="B324" s="99" t="inlineStr">
        <is>
          <t>HDB Financial Services Ltd.</t>
        </is>
      </c>
      <c r="C324" s="99" t="inlineStr">
        <is>
          <t>Financial Services</t>
        </is>
      </c>
      <c r="D324" s="99" t="inlineStr">
        <is>
          <t>Large/Midcap</t>
        </is>
      </c>
      <c r="E324" s="99" t="n">
        <v>686.3</v>
      </c>
      <c r="F324" s="99" t="n">
        <v>-0.75</v>
      </c>
      <c r="G324" s="99" t="n">
        <v>306980</v>
      </c>
      <c r="H324" s="99" t="n">
        <v>0.76</v>
      </c>
      <c r="I324" s="99" t="n">
        <v>56857</v>
      </c>
      <c r="J324" s="99" t="inlineStr">
        <is>
          <t>Y</t>
        </is>
      </c>
      <c r="K324" s="99" t="inlineStr">
        <is>
          <t>N</t>
        </is>
      </c>
      <c r="L324" s="99" t="inlineStr">
        <is>
          <t>N</t>
        </is>
      </c>
      <c r="M324" s="99" t="n">
        <v>29.8</v>
      </c>
      <c r="N324" s="99" t="inlineStr">
        <is>
          <t>N</t>
        </is>
      </c>
      <c r="O324" s="99" t="n">
        <v>19.05</v>
      </c>
      <c r="P324" s="99" t="inlineStr">
        <is>
          <t>N</t>
        </is>
      </c>
      <c r="Q324" s="99" t="inlineStr">
        <is>
          <t>N/A</t>
        </is>
      </c>
      <c r="R324" s="99" t="inlineStr">
        <is>
          <t>N</t>
        </is>
      </c>
      <c r="S324" s="99" t="n">
        <v>-7.4</v>
      </c>
      <c r="T324" s="99" t="n">
        <v>5.2</v>
      </c>
      <c r="U324" s="99" t="inlineStr">
        <is>
          <t>Y</t>
        </is>
      </c>
      <c r="V324" s="99" t="n">
        <v>20.7</v>
      </c>
      <c r="W324" s="99" t="inlineStr">
        <is>
          <t>N/A</t>
        </is>
      </c>
      <c r="X324" s="99" t="n">
        <v>484.31</v>
      </c>
      <c r="Y324" s="99" t="n">
        <v>4.6</v>
      </c>
      <c r="Z324" s="99" t="n">
        <v>3</v>
      </c>
      <c r="AA324" s="94" t="inlineStr">
        <is>
          <t>AVOID</t>
        </is>
      </c>
    </row>
    <row r="325">
      <c r="A325" s="97" t="inlineStr">
        <is>
          <t>HINDUNILVR</t>
        </is>
      </c>
      <c r="B325" s="97" t="inlineStr">
        <is>
          <t>Hindustan Unilever Ltd.</t>
        </is>
      </c>
      <c r="C325" s="97" t="inlineStr">
        <is>
          <t>Fast Moving Consumer Goods</t>
        </is>
      </c>
      <c r="D325" s="97" t="inlineStr">
        <is>
          <t>Large/Midcap</t>
        </is>
      </c>
      <c r="E325" s="97" t="n">
        <v>2174.6</v>
      </c>
      <c r="F325" s="97" t="n">
        <v>1.38</v>
      </c>
      <c r="G325" s="97" t="n">
        <v>698681</v>
      </c>
      <c r="H325" s="97" t="n">
        <v>0.64</v>
      </c>
      <c r="I325" s="97" t="n">
        <v>510942</v>
      </c>
      <c r="J325" s="97" t="inlineStr">
        <is>
          <t>Y</t>
        </is>
      </c>
      <c r="K325" s="97" t="inlineStr">
        <is>
          <t>Y</t>
        </is>
      </c>
      <c r="L325" s="97" t="inlineStr">
        <is>
          <t>N</t>
        </is>
      </c>
      <c r="M325" s="97" t="n">
        <v>43.4</v>
      </c>
      <c r="N325" s="97" t="inlineStr">
        <is>
          <t>N</t>
        </is>
      </c>
      <c r="O325" s="97" t="n">
        <v>35.11</v>
      </c>
      <c r="P325" s="97" t="inlineStr">
        <is>
          <t>N</t>
        </is>
      </c>
      <c r="Q325" s="97" t="inlineStr">
        <is>
          <t>N/A</t>
        </is>
      </c>
      <c r="R325" s="97" t="inlineStr">
        <is>
          <t>N</t>
        </is>
      </c>
      <c r="S325" s="97" t="n">
        <v>0.3</v>
      </c>
      <c r="T325" s="97" t="n">
        <v>-2</v>
      </c>
      <c r="U325" s="97" t="inlineStr">
        <is>
          <t>N</t>
        </is>
      </c>
      <c r="V325" s="97" t="n">
        <v>47.4</v>
      </c>
      <c r="W325" s="97" t="n">
        <v>21.6</v>
      </c>
      <c r="X325" s="97" t="n">
        <v>3.02</v>
      </c>
      <c r="Y325" s="97" t="n">
        <v>-54.7</v>
      </c>
      <c r="Z325" s="97" t="n">
        <v>3</v>
      </c>
      <c r="AA325" s="92" t="inlineStr">
        <is>
          <t>AVOID</t>
        </is>
      </c>
    </row>
    <row r="326">
      <c r="A326" s="99" t="inlineStr">
        <is>
          <t>HINDPETRO</t>
        </is>
      </c>
      <c r="B326" s="99" t="inlineStr">
        <is>
          <t>Hindustan Petroleum Corporation Ltd.</t>
        </is>
      </c>
      <c r="C326" s="99" t="inlineStr">
        <is>
          <t>Oil Gas &amp; Consumable Fuels</t>
        </is>
      </c>
      <c r="D326" s="99" t="inlineStr">
        <is>
          <t>Large/Midcap</t>
        </is>
      </c>
      <c r="E326" s="99" t="n">
        <v>393.95</v>
      </c>
      <c r="F326" s="99" t="n">
        <v>3.37</v>
      </c>
      <c r="G326" s="99" t="n">
        <v>7119104</v>
      </c>
      <c r="H326" s="99" t="n">
        <v>0.71</v>
      </c>
      <c r="I326" s="99" t="n">
        <v>83826</v>
      </c>
      <c r="J326" s="99" t="inlineStr">
        <is>
          <t>Y</t>
        </is>
      </c>
      <c r="K326" s="99" t="inlineStr">
        <is>
          <t>Y</t>
        </is>
      </c>
      <c r="L326" s="99" t="inlineStr">
        <is>
          <t>N</t>
        </is>
      </c>
      <c r="M326" s="99" t="n">
        <v>43.8</v>
      </c>
      <c r="N326" s="99" t="inlineStr">
        <is>
          <t>N</t>
        </is>
      </c>
      <c r="O326" s="99" t="n">
        <v>12.1</v>
      </c>
      <c r="P326" s="99" t="inlineStr">
        <is>
          <t>N</t>
        </is>
      </c>
      <c r="Q326" s="99" t="inlineStr">
        <is>
          <t>N/A</t>
        </is>
      </c>
      <c r="R326" s="99" t="inlineStr">
        <is>
          <t>N</t>
        </is>
      </c>
      <c r="S326" s="99" t="n">
        <v>-3.5</v>
      </c>
      <c r="T326" s="99" t="n">
        <v>5.6</v>
      </c>
      <c r="U326" s="99" t="inlineStr">
        <is>
          <t>Y</t>
        </is>
      </c>
      <c r="V326" s="99" t="n">
        <v>48.5</v>
      </c>
      <c r="W326" s="99" t="inlineStr">
        <is>
          <t>N/A</t>
        </is>
      </c>
      <c r="X326" s="99" t="n">
        <v>85.37</v>
      </c>
      <c r="Y326" s="99" t="n">
        <v>-302.2</v>
      </c>
      <c r="Z326" s="99" t="n">
        <v>3</v>
      </c>
      <c r="AA326" s="94" t="inlineStr">
        <is>
          <t>AVOID</t>
        </is>
      </c>
    </row>
    <row r="327">
      <c r="A327" s="97" t="inlineStr">
        <is>
          <t>HINDCOPPER</t>
        </is>
      </c>
      <c r="B327" s="97" t="inlineStr">
        <is>
          <t>Hindustan Copper Ltd.</t>
        </is>
      </c>
      <c r="C327" s="97" t="inlineStr">
        <is>
          <t>Metals &amp; Mining</t>
        </is>
      </c>
      <c r="D327" s="97" t="inlineStr">
        <is>
          <t>NSE Smallcap</t>
        </is>
      </c>
      <c r="E327" s="97" t="n">
        <v>482.4</v>
      </c>
      <c r="F327" s="97" t="n">
        <v>-0.16</v>
      </c>
      <c r="G327" s="97" t="n">
        <v>1932275</v>
      </c>
      <c r="H327" s="97" t="n">
        <v>0.59</v>
      </c>
      <c r="I327" s="97" t="n">
        <v>46649</v>
      </c>
      <c r="J327" s="97" t="inlineStr">
        <is>
          <t>Y</t>
        </is>
      </c>
      <c r="K327" s="97" t="inlineStr">
        <is>
          <t>N</t>
        </is>
      </c>
      <c r="L327" s="97" t="inlineStr">
        <is>
          <t>N</t>
        </is>
      </c>
      <c r="M327" s="97" t="n">
        <v>40.3</v>
      </c>
      <c r="N327" s="97" t="inlineStr">
        <is>
          <t>N</t>
        </is>
      </c>
      <c r="O327" s="97" t="n">
        <v>12.74</v>
      </c>
      <c r="P327" s="97" t="inlineStr">
        <is>
          <t>N</t>
        </is>
      </c>
      <c r="Q327" s="97" t="inlineStr">
        <is>
          <t>N/A</t>
        </is>
      </c>
      <c r="R327" s="97" t="inlineStr">
        <is>
          <t>N</t>
        </is>
      </c>
      <c r="S327" s="97" t="n">
        <v>-1.6</v>
      </c>
      <c r="T327" s="97" t="n">
        <v>-9.4</v>
      </c>
      <c r="U327" s="97" t="inlineStr">
        <is>
          <t>N</t>
        </is>
      </c>
      <c r="V327" s="97" t="n">
        <v>50.8</v>
      </c>
      <c r="W327" s="97" t="n">
        <v>30.6</v>
      </c>
      <c r="X327" s="97" t="n">
        <v>3.32</v>
      </c>
      <c r="Y327" s="97" t="n">
        <v>184.4</v>
      </c>
      <c r="Z327" s="97" t="n">
        <v>3</v>
      </c>
      <c r="AA327" s="92" t="inlineStr">
        <is>
          <t>AVOID</t>
        </is>
      </c>
    </row>
    <row r="328">
      <c r="A328" s="99" t="inlineStr">
        <is>
          <t>HINDALCO</t>
        </is>
      </c>
      <c r="B328" s="99" t="inlineStr">
        <is>
          <t>Hindalco Industries Ltd.</t>
        </is>
      </c>
      <c r="C328" s="99" t="inlineStr">
        <is>
          <t>Metals &amp; Mining</t>
        </is>
      </c>
      <c r="D328" s="99" t="inlineStr">
        <is>
          <t>Large/Midcap</t>
        </is>
      </c>
      <c r="E328" s="99" t="n">
        <v>945.25</v>
      </c>
      <c r="F328" s="99" t="n">
        <v>0.26</v>
      </c>
      <c r="G328" s="99" t="n">
        <v>2035425</v>
      </c>
      <c r="H328" s="99" t="n">
        <v>0.46</v>
      </c>
      <c r="I328" s="99" t="n">
        <v>209830</v>
      </c>
      <c r="J328" s="99" t="inlineStr">
        <is>
          <t>Y</t>
        </is>
      </c>
      <c r="K328" s="99" t="inlineStr">
        <is>
          <t>N</t>
        </is>
      </c>
      <c r="L328" s="99" t="inlineStr">
        <is>
          <t>Y</t>
        </is>
      </c>
      <c r="M328" s="99" t="n">
        <v>39.8</v>
      </c>
      <c r="N328" s="99" t="inlineStr">
        <is>
          <t>N</t>
        </is>
      </c>
      <c r="O328" s="99" t="n">
        <v>18.52</v>
      </c>
      <c r="P328" s="99" t="inlineStr">
        <is>
          <t>N</t>
        </is>
      </c>
      <c r="Q328" s="99" t="inlineStr">
        <is>
          <t>N/A</t>
        </is>
      </c>
      <c r="R328" s="99" t="inlineStr">
        <is>
          <t>N</t>
        </is>
      </c>
      <c r="S328" s="99" t="n">
        <v>-0.1</v>
      </c>
      <c r="T328" s="99" t="n">
        <v>-8.1</v>
      </c>
      <c r="U328" s="99" t="inlineStr">
        <is>
          <t>N</t>
        </is>
      </c>
      <c r="V328" s="99" t="n">
        <v>15.6</v>
      </c>
      <c r="W328" s="99" t="n">
        <v>10.3</v>
      </c>
      <c r="X328" s="99" t="n">
        <v>72.59999999999999</v>
      </c>
      <c r="Y328" s="99" t="n">
        <v>26.7</v>
      </c>
      <c r="Z328" s="99" t="n">
        <v>3</v>
      </c>
      <c r="AA328" s="94" t="inlineStr">
        <is>
          <t>AVOID</t>
        </is>
      </c>
    </row>
    <row r="329">
      <c r="A329" s="97" t="inlineStr">
        <is>
          <t>HUDCO</t>
        </is>
      </c>
      <c r="B329" s="97" t="inlineStr">
        <is>
          <t>Housing &amp; Urban Development Corporation Ltd.</t>
        </is>
      </c>
      <c r="C329" s="97" t="inlineStr">
        <is>
          <t>Financial Services</t>
        </is>
      </c>
      <c r="D329" s="97" t="inlineStr">
        <is>
          <t>Large/Midcap</t>
        </is>
      </c>
      <c r="E329" s="97" t="n">
        <v>202.16</v>
      </c>
      <c r="F329" s="97" t="n">
        <v>3.39</v>
      </c>
      <c r="G329" s="97" t="n">
        <v>3848410</v>
      </c>
      <c r="H329" s="97" t="n">
        <v>1.44</v>
      </c>
      <c r="I329" s="97" t="n">
        <v>40470</v>
      </c>
      <c r="J329" s="97" t="inlineStr">
        <is>
          <t>Y</t>
        </is>
      </c>
      <c r="K329" s="97" t="inlineStr">
        <is>
          <t>N</t>
        </is>
      </c>
      <c r="L329" s="97" t="inlineStr">
        <is>
          <t>N</t>
        </is>
      </c>
      <c r="M329" s="97" t="n">
        <v>37.9</v>
      </c>
      <c r="N329" s="97" t="inlineStr">
        <is>
          <t>N</t>
        </is>
      </c>
      <c r="O329" s="97" t="n">
        <v>5.28</v>
      </c>
      <c r="P329" s="97" t="inlineStr">
        <is>
          <t>N</t>
        </is>
      </c>
      <c r="Q329" s="97" t="inlineStr">
        <is>
          <t>N/A</t>
        </is>
      </c>
      <c r="R329" s="97" t="inlineStr">
        <is>
          <t>N</t>
        </is>
      </c>
      <c r="S329" s="97" t="n">
        <v>-2.7</v>
      </c>
      <c r="T329" s="97" t="n">
        <v>-8.1</v>
      </c>
      <c r="U329" s="97" t="inlineStr">
        <is>
          <t>N</t>
        </is>
      </c>
      <c r="V329" s="97" t="n">
        <v>9.699999999999999</v>
      </c>
      <c r="W329" s="97" t="n">
        <v>20.2</v>
      </c>
      <c r="X329" s="97" t="n">
        <v>645.77</v>
      </c>
      <c r="Y329" s="97" t="n">
        <v>177.9</v>
      </c>
      <c r="Z329" s="97" t="n">
        <v>3</v>
      </c>
      <c r="AA329" s="92" t="inlineStr">
        <is>
          <t>AVOID</t>
        </is>
      </c>
    </row>
    <row r="330">
      <c r="A330" s="99" t="inlineStr">
        <is>
          <t>ICICIPRULI</t>
        </is>
      </c>
      <c r="B330" s="99" t="inlineStr">
        <is>
          <t>ICICI Prudential Life Insurance Company Ltd.</t>
        </is>
      </c>
      <c r="C330" s="99" t="inlineStr">
        <is>
          <t>Financial Services</t>
        </is>
      </c>
      <c r="D330" s="99" t="inlineStr">
        <is>
          <t>Large/Midcap</t>
        </is>
      </c>
      <c r="E330" s="99" t="n">
        <v>500.55</v>
      </c>
      <c r="F330" s="99" t="n">
        <v>-0.19</v>
      </c>
      <c r="G330" s="99" t="n">
        <v>711372</v>
      </c>
      <c r="H330" s="99" t="n">
        <v>0.37</v>
      </c>
      <c r="I330" s="99" t="n">
        <v>73908</v>
      </c>
      <c r="J330" s="99" t="inlineStr">
        <is>
          <t>Y</t>
        </is>
      </c>
      <c r="K330" s="99" t="inlineStr">
        <is>
          <t>Y</t>
        </is>
      </c>
      <c r="L330" s="99" t="inlineStr">
        <is>
          <t>N</t>
        </is>
      </c>
      <c r="M330" s="99" t="n">
        <v>56.3</v>
      </c>
      <c r="N330" s="99" t="inlineStr">
        <is>
          <t>Y</t>
        </is>
      </c>
      <c r="O330" s="99" t="n">
        <v>15.76</v>
      </c>
      <c r="P330" s="99" t="inlineStr">
        <is>
          <t>N</t>
        </is>
      </c>
      <c r="Q330" s="99" t="inlineStr">
        <is>
          <t>N/A</t>
        </is>
      </c>
      <c r="R330" s="99" t="inlineStr">
        <is>
          <t>N</t>
        </is>
      </c>
      <c r="S330" s="99" t="n">
        <v>2.2</v>
      </c>
      <c r="T330" s="99" t="n">
        <v>-3.8</v>
      </c>
      <c r="U330" s="99" t="inlineStr">
        <is>
          <t>N</t>
        </is>
      </c>
      <c r="V330" s="99" t="n">
        <v>43.9</v>
      </c>
      <c r="W330" s="99" t="n">
        <v>12.6</v>
      </c>
      <c r="X330" s="99" t="n">
        <v>19.04</v>
      </c>
      <c r="Y330" s="99" t="n">
        <v>-38.1</v>
      </c>
      <c r="Z330" s="99" t="n">
        <v>3</v>
      </c>
      <c r="AA330" s="94" t="inlineStr">
        <is>
          <t>AVOID</t>
        </is>
      </c>
    </row>
    <row r="331">
      <c r="A331" s="97" t="inlineStr">
        <is>
          <t>ITC</t>
        </is>
      </c>
      <c r="B331" s="97" t="inlineStr">
        <is>
          <t>ITC Ltd.</t>
        </is>
      </c>
      <c r="C331" s="97" t="inlineStr">
        <is>
          <t>Fast Moving Consumer Goods</t>
        </is>
      </c>
      <c r="D331" s="97" t="inlineStr">
        <is>
          <t>Large/Midcap</t>
        </is>
      </c>
      <c r="E331" s="97" t="n">
        <v>285.85</v>
      </c>
      <c r="F331" s="97" t="n">
        <v>0.85</v>
      </c>
      <c r="G331" s="97" t="n">
        <v>19312804</v>
      </c>
      <c r="H331" s="97" t="n">
        <v>0.98</v>
      </c>
      <c r="I331" s="97" t="n">
        <v>358155</v>
      </c>
      <c r="J331" s="97" t="inlineStr">
        <is>
          <t>Y</t>
        </is>
      </c>
      <c r="K331" s="97" t="inlineStr">
        <is>
          <t>N</t>
        </is>
      </c>
      <c r="L331" s="97" t="inlineStr">
        <is>
          <t>N</t>
        </is>
      </c>
      <c r="M331" s="97" t="n">
        <v>45.2</v>
      </c>
      <c r="N331" s="97" t="inlineStr">
        <is>
          <t>N</t>
        </is>
      </c>
      <c r="O331" s="97" t="n">
        <v>4.38</v>
      </c>
      <c r="P331" s="97" t="inlineStr">
        <is>
          <t>N</t>
        </is>
      </c>
      <c r="Q331" s="97" t="inlineStr">
        <is>
          <t>N/A</t>
        </is>
      </c>
      <c r="R331" s="97" t="inlineStr">
        <is>
          <t>N</t>
        </is>
      </c>
      <c r="S331" s="97" t="n">
        <v>-1.2</v>
      </c>
      <c r="T331" s="97" t="n">
        <v>-6.4</v>
      </c>
      <c r="U331" s="97" t="inlineStr">
        <is>
          <t>N</t>
        </is>
      </c>
      <c r="V331" s="97" t="n">
        <v>17.2</v>
      </c>
      <c r="W331" s="97" t="n">
        <v>29.3</v>
      </c>
      <c r="X331" s="97" t="n">
        <v>3.29</v>
      </c>
      <c r="Y331" s="97" t="n">
        <v>9.300000000000001</v>
      </c>
      <c r="Z331" s="97" t="n">
        <v>3</v>
      </c>
      <c r="AA331" s="92" t="inlineStr">
        <is>
          <t>AVOID</t>
        </is>
      </c>
    </row>
    <row r="332">
      <c r="A332" s="99" t="inlineStr">
        <is>
          <t>ITI</t>
        </is>
      </c>
      <c r="B332" s="99" t="inlineStr">
        <is>
          <t>ITI Ltd.</t>
        </is>
      </c>
      <c r="C332" s="99" t="inlineStr">
        <is>
          <t>Telecommunication</t>
        </is>
      </c>
      <c r="D332" s="99" t="inlineStr">
        <is>
          <t>NSE Smallcap</t>
        </is>
      </c>
      <c r="E332" s="99" t="n">
        <v>275.15</v>
      </c>
      <c r="F332" s="99" t="n">
        <v>-0.88</v>
      </c>
      <c r="G332" s="99" t="n">
        <v>176666</v>
      </c>
      <c r="H332" s="99" t="n">
        <v>0.72</v>
      </c>
      <c r="I332" s="99" t="n">
        <v>26584</v>
      </c>
      <c r="J332" s="99" t="inlineStr">
        <is>
          <t>Y</t>
        </is>
      </c>
      <c r="K332" s="99" t="inlineStr">
        <is>
          <t>N</t>
        </is>
      </c>
      <c r="L332" s="99" t="inlineStr">
        <is>
          <t>N</t>
        </is>
      </c>
      <c r="M332" s="99" t="n">
        <v>24.9</v>
      </c>
      <c r="N332" s="99" t="inlineStr">
        <is>
          <t>N</t>
        </is>
      </c>
      <c r="O332" s="99" t="n">
        <v>7.99</v>
      </c>
      <c r="P332" s="99" t="inlineStr">
        <is>
          <t>N</t>
        </is>
      </c>
      <c r="Q332" s="99" t="inlineStr">
        <is>
          <t>N/A</t>
        </is>
      </c>
      <c r="R332" s="99" t="inlineStr">
        <is>
          <t>N</t>
        </is>
      </c>
      <c r="S332" s="99" t="n">
        <v>-8.5</v>
      </c>
      <c r="T332" s="99" t="n">
        <v>-8.699999999999999</v>
      </c>
      <c r="U332" s="99" t="inlineStr">
        <is>
          <t>N</t>
        </is>
      </c>
      <c r="V332" s="99" t="n">
        <v>91.09999999999999</v>
      </c>
      <c r="W332" s="99" t="n">
        <v>16.6</v>
      </c>
      <c r="X332" s="99" t="n">
        <v>40.14</v>
      </c>
      <c r="Y332" s="99" t="n">
        <v>1581</v>
      </c>
      <c r="Z332" s="99" t="n">
        <v>3</v>
      </c>
      <c r="AA332" s="94" t="inlineStr">
        <is>
          <t>AVOID</t>
        </is>
      </c>
    </row>
    <row r="333">
      <c r="A333" s="97" t="inlineStr">
        <is>
          <t>INDIAMART</t>
        </is>
      </c>
      <c r="B333" s="97" t="inlineStr">
        <is>
          <t>Indiamart Intermesh Ltd.</t>
        </is>
      </c>
      <c r="C333" s="97" t="inlineStr">
        <is>
          <t>Consumer Services</t>
        </is>
      </c>
      <c r="D333" s="97" t="inlineStr">
        <is>
          <t>BSE Smallcap</t>
        </is>
      </c>
      <c r="E333" s="97" t="n">
        <v>1759.9</v>
      </c>
      <c r="F333" s="97" t="n">
        <v>-1.71</v>
      </c>
      <c r="G333" s="97" t="n">
        <v>170780</v>
      </c>
      <c r="H333" s="97" t="n">
        <v>0.48</v>
      </c>
      <c r="I333" s="97" t="n">
        <v>105833</v>
      </c>
      <c r="J333" s="97" t="inlineStr">
        <is>
          <t>Y</t>
        </is>
      </c>
      <c r="K333" s="97" t="inlineStr">
        <is>
          <t>N</t>
        </is>
      </c>
      <c r="L333" s="97" t="inlineStr">
        <is>
          <t>N</t>
        </is>
      </c>
      <c r="M333" s="97" t="n">
        <v>33.7</v>
      </c>
      <c r="N333" s="97" t="inlineStr">
        <is>
          <t>N</t>
        </is>
      </c>
      <c r="O333" s="97" t="n">
        <v>59.19</v>
      </c>
      <c r="P333" s="97" t="inlineStr">
        <is>
          <t>N</t>
        </is>
      </c>
      <c r="Q333" s="97" t="inlineStr">
        <is>
          <t>N/A</t>
        </is>
      </c>
      <c r="R333" s="97" t="inlineStr">
        <is>
          <t>N</t>
        </is>
      </c>
      <c r="S333" s="97" t="n">
        <v>-9.699999999999999</v>
      </c>
      <c r="T333" s="97" t="n">
        <v>-14.6</v>
      </c>
      <c r="U333" s="97" t="inlineStr">
        <is>
          <t>N</t>
        </is>
      </c>
      <c r="V333" s="97" t="n">
        <v>21.5</v>
      </c>
      <c r="W333" s="97" t="n">
        <v>23.1</v>
      </c>
      <c r="X333" s="97" t="n">
        <v>0.97</v>
      </c>
      <c r="Y333" s="97" t="n">
        <v>243.1</v>
      </c>
      <c r="Z333" s="97" t="n">
        <v>3</v>
      </c>
      <c r="AA333" s="92" t="inlineStr">
        <is>
          <t>AVOID</t>
        </is>
      </c>
    </row>
    <row r="334">
      <c r="A334" s="99" t="inlineStr">
        <is>
          <t>IOB</t>
        </is>
      </c>
      <c r="B334" s="99" t="inlineStr">
        <is>
          <t>Indian Overseas Bank</t>
        </is>
      </c>
      <c r="C334" s="99" t="inlineStr">
        <is>
          <t>Financial Services</t>
        </is>
      </c>
      <c r="D334" s="99" t="inlineStr">
        <is>
          <t>NSE Smallcap</t>
        </is>
      </c>
      <c r="E334" s="99" t="n">
        <v>33.88</v>
      </c>
      <c r="F334" s="99" t="n">
        <v>0.18</v>
      </c>
      <c r="G334" s="99" t="n">
        <v>2789486</v>
      </c>
      <c r="H334" s="99" t="n">
        <v>0.31</v>
      </c>
      <c r="I334" s="99" t="n">
        <v>65703</v>
      </c>
      <c r="J334" s="99" t="inlineStr">
        <is>
          <t>Y</t>
        </is>
      </c>
      <c r="K334" s="99" t="inlineStr">
        <is>
          <t>N</t>
        </is>
      </c>
      <c r="L334" s="99" t="inlineStr">
        <is>
          <t>N</t>
        </is>
      </c>
      <c r="M334" s="99" t="n">
        <v>47.2</v>
      </c>
      <c r="N334" s="99" t="inlineStr">
        <is>
          <t>N</t>
        </is>
      </c>
      <c r="O334" s="99" t="n">
        <v>0.85</v>
      </c>
      <c r="P334" s="99" t="inlineStr">
        <is>
          <t>N</t>
        </is>
      </c>
      <c r="Q334" s="99" t="inlineStr">
        <is>
          <t>N/A</t>
        </is>
      </c>
      <c r="R334" s="99" t="inlineStr">
        <is>
          <t>N</t>
        </is>
      </c>
      <c r="S334" s="99" t="n">
        <v>-1.5</v>
      </c>
      <c r="T334" s="99" t="n">
        <v>-3.3</v>
      </c>
      <c r="U334" s="99" t="inlineStr">
        <is>
          <t>N</t>
        </is>
      </c>
      <c r="V334" s="99" t="n">
        <v>11.4</v>
      </c>
      <c r="W334" s="99" t="n">
        <v>16.5</v>
      </c>
      <c r="X334" s="99" t="inlineStr">
        <is>
          <t>N/A</t>
        </is>
      </c>
      <c r="Y334" s="99" t="n">
        <v>10.3</v>
      </c>
      <c r="Z334" s="99" t="n">
        <v>3</v>
      </c>
      <c r="AA334" s="94" t="inlineStr">
        <is>
          <t>AVOID</t>
        </is>
      </c>
    </row>
    <row r="335">
      <c r="A335" s="97" t="inlineStr">
        <is>
          <t>INFY</t>
        </is>
      </c>
      <c r="B335" s="97" t="inlineStr">
        <is>
          <t>Infosys Ltd.</t>
        </is>
      </c>
      <c r="C335" s="97" t="inlineStr">
        <is>
          <t>Information Technology</t>
        </is>
      </c>
      <c r="D335" s="97" t="inlineStr">
        <is>
          <t>Large/Midcap</t>
        </is>
      </c>
      <c r="E335" s="97" t="n">
        <v>1079.2</v>
      </c>
      <c r="F335" s="97" t="n">
        <v>3.68</v>
      </c>
      <c r="G335" s="97" t="n">
        <v>15956349</v>
      </c>
      <c r="H335" s="97" t="n">
        <v>0.95</v>
      </c>
      <c r="I335" s="97" t="n">
        <v>437089</v>
      </c>
      <c r="J335" s="97" t="inlineStr">
        <is>
          <t>Y</t>
        </is>
      </c>
      <c r="K335" s="97" t="inlineStr">
        <is>
          <t>N</t>
        </is>
      </c>
      <c r="L335" s="97" t="inlineStr">
        <is>
          <t>N</t>
        </is>
      </c>
      <c r="M335" s="97" t="n">
        <v>51.7</v>
      </c>
      <c r="N335" s="97" t="inlineStr">
        <is>
          <t>Y</t>
        </is>
      </c>
      <c r="O335" s="97" t="n">
        <v>29.83</v>
      </c>
      <c r="P335" s="97" t="inlineStr">
        <is>
          <t>N</t>
        </is>
      </c>
      <c r="Q335" s="97" t="inlineStr">
        <is>
          <t>N/A</t>
        </is>
      </c>
      <c r="R335" s="97" t="inlineStr">
        <is>
          <t>N</t>
        </is>
      </c>
      <c r="S335" s="97" t="n">
        <v>3.9</v>
      </c>
      <c r="T335" s="97" t="n">
        <v>-6.3</v>
      </c>
      <c r="U335" s="97" t="inlineStr">
        <is>
          <t>N</t>
        </is>
      </c>
      <c r="V335" s="97" t="n">
        <v>13.3</v>
      </c>
      <c r="W335" s="97" t="n">
        <v>32</v>
      </c>
      <c r="X335" s="97" t="n">
        <v>9.539999999999999</v>
      </c>
      <c r="Y335" s="97" t="n">
        <v>-10.9</v>
      </c>
      <c r="Z335" s="97" t="n">
        <v>3</v>
      </c>
      <c r="AA335" s="92" t="inlineStr">
        <is>
          <t>AVOID</t>
        </is>
      </c>
    </row>
    <row r="336">
      <c r="A336" s="99" t="inlineStr">
        <is>
          <t>JSWSTEEL</t>
        </is>
      </c>
      <c r="B336" s="99" t="inlineStr">
        <is>
          <t>JSW Steel Ltd.</t>
        </is>
      </c>
      <c r="C336" s="99" t="inlineStr">
        <is>
          <t>Metals &amp; Mining</t>
        </is>
      </c>
      <c r="D336" s="99" t="inlineStr">
        <is>
          <t>Large/Midcap</t>
        </is>
      </c>
      <c r="E336" s="99" t="n">
        <v>1240.8</v>
      </c>
      <c r="F336" s="99" t="n">
        <v>-0.48</v>
      </c>
      <c r="G336" s="99" t="n">
        <v>1083729</v>
      </c>
      <c r="H336" s="99" t="n">
        <v>0.38</v>
      </c>
      <c r="I336" s="99" t="n">
        <v>303785</v>
      </c>
      <c r="J336" s="99" t="inlineStr">
        <is>
          <t>Y</t>
        </is>
      </c>
      <c r="K336" s="99" t="inlineStr">
        <is>
          <t>N</t>
        </is>
      </c>
      <c r="L336" s="99" t="inlineStr">
        <is>
          <t>Y</t>
        </is>
      </c>
      <c r="M336" s="99" t="n">
        <v>51.3</v>
      </c>
      <c r="N336" s="99" t="inlineStr">
        <is>
          <t>Y</t>
        </is>
      </c>
      <c r="O336" s="99" t="n">
        <v>25.96</v>
      </c>
      <c r="P336" s="99" t="inlineStr">
        <is>
          <t>N</t>
        </is>
      </c>
      <c r="Q336" s="99" t="inlineStr">
        <is>
          <t>N/A</t>
        </is>
      </c>
      <c r="R336" s="99" t="inlineStr">
        <is>
          <t>N</t>
        </is>
      </c>
      <c r="S336" s="99" t="n">
        <v>1.6</v>
      </c>
      <c r="T336" s="99" t="n">
        <v>-2.1</v>
      </c>
      <c r="U336" s="99" t="inlineStr">
        <is>
          <t>N</t>
        </is>
      </c>
      <c r="V336" s="99" t="n">
        <v>12.3</v>
      </c>
      <c r="W336" s="99" t="inlineStr">
        <is>
          <t>N/A</t>
        </is>
      </c>
      <c r="X336" s="99" t="n">
        <v>95.37</v>
      </c>
      <c r="Y336" s="99" t="n">
        <v>-71.59999999999999</v>
      </c>
      <c r="Z336" s="99" t="n">
        <v>3</v>
      </c>
      <c r="AA336" s="94" t="inlineStr">
        <is>
          <t>AVOID</t>
        </is>
      </c>
    </row>
    <row r="337">
      <c r="A337" s="97" t="inlineStr">
        <is>
          <t>JINDALSTEL</t>
        </is>
      </c>
      <c r="B337" s="97" t="inlineStr">
        <is>
          <t>Jindal Steel Ltd.</t>
        </is>
      </c>
      <c r="C337" s="97" t="inlineStr">
        <is>
          <t>Metals &amp; Mining</t>
        </is>
      </c>
      <c r="D337" s="97" t="inlineStr">
        <is>
          <t>Large/Midcap</t>
        </is>
      </c>
      <c r="E337" s="97" t="n">
        <v>1065.7</v>
      </c>
      <c r="F337" s="97" t="n">
        <v>2.89</v>
      </c>
      <c r="G337" s="97" t="n">
        <v>2617855</v>
      </c>
      <c r="H337" s="97" t="n">
        <v>3.35</v>
      </c>
      <c r="I337" s="97" t="n">
        <v>108434</v>
      </c>
      <c r="J337" s="97" t="inlineStr">
        <is>
          <t>Y</t>
        </is>
      </c>
      <c r="K337" s="97" t="inlineStr">
        <is>
          <t>N</t>
        </is>
      </c>
      <c r="L337" s="97" t="inlineStr">
        <is>
          <t>N</t>
        </is>
      </c>
      <c r="M337" s="97" t="n">
        <v>59.7</v>
      </c>
      <c r="N337" s="97" t="inlineStr">
        <is>
          <t>Y</t>
        </is>
      </c>
      <c r="O337" s="97" t="n">
        <v>23.74</v>
      </c>
      <c r="P337" s="97" t="inlineStr">
        <is>
          <t>Y</t>
        </is>
      </c>
      <c r="Q337" s="97" t="inlineStr">
        <is>
          <t>N/A</t>
        </is>
      </c>
      <c r="R337" s="97" t="inlineStr">
        <is>
          <t>N</t>
        </is>
      </c>
      <c r="S337" s="97" t="n">
        <v>0.8</v>
      </c>
      <c r="T337" s="97" t="n">
        <v>-12.5</v>
      </c>
      <c r="U337" s="97" t="inlineStr">
        <is>
          <t>N</t>
        </is>
      </c>
      <c r="V337" s="97" t="n">
        <v>38.8</v>
      </c>
      <c r="W337" s="97" t="inlineStr">
        <is>
          <t>N/A</t>
        </is>
      </c>
      <c r="X337" s="97" t="n">
        <v>43.61</v>
      </c>
      <c r="Y337" s="97" t="n">
        <v>-19.1</v>
      </c>
      <c r="Z337" s="97" t="n">
        <v>3</v>
      </c>
      <c r="AA337" s="92" t="inlineStr">
        <is>
          <t>AVOID</t>
        </is>
      </c>
    </row>
    <row r="338">
      <c r="A338" s="99" t="inlineStr">
        <is>
          <t>JUBLPHARMA</t>
        </is>
      </c>
      <c r="B338" s="99" t="inlineStr">
        <is>
          <t>Jubilant Pharmova Ltd.</t>
        </is>
      </c>
      <c r="C338" s="99" t="inlineStr">
        <is>
          <t>Healthcare</t>
        </is>
      </c>
      <c r="D338" s="99" t="inlineStr">
        <is>
          <t>BSE Smallcap</t>
        </is>
      </c>
      <c r="E338" s="99" t="n">
        <v>965.35</v>
      </c>
      <c r="F338" s="99" t="n">
        <v>-0.05</v>
      </c>
      <c r="G338" s="99" t="n">
        <v>57028</v>
      </c>
      <c r="H338" s="99" t="n">
        <v>0.67</v>
      </c>
      <c r="I338" s="99" t="n">
        <v>15517</v>
      </c>
      <c r="J338" s="99" t="inlineStr">
        <is>
          <t>Y</t>
        </is>
      </c>
      <c r="K338" s="99" t="inlineStr">
        <is>
          <t>N</t>
        </is>
      </c>
      <c r="L338" s="99" t="inlineStr">
        <is>
          <t>N</t>
        </is>
      </c>
      <c r="M338" s="99" t="n">
        <v>46.1</v>
      </c>
      <c r="N338" s="99" t="inlineStr">
        <is>
          <t>N</t>
        </is>
      </c>
      <c r="O338" s="99" t="n">
        <v>27.3</v>
      </c>
      <c r="P338" s="99" t="inlineStr">
        <is>
          <t>N</t>
        </is>
      </c>
      <c r="Q338" s="99" t="inlineStr">
        <is>
          <t>N/A</t>
        </is>
      </c>
      <c r="R338" s="99" t="inlineStr">
        <is>
          <t>N</t>
        </is>
      </c>
      <c r="S338" s="99" t="n">
        <v>0.9</v>
      </c>
      <c r="T338" s="99" t="n">
        <v>3.4</v>
      </c>
      <c r="U338" s="99" t="inlineStr">
        <is>
          <t>Y</t>
        </is>
      </c>
      <c r="V338" s="99" t="n">
        <v>39</v>
      </c>
      <c r="W338" s="99" t="n">
        <v>6</v>
      </c>
      <c r="X338" s="99" t="n">
        <v>50.94</v>
      </c>
      <c r="Y338" s="99" t="n">
        <v>113.6</v>
      </c>
      <c r="Z338" s="99" t="n">
        <v>3</v>
      </c>
      <c r="AA338" s="94" t="inlineStr">
        <is>
          <t>AVOID</t>
        </is>
      </c>
    </row>
    <row r="339">
      <c r="A339" s="97" t="inlineStr">
        <is>
          <t>LGEINDIA</t>
        </is>
      </c>
      <c r="B339" s="97" t="inlineStr">
        <is>
          <t>LG Electronics India Ltd.</t>
        </is>
      </c>
      <c r="C339" s="97" t="inlineStr">
        <is>
          <t>Consumer Durables</t>
        </is>
      </c>
      <c r="D339" s="97" t="inlineStr">
        <is>
          <t>Large/Midcap</t>
        </is>
      </c>
      <c r="E339" s="97" t="n">
        <v>1527.2</v>
      </c>
      <c r="F339" s="97" t="n">
        <v>-0.09</v>
      </c>
      <c r="G339" s="97" t="n">
        <v>203768</v>
      </c>
      <c r="H339" s="97" t="n">
        <v>1.01</v>
      </c>
      <c r="I339" s="97" t="n">
        <v>103635</v>
      </c>
      <c r="J339" s="97" t="inlineStr">
        <is>
          <t>Y</t>
        </is>
      </c>
      <c r="K339" s="97" t="inlineStr">
        <is>
          <t>N</t>
        </is>
      </c>
      <c r="L339" s="97" t="inlineStr">
        <is>
          <t>N/A</t>
        </is>
      </c>
      <c r="M339" s="97" t="n">
        <v>42</v>
      </c>
      <c r="N339" s="97" t="inlineStr">
        <is>
          <t>N</t>
        </is>
      </c>
      <c r="O339" s="97" t="n">
        <v>30.06</v>
      </c>
      <c r="P339" s="97" t="inlineStr">
        <is>
          <t>N</t>
        </is>
      </c>
      <c r="Q339" s="97" t="inlineStr">
        <is>
          <t>N/A</t>
        </is>
      </c>
      <c r="R339" s="97" t="inlineStr">
        <is>
          <t>N</t>
        </is>
      </c>
      <c r="S339" s="97" t="n">
        <v>-2.6</v>
      </c>
      <c r="T339" s="97" t="n">
        <v>-5.7</v>
      </c>
      <c r="U339" s="97" t="inlineStr">
        <is>
          <t>N</t>
        </is>
      </c>
      <c r="V339" s="97" t="n">
        <v>61.3</v>
      </c>
      <c r="W339" s="97" t="n">
        <v>24.7</v>
      </c>
      <c r="X339" s="97" t="n">
        <v>5.99</v>
      </c>
      <c r="Y339" s="97" t="n">
        <v>672.5</v>
      </c>
      <c r="Z339" s="97" t="n">
        <v>3</v>
      </c>
      <c r="AA339" s="92" t="inlineStr">
        <is>
          <t>AVOID</t>
        </is>
      </c>
    </row>
    <row r="340">
      <c r="A340" s="99" t="inlineStr">
        <is>
          <t>LT</t>
        </is>
      </c>
      <c r="B340" s="99" t="inlineStr">
        <is>
          <t>Larsen &amp; Toubro Ltd.</t>
        </is>
      </c>
      <c r="C340" s="99" t="inlineStr">
        <is>
          <t>Construction</t>
        </is>
      </c>
      <c r="D340" s="99" t="inlineStr">
        <is>
          <t>Large/Midcap</t>
        </is>
      </c>
      <c r="E340" s="99" t="n">
        <v>3806</v>
      </c>
      <c r="F340" s="99" t="n">
        <v>0.54</v>
      </c>
      <c r="G340" s="99" t="n">
        <v>1454211</v>
      </c>
      <c r="H340" s="99" t="n">
        <v>0.98</v>
      </c>
      <c r="I340" s="99" t="n">
        <v>523602</v>
      </c>
      <c r="J340" s="99" t="inlineStr">
        <is>
          <t>Y</t>
        </is>
      </c>
      <c r="K340" s="99" t="inlineStr">
        <is>
          <t>N</t>
        </is>
      </c>
      <c r="L340" s="99" t="inlineStr">
        <is>
          <t>N</t>
        </is>
      </c>
      <c r="M340" s="99" t="n">
        <v>31</v>
      </c>
      <c r="N340" s="99" t="inlineStr">
        <is>
          <t>N</t>
        </is>
      </c>
      <c r="O340" s="99" t="n">
        <v>66.29000000000001</v>
      </c>
      <c r="P340" s="99" t="inlineStr">
        <is>
          <t>N</t>
        </is>
      </c>
      <c r="Q340" s="99" t="inlineStr">
        <is>
          <t>N/A</t>
        </is>
      </c>
      <c r="R340" s="99" t="inlineStr">
        <is>
          <t>N</t>
        </is>
      </c>
      <c r="S340" s="99" t="n">
        <v>-9.5</v>
      </c>
      <c r="T340" s="99" t="n">
        <v>-3.9</v>
      </c>
      <c r="U340" s="99" t="inlineStr">
        <is>
          <t>N</t>
        </is>
      </c>
      <c r="V340" s="99" t="n">
        <v>32.4</v>
      </c>
      <c r="W340" s="99" t="n">
        <v>17</v>
      </c>
      <c r="X340" s="99" t="n">
        <v>97.64</v>
      </c>
      <c r="Y340" s="99" t="n">
        <v>65.59999999999999</v>
      </c>
      <c r="Z340" s="99" t="n">
        <v>3</v>
      </c>
      <c r="AA340" s="94" t="inlineStr">
        <is>
          <t>AVOID</t>
        </is>
      </c>
    </row>
    <row r="341">
      <c r="A341" s="97" t="inlineStr">
        <is>
          <t>MMTC</t>
        </is>
      </c>
      <c r="B341" s="97" t="inlineStr">
        <is>
          <t>MMTC Ltd.</t>
        </is>
      </c>
      <c r="C341" s="97" t="inlineStr">
        <is>
          <t>Services</t>
        </is>
      </c>
      <c r="D341" s="97" t="inlineStr">
        <is>
          <t>NSE Smallcap</t>
        </is>
      </c>
      <c r="E341" s="97" t="n">
        <v>61.52</v>
      </c>
      <c r="F341" s="97" t="n">
        <v>-0.68</v>
      </c>
      <c r="G341" s="97" t="n">
        <v>1489504</v>
      </c>
      <c r="H341" s="97" t="n">
        <v>1.32</v>
      </c>
      <c r="I341" s="97" t="n">
        <v>9249</v>
      </c>
      <c r="J341" s="97" t="inlineStr">
        <is>
          <t>Y</t>
        </is>
      </c>
      <c r="K341" s="97" t="inlineStr">
        <is>
          <t>N</t>
        </is>
      </c>
      <c r="L341" s="97" t="inlineStr">
        <is>
          <t>N</t>
        </is>
      </c>
      <c r="M341" s="97" t="n">
        <v>23.9</v>
      </c>
      <c r="N341" s="97" t="inlineStr">
        <is>
          <t>N</t>
        </is>
      </c>
      <c r="O341" s="97" t="n">
        <v>1.64</v>
      </c>
      <c r="P341" s="97" t="inlineStr">
        <is>
          <t>N</t>
        </is>
      </c>
      <c r="Q341" s="97" t="inlineStr">
        <is>
          <t>N/A</t>
        </is>
      </c>
      <c r="R341" s="97" t="inlineStr">
        <is>
          <t>N</t>
        </is>
      </c>
      <c r="S341" s="97" t="n">
        <v>-10.1</v>
      </c>
      <c r="T341" s="97" t="n">
        <v>-5.7</v>
      </c>
      <c r="U341" s="97" t="inlineStr">
        <is>
          <t>N</t>
        </is>
      </c>
      <c r="V341" s="97" t="n">
        <v>23.9</v>
      </c>
      <c r="W341" s="97" t="n">
        <v>20.3</v>
      </c>
      <c r="X341" s="97" t="n">
        <v>0.11</v>
      </c>
      <c r="Y341" s="97" t="n">
        <v>172.4</v>
      </c>
      <c r="Z341" s="97" t="n">
        <v>3</v>
      </c>
      <c r="AA341" s="92" t="inlineStr">
        <is>
          <t>AVOID</t>
        </is>
      </c>
    </row>
    <row r="342">
      <c r="A342" s="99" t="inlineStr">
        <is>
          <t>MUTHOOTFIN</t>
        </is>
      </c>
      <c r="B342" s="99" t="inlineStr">
        <is>
          <t>Muthoot Finance Ltd.</t>
        </is>
      </c>
      <c r="C342" s="99" t="inlineStr">
        <is>
          <t>Financial Services</t>
        </is>
      </c>
      <c r="D342" s="99" t="inlineStr">
        <is>
          <t>Large/Midcap</t>
        </is>
      </c>
      <c r="E342" s="99" t="n">
        <v>3025.9</v>
      </c>
      <c r="F342" s="99" t="n">
        <v>1.31</v>
      </c>
      <c r="G342" s="99" t="n">
        <v>517845</v>
      </c>
      <c r="H342" s="99" t="n">
        <v>0.83</v>
      </c>
      <c r="I342" s="99" t="n">
        <v>121480</v>
      </c>
      <c r="J342" s="99" t="inlineStr">
        <is>
          <t>Y</t>
        </is>
      </c>
      <c r="K342" s="99" t="inlineStr">
        <is>
          <t>N</t>
        </is>
      </c>
      <c r="L342" s="99" t="inlineStr">
        <is>
          <t>N</t>
        </is>
      </c>
      <c r="M342" s="99" t="n">
        <v>40.4</v>
      </c>
      <c r="N342" s="99" t="inlineStr">
        <is>
          <t>N</t>
        </is>
      </c>
      <c r="O342" s="99" t="n">
        <v>82.51000000000001</v>
      </c>
      <c r="P342" s="99" t="inlineStr">
        <is>
          <t>N</t>
        </is>
      </c>
      <c r="Q342" s="99" t="inlineStr">
        <is>
          <t>N/A</t>
        </is>
      </c>
      <c r="R342" s="99" t="inlineStr">
        <is>
          <t>N</t>
        </is>
      </c>
      <c r="S342" s="99" t="n">
        <v>0.3</v>
      </c>
      <c r="T342" s="99" t="n">
        <v>-11.2</v>
      </c>
      <c r="U342" s="99" t="inlineStr">
        <is>
          <t>N</t>
        </is>
      </c>
      <c r="V342" s="99" t="n">
        <v>11.3</v>
      </c>
      <c r="W342" s="99" t="n">
        <v>30.4</v>
      </c>
      <c r="X342" s="99" t="n">
        <v>379.71</v>
      </c>
      <c r="Y342" s="99" t="n">
        <v>19.5</v>
      </c>
      <c r="Z342" s="99" t="n">
        <v>3</v>
      </c>
      <c r="AA342" s="94" t="inlineStr">
        <is>
          <t>AVOID</t>
        </is>
      </c>
    </row>
    <row r="343">
      <c r="A343" s="97" t="inlineStr">
        <is>
          <t>NATCOPHARM</t>
        </is>
      </c>
      <c r="B343" s="97" t="inlineStr">
        <is>
          <t>NATCO Pharma Ltd.</t>
        </is>
      </c>
      <c r="C343" s="97" t="inlineStr">
        <is>
          <t>Healthcare</t>
        </is>
      </c>
      <c r="D343" s="97" t="inlineStr">
        <is>
          <t>BSE Smallcap</t>
        </is>
      </c>
      <c r="E343" s="97" t="n">
        <v>927.1</v>
      </c>
      <c r="F343" s="97" t="n">
        <v>0.61</v>
      </c>
      <c r="G343" s="97" t="n">
        <v>230818</v>
      </c>
      <c r="H343" s="97" t="n">
        <v>0.77</v>
      </c>
      <c r="I343" s="97" t="n">
        <v>16605</v>
      </c>
      <c r="J343" s="97" t="inlineStr">
        <is>
          <t>Y</t>
        </is>
      </c>
      <c r="K343" s="97" t="inlineStr">
        <is>
          <t>N</t>
        </is>
      </c>
      <c r="L343" s="97" t="inlineStr">
        <is>
          <t>N</t>
        </is>
      </c>
      <c r="M343" s="97" t="n">
        <v>31.4</v>
      </c>
      <c r="N343" s="97" t="inlineStr">
        <is>
          <t>N</t>
        </is>
      </c>
      <c r="O343" s="97" t="n">
        <v>26.57</v>
      </c>
      <c r="P343" s="97" t="inlineStr">
        <is>
          <t>N</t>
        </is>
      </c>
      <c r="Q343" s="97" t="inlineStr">
        <is>
          <t>N/A</t>
        </is>
      </c>
      <c r="R343" s="97" t="inlineStr">
        <is>
          <t>N</t>
        </is>
      </c>
      <c r="S343" s="97" t="n">
        <v>2.8</v>
      </c>
      <c r="T343" s="97" t="n">
        <v>-15</v>
      </c>
      <c r="U343" s="97" t="inlineStr">
        <is>
          <t>N</t>
        </is>
      </c>
      <c r="V343" s="97" t="n">
        <v>11.7</v>
      </c>
      <c r="W343" s="97" t="n">
        <v>16.9</v>
      </c>
      <c r="X343" s="97" t="n">
        <v>7.74</v>
      </c>
      <c r="Y343" s="97" t="n">
        <v>76.8</v>
      </c>
      <c r="Z343" s="97" t="n">
        <v>3</v>
      </c>
      <c r="AA343" s="92" t="inlineStr">
        <is>
          <t>AVOID</t>
        </is>
      </c>
    </row>
    <row r="344">
      <c r="A344" s="99" t="inlineStr">
        <is>
          <t>NSLNISP</t>
        </is>
      </c>
      <c r="B344" s="99" t="inlineStr">
        <is>
          <t>NMDC Steel Ltd.</t>
        </is>
      </c>
      <c r="C344" s="99" t="inlineStr">
        <is>
          <t>Metals &amp; Mining</t>
        </is>
      </c>
      <c r="D344" s="99" t="inlineStr">
        <is>
          <t>BSE Smallcap</t>
        </is>
      </c>
      <c r="E344" s="99" t="n">
        <v>41.41</v>
      </c>
      <c r="F344" s="99" t="n">
        <v>-0.58</v>
      </c>
      <c r="G344" s="99" t="n">
        <v>4399097</v>
      </c>
      <c r="H344" s="99" t="n">
        <v>2.06</v>
      </c>
      <c r="I344" s="99" t="n">
        <v>12353</v>
      </c>
      <c r="J344" s="99" t="inlineStr">
        <is>
          <t>Y</t>
        </is>
      </c>
      <c r="K344" s="99" t="inlineStr">
        <is>
          <t>N</t>
        </is>
      </c>
      <c r="L344" s="99" t="inlineStr">
        <is>
          <t>N</t>
        </is>
      </c>
      <c r="M344" s="99" t="n">
        <v>23.7</v>
      </c>
      <c r="N344" s="99" t="inlineStr">
        <is>
          <t>N</t>
        </is>
      </c>
      <c r="O344" s="99" t="n">
        <v>0.92</v>
      </c>
      <c r="P344" s="99" t="inlineStr">
        <is>
          <t>Y</t>
        </is>
      </c>
      <c r="Q344" s="99" t="inlineStr">
        <is>
          <t>N/A</t>
        </is>
      </c>
      <c r="R344" s="99" t="inlineStr">
        <is>
          <t>N</t>
        </is>
      </c>
      <c r="S344" s="99" t="n">
        <v>-4.9</v>
      </c>
      <c r="T344" s="99" t="n">
        <v>-2.2</v>
      </c>
      <c r="U344" s="99" t="inlineStr">
        <is>
          <t>N</t>
        </is>
      </c>
      <c r="V344" s="99" t="n">
        <v>210.8</v>
      </c>
      <c r="W344" s="99" t="n">
        <v>0.4</v>
      </c>
      <c r="X344" s="99" t="n">
        <v>35.02</v>
      </c>
      <c r="Y344" s="99" t="n">
        <v>260.6</v>
      </c>
      <c r="Z344" s="99" t="n">
        <v>3</v>
      </c>
      <c r="AA344" s="94" t="inlineStr">
        <is>
          <t>AVOID</t>
        </is>
      </c>
    </row>
    <row r="345">
      <c r="A345" s="97" t="inlineStr">
        <is>
          <t>NTPCGREEN</t>
        </is>
      </c>
      <c r="B345" s="97" t="inlineStr">
        <is>
          <t>NTPC Green Energy Ltd.</t>
        </is>
      </c>
      <c r="C345" s="97" t="inlineStr">
        <is>
          <t>Power</t>
        </is>
      </c>
      <c r="D345" s="97" t="inlineStr">
        <is>
          <t>Large/Midcap</t>
        </is>
      </c>
      <c r="E345" s="97" t="n">
        <v>93.69</v>
      </c>
      <c r="F345" s="97" t="n">
        <v>-2.73</v>
      </c>
      <c r="G345" s="97" t="n">
        <v>7973373</v>
      </c>
      <c r="H345" s="97" t="n">
        <v>0.19</v>
      </c>
      <c r="I345" s="97" t="n">
        <v>78946</v>
      </c>
      <c r="J345" s="97" t="inlineStr">
        <is>
          <t>Y</t>
        </is>
      </c>
      <c r="K345" s="97" t="inlineStr">
        <is>
          <t>N</t>
        </is>
      </c>
      <c r="L345" s="97" t="inlineStr">
        <is>
          <t>N</t>
        </is>
      </c>
      <c r="M345" s="97" t="n">
        <v>53.2</v>
      </c>
      <c r="N345" s="97" t="inlineStr">
        <is>
          <t>Y</t>
        </is>
      </c>
      <c r="O345" s="97" t="n">
        <v>2.63</v>
      </c>
      <c r="P345" s="97" t="inlineStr">
        <is>
          <t>N</t>
        </is>
      </c>
      <c r="Q345" s="97" t="inlineStr">
        <is>
          <t>N/A</t>
        </is>
      </c>
      <c r="R345" s="97" t="inlineStr">
        <is>
          <t>N</t>
        </is>
      </c>
      <c r="S345" s="97" t="n">
        <v>-1.9</v>
      </c>
      <c r="T345" s="97" t="n">
        <v>-14.3</v>
      </c>
      <c r="U345" s="97" t="inlineStr">
        <is>
          <t>N</t>
        </is>
      </c>
      <c r="V345" s="97" t="n">
        <v>156.2</v>
      </c>
      <c r="W345" s="97" t="inlineStr">
        <is>
          <t>N/A</t>
        </is>
      </c>
      <c r="X345" s="97" t="n">
        <v>165.28</v>
      </c>
      <c r="Y345" s="97" t="n">
        <v>1027.3</v>
      </c>
      <c r="Z345" s="97" t="n">
        <v>3</v>
      </c>
      <c r="AA345" s="92" t="inlineStr">
        <is>
          <t>AVOID</t>
        </is>
      </c>
    </row>
    <row r="346">
      <c r="A346" s="99" t="inlineStr">
        <is>
          <t>NATIONALUM</t>
        </is>
      </c>
      <c r="B346" s="99" t="inlineStr">
        <is>
          <t>National Aluminium Co. Ltd.</t>
        </is>
      </c>
      <c r="C346" s="99" t="inlineStr">
        <is>
          <t>Metals &amp; Mining</t>
        </is>
      </c>
      <c r="D346" s="99" t="inlineStr">
        <is>
          <t>Large/Midcap</t>
        </is>
      </c>
      <c r="E346" s="99" t="n">
        <v>339.35</v>
      </c>
      <c r="F346" s="99" t="n">
        <v>-1.32</v>
      </c>
      <c r="G346" s="99" t="n">
        <v>3868006</v>
      </c>
      <c r="H346" s="99" t="n">
        <v>1.03</v>
      </c>
      <c r="I346" s="99" t="n">
        <v>62326</v>
      </c>
      <c r="J346" s="99" t="inlineStr">
        <is>
          <t>Y</t>
        </is>
      </c>
      <c r="K346" s="99" t="inlineStr">
        <is>
          <t>N</t>
        </is>
      </c>
      <c r="L346" s="99" t="inlineStr">
        <is>
          <t>N</t>
        </is>
      </c>
      <c r="M346" s="99" t="n">
        <v>47.4</v>
      </c>
      <c r="N346" s="99" t="inlineStr">
        <is>
          <t>N</t>
        </is>
      </c>
      <c r="O346" s="99" t="n">
        <v>9.890000000000001</v>
      </c>
      <c r="P346" s="99" t="inlineStr">
        <is>
          <t>N</t>
        </is>
      </c>
      <c r="Q346" s="99" t="inlineStr">
        <is>
          <t>N/A</t>
        </is>
      </c>
      <c r="R346" s="99" t="inlineStr">
        <is>
          <t>N</t>
        </is>
      </c>
      <c r="S346" s="99" t="n">
        <v>2.4</v>
      </c>
      <c r="T346" s="99" t="n">
        <v>-14.2</v>
      </c>
      <c r="U346" s="99" t="inlineStr">
        <is>
          <t>N</t>
        </is>
      </c>
      <c r="V346" s="99" t="n">
        <v>10.3</v>
      </c>
      <c r="W346" s="99" t="n">
        <v>29.4</v>
      </c>
      <c r="X346" s="99" t="n">
        <v>0.28</v>
      </c>
      <c r="Y346" s="99" t="n">
        <v>11.6</v>
      </c>
      <c r="Z346" s="99" t="n">
        <v>3</v>
      </c>
      <c r="AA346" s="94" t="inlineStr">
        <is>
          <t>AVOID</t>
        </is>
      </c>
    </row>
    <row r="347">
      <c r="A347" s="97" t="inlineStr">
        <is>
          <t>NESTLEIND</t>
        </is>
      </c>
      <c r="B347" s="97" t="inlineStr">
        <is>
          <t>Nestle India Ltd.</t>
        </is>
      </c>
      <c r="C347" s="97" t="inlineStr">
        <is>
          <t>Fast Moving Consumer Goods</t>
        </is>
      </c>
      <c r="D347" s="97" t="inlineStr">
        <is>
          <t>Large/Midcap</t>
        </is>
      </c>
      <c r="E347" s="97" t="n">
        <v>1443.5</v>
      </c>
      <c r="F347" s="97" t="n">
        <v>-0.3</v>
      </c>
      <c r="G347" s="97" t="n">
        <v>3041475</v>
      </c>
      <c r="H347" s="97" t="n">
        <v>0.85</v>
      </c>
      <c r="I347" s="97" t="n">
        <v>278854</v>
      </c>
      <c r="J347" s="97" t="inlineStr">
        <is>
          <t>Y</t>
        </is>
      </c>
      <c r="K347" s="97" t="inlineStr">
        <is>
          <t>Y</t>
        </is>
      </c>
      <c r="L347" s="97" t="inlineStr">
        <is>
          <t>Y</t>
        </is>
      </c>
      <c r="M347" s="97" t="n">
        <v>43.9</v>
      </c>
      <c r="N347" s="97" t="inlineStr">
        <is>
          <t>N</t>
        </is>
      </c>
      <c r="O347" s="97" t="n">
        <v>32.31</v>
      </c>
      <c r="P347" s="97" t="inlineStr">
        <is>
          <t>N</t>
        </is>
      </c>
      <c r="Q347" s="97" t="inlineStr">
        <is>
          <t>N/A</t>
        </is>
      </c>
      <c r="R347" s="97" t="inlineStr">
        <is>
          <t>N</t>
        </is>
      </c>
      <c r="S347" s="97" t="n">
        <v>3.7</v>
      </c>
      <c r="T347" s="97" t="n">
        <v>-0.6</v>
      </c>
      <c r="U347" s="97" t="inlineStr">
        <is>
          <t>N</t>
        </is>
      </c>
      <c r="V347" s="97" t="n">
        <v>73.09999999999999</v>
      </c>
      <c r="W347" s="97" t="inlineStr">
        <is>
          <t>N/A</t>
        </is>
      </c>
      <c r="X347" s="97" t="n">
        <v>8.619999999999999</v>
      </c>
      <c r="Y347" s="97" t="n">
        <v>-4</v>
      </c>
      <c r="Z347" s="97" t="n">
        <v>3</v>
      </c>
      <c r="AA347" s="92" t="inlineStr">
        <is>
          <t>AVOID</t>
        </is>
      </c>
    </row>
    <row r="348">
      <c r="A348" s="99" t="inlineStr">
        <is>
          <t>PIIND</t>
        </is>
      </c>
      <c r="B348" s="99" t="inlineStr">
        <is>
          <t>PI Industries Ltd.</t>
        </is>
      </c>
      <c r="C348" s="99" t="inlineStr">
        <is>
          <t>Chemicals</t>
        </is>
      </c>
      <c r="D348" s="99" t="inlineStr">
        <is>
          <t>Large/Midcap</t>
        </is>
      </c>
      <c r="E348" s="99" t="n">
        <v>2742.6</v>
      </c>
      <c r="F348" s="99" t="n">
        <v>0.42</v>
      </c>
      <c r="G348" s="99" t="n">
        <v>72244</v>
      </c>
      <c r="H348" s="99" t="n">
        <v>0.23</v>
      </c>
      <c r="I348" s="99" t="n">
        <v>41607</v>
      </c>
      <c r="J348" s="99" t="inlineStr">
        <is>
          <t>Y</t>
        </is>
      </c>
      <c r="K348" s="99" t="inlineStr">
        <is>
          <t>Y</t>
        </is>
      </c>
      <c r="L348" s="99" t="inlineStr">
        <is>
          <t>N</t>
        </is>
      </c>
      <c r="M348" s="99" t="n">
        <v>60.5</v>
      </c>
      <c r="N348" s="99" t="inlineStr">
        <is>
          <t>Y</t>
        </is>
      </c>
      <c r="O348" s="99" t="n">
        <v>56.84</v>
      </c>
      <c r="P348" s="99" t="inlineStr">
        <is>
          <t>N</t>
        </is>
      </c>
      <c r="Q348" s="99" t="inlineStr">
        <is>
          <t>N/A</t>
        </is>
      </c>
      <c r="R348" s="99" t="inlineStr">
        <is>
          <t>N</t>
        </is>
      </c>
      <c r="S348" s="99" t="n">
        <v>2.4</v>
      </c>
      <c r="T348" s="99" t="n">
        <v>-9.800000000000001</v>
      </c>
      <c r="U348" s="99" t="inlineStr">
        <is>
          <t>N</t>
        </is>
      </c>
      <c r="V348" s="99" t="n">
        <v>31.3</v>
      </c>
      <c r="W348" s="99" t="n">
        <v>12.4</v>
      </c>
      <c r="X348" s="99" t="n">
        <v>3.05</v>
      </c>
      <c r="Y348" s="99" t="n">
        <v>-35.7</v>
      </c>
      <c r="Z348" s="99" t="n">
        <v>3</v>
      </c>
      <c r="AA348" s="94" t="inlineStr">
        <is>
          <t>AVOID</t>
        </is>
      </c>
    </row>
    <row r="349">
      <c r="A349" s="97" t="inlineStr">
        <is>
          <t>PETRONET</t>
        </is>
      </c>
      <c r="B349" s="97" t="inlineStr">
        <is>
          <t>Petronet LNG Ltd.</t>
        </is>
      </c>
      <c r="C349" s="97" t="inlineStr">
        <is>
          <t>Oil Gas &amp; Consumable Fuels</t>
        </is>
      </c>
      <c r="D349" s="97" t="inlineStr">
        <is>
          <t>Large/Midcap</t>
        </is>
      </c>
      <c r="E349" s="97" t="n">
        <v>274.7</v>
      </c>
      <c r="F349" s="97" t="n">
        <v>1.95</v>
      </c>
      <c r="G349" s="97" t="n">
        <v>2466930</v>
      </c>
      <c r="H349" s="97" t="n">
        <v>0.86</v>
      </c>
      <c r="I349" s="97" t="n">
        <v>40935</v>
      </c>
      <c r="J349" s="97" t="inlineStr">
        <is>
          <t>Y</t>
        </is>
      </c>
      <c r="K349" s="97" t="inlineStr">
        <is>
          <t>N</t>
        </is>
      </c>
      <c r="L349" s="97" t="inlineStr">
        <is>
          <t>N</t>
        </is>
      </c>
      <c r="M349" s="97" t="n">
        <v>49.2</v>
      </c>
      <c r="N349" s="97" t="inlineStr">
        <is>
          <t>N</t>
        </is>
      </c>
      <c r="O349" s="97" t="n">
        <v>6.39</v>
      </c>
      <c r="P349" s="97" t="inlineStr">
        <is>
          <t>N</t>
        </is>
      </c>
      <c r="Q349" s="97" t="inlineStr">
        <is>
          <t>N/A</t>
        </is>
      </c>
      <c r="R349" s="97" t="inlineStr">
        <is>
          <t>N</t>
        </is>
      </c>
      <c r="S349" s="97" t="n">
        <v>-2.4</v>
      </c>
      <c r="T349" s="97" t="n">
        <v>-0.4</v>
      </c>
      <c r="U349" s="97" t="inlineStr">
        <is>
          <t>N</t>
        </is>
      </c>
      <c r="V349" s="97" t="n">
        <v>10.5</v>
      </c>
      <c r="W349" s="97" t="n">
        <v>18.6</v>
      </c>
      <c r="X349" s="97" t="n">
        <v>10.51</v>
      </c>
      <c r="Y349" s="97" t="n">
        <v>57.6</v>
      </c>
      <c r="Z349" s="97" t="n">
        <v>3</v>
      </c>
      <c r="AA349" s="92" t="inlineStr">
        <is>
          <t>AVOID</t>
        </is>
      </c>
    </row>
    <row r="350">
      <c r="A350" s="99" t="inlineStr">
        <is>
          <t>PWL</t>
        </is>
      </c>
      <c r="B350" s="99" t="inlineStr">
        <is>
          <t>Physicswallah Ltd.</t>
        </is>
      </c>
      <c r="C350" s="99" t="inlineStr">
        <is>
          <t>Consumer Services</t>
        </is>
      </c>
      <c r="D350" s="99" t="inlineStr">
        <is>
          <t>BSE Smallcap</t>
        </is>
      </c>
      <c r="E350" s="99" t="n">
        <v>128.05</v>
      </c>
      <c r="F350" s="99" t="n">
        <v>-3.9</v>
      </c>
      <c r="G350" s="99" t="n">
        <v>12191137</v>
      </c>
      <c r="H350" s="99" t="n">
        <v>3.99</v>
      </c>
      <c r="I350" s="99" t="n">
        <v>35200</v>
      </c>
      <c r="J350" s="99" t="inlineStr">
        <is>
          <t>Y</t>
        </is>
      </c>
      <c r="K350" s="99" t="inlineStr">
        <is>
          <t>Y</t>
        </is>
      </c>
      <c r="L350" s="99" t="inlineStr">
        <is>
          <t>N/A</t>
        </is>
      </c>
      <c r="M350" s="99" t="n">
        <v>42.9</v>
      </c>
      <c r="N350" s="99" t="inlineStr">
        <is>
          <t>N</t>
        </is>
      </c>
      <c r="O350" s="99" t="n">
        <v>8.31</v>
      </c>
      <c r="P350" s="99" t="inlineStr">
        <is>
          <t>N</t>
        </is>
      </c>
      <c r="Q350" s="99" t="inlineStr">
        <is>
          <t>N/A</t>
        </is>
      </c>
      <c r="R350" s="99" t="inlineStr">
        <is>
          <t>N</t>
        </is>
      </c>
      <c r="S350" s="99" t="n">
        <v>2.4</v>
      </c>
      <c r="T350" s="99" t="n">
        <v>16.1</v>
      </c>
      <c r="U350" s="99" t="inlineStr">
        <is>
          <t>Y</t>
        </is>
      </c>
      <c r="V350" s="99" t="inlineStr">
        <is>
          <t>N/A</t>
        </is>
      </c>
      <c r="W350" s="99" t="n">
        <v>-0.8</v>
      </c>
      <c r="X350" s="99" t="n">
        <v>23.02</v>
      </c>
      <c r="Y350" s="99" t="n">
        <v>-174.5</v>
      </c>
      <c r="Z350" s="99" t="n">
        <v>3</v>
      </c>
      <c r="AA350" s="94" t="inlineStr">
        <is>
          <t>AVOID</t>
        </is>
      </c>
    </row>
    <row r="351">
      <c r="A351" s="97" t="inlineStr">
        <is>
          <t>PINELABS</t>
        </is>
      </c>
      <c r="B351" s="97" t="inlineStr">
        <is>
          <t>Pine Labs Ltd.</t>
        </is>
      </c>
      <c r="C351" s="97" t="inlineStr">
        <is>
          <t>Financial Services</t>
        </is>
      </c>
      <c r="D351" s="97" t="inlineStr">
        <is>
          <t>BSE Smallcap</t>
        </is>
      </c>
      <c r="E351" s="97" t="n">
        <v>148.94</v>
      </c>
      <c r="F351" s="97" t="n">
        <v>2.24</v>
      </c>
      <c r="G351" s="97" t="n">
        <v>5482549</v>
      </c>
      <c r="H351" s="97" t="n">
        <v>0.7</v>
      </c>
      <c r="I351" s="97" t="n">
        <v>17186</v>
      </c>
      <c r="J351" s="97" t="inlineStr">
        <is>
          <t>Y</t>
        </is>
      </c>
      <c r="K351" s="97" t="inlineStr">
        <is>
          <t>N</t>
        </is>
      </c>
      <c r="L351" s="97" t="inlineStr">
        <is>
          <t>N/A</t>
        </is>
      </c>
      <c r="M351" s="97" t="n">
        <v>51.3</v>
      </c>
      <c r="N351" s="97" t="inlineStr">
        <is>
          <t>Y</t>
        </is>
      </c>
      <c r="O351" s="97" t="n">
        <v>5.59</v>
      </c>
      <c r="P351" s="97" t="inlineStr">
        <is>
          <t>N</t>
        </is>
      </c>
      <c r="Q351" s="97" t="inlineStr">
        <is>
          <t>N/A</t>
        </is>
      </c>
      <c r="R351" s="97" t="inlineStr">
        <is>
          <t>N</t>
        </is>
      </c>
      <c r="S351" s="97" t="n">
        <v>-6.7</v>
      </c>
      <c r="T351" s="97" t="n">
        <v>-22.7</v>
      </c>
      <c r="U351" s="97" t="inlineStr">
        <is>
          <t>N</t>
        </is>
      </c>
      <c r="V351" s="97" t="n">
        <v>146</v>
      </c>
      <c r="W351" s="97" t="n">
        <v>2.4</v>
      </c>
      <c r="X351" s="97" t="n">
        <v>7.47</v>
      </c>
      <c r="Y351" s="97" t="n">
        <v>40</v>
      </c>
      <c r="Z351" s="97" t="n">
        <v>3</v>
      </c>
      <c r="AA351" s="92" t="inlineStr">
        <is>
          <t>AVOID</t>
        </is>
      </c>
    </row>
    <row r="352">
      <c r="A352" s="99" t="inlineStr">
        <is>
          <t>PIRAMALFIN</t>
        </is>
      </c>
      <c r="B352" s="99" t="inlineStr">
        <is>
          <t>Piramal Finance Ltd.</t>
        </is>
      </c>
      <c r="C352" s="99" t="inlineStr">
        <is>
          <t>Financial Services</t>
        </is>
      </c>
      <c r="D352" s="99" t="inlineStr">
        <is>
          <t>NSE Smallcap</t>
        </is>
      </c>
      <c r="E352" s="99" t="n">
        <v>2085.4</v>
      </c>
      <c r="F352" s="99" t="n">
        <v>-0.98</v>
      </c>
      <c r="G352" s="99" t="n">
        <v>204392</v>
      </c>
      <c r="H352" s="99" t="n">
        <v>0.8100000000000001</v>
      </c>
      <c r="I352" s="99" t="n">
        <v>46213</v>
      </c>
      <c r="J352" s="99" t="inlineStr">
        <is>
          <t>Y</t>
        </is>
      </c>
      <c r="K352" s="99" t="inlineStr">
        <is>
          <t>Y</t>
        </is>
      </c>
      <c r="L352" s="99" t="inlineStr">
        <is>
          <t>N/A</t>
        </is>
      </c>
      <c r="M352" s="99" t="n">
        <v>37.2</v>
      </c>
      <c r="N352" s="99" t="inlineStr">
        <is>
          <t>N</t>
        </is>
      </c>
      <c r="O352" s="99" t="n">
        <v>67.17</v>
      </c>
      <c r="P352" s="99" t="inlineStr">
        <is>
          <t>N</t>
        </is>
      </c>
      <c r="Q352" s="99" t="inlineStr">
        <is>
          <t>N/A</t>
        </is>
      </c>
      <c r="R352" s="99" t="inlineStr">
        <is>
          <t>N</t>
        </is>
      </c>
      <c r="S352" s="99" t="n">
        <v>-1.9</v>
      </c>
      <c r="T352" s="99" t="n">
        <v>4.6</v>
      </c>
      <c r="U352" s="99" t="inlineStr">
        <is>
          <t>Y</t>
        </is>
      </c>
      <c r="V352" s="99" t="n">
        <v>27.4</v>
      </c>
      <c r="W352" s="99" t="inlineStr">
        <is>
          <t>N/A</t>
        </is>
      </c>
      <c r="X352" s="99" t="n">
        <v>285.78</v>
      </c>
      <c r="Y352" s="99" t="n">
        <v>-8.300000000000001</v>
      </c>
      <c r="Z352" s="99" t="n">
        <v>3</v>
      </c>
      <c r="AA352" s="94" t="inlineStr">
        <is>
          <t>AVOID</t>
        </is>
      </c>
    </row>
    <row r="353">
      <c r="A353" s="97" t="inlineStr">
        <is>
          <t>RBLBANK</t>
        </is>
      </c>
      <c r="B353" s="97" t="inlineStr">
        <is>
          <t>RBL Bank Ltd.</t>
        </is>
      </c>
      <c r="C353" s="97" t="inlineStr">
        <is>
          <t>Financial Services</t>
        </is>
      </c>
      <c r="D353" s="97" t="inlineStr">
        <is>
          <t>BSE Smallcap</t>
        </is>
      </c>
      <c r="E353" s="97" t="n">
        <v>352.9</v>
      </c>
      <c r="F353" s="97" t="n">
        <v>-0.27</v>
      </c>
      <c r="G353" s="97" t="n">
        <v>2705750</v>
      </c>
      <c r="H353" s="97" t="n">
        <v>0.64</v>
      </c>
      <c r="I353" s="97" t="n">
        <v>56189</v>
      </c>
      <c r="J353" s="97" t="inlineStr">
        <is>
          <t>Y</t>
        </is>
      </c>
      <c r="K353" s="97" t="inlineStr">
        <is>
          <t>N</t>
        </is>
      </c>
      <c r="L353" s="97" t="inlineStr">
        <is>
          <t>Y</t>
        </is>
      </c>
      <c r="M353" s="97" t="n">
        <v>40.4</v>
      </c>
      <c r="N353" s="97" t="inlineStr">
        <is>
          <t>N</t>
        </is>
      </c>
      <c r="O353" s="97" t="n">
        <v>10.55</v>
      </c>
      <c r="P353" s="97" t="inlineStr">
        <is>
          <t>N</t>
        </is>
      </c>
      <c r="Q353" s="97" t="inlineStr">
        <is>
          <t>N/A</t>
        </is>
      </c>
      <c r="R353" s="97" t="inlineStr">
        <is>
          <t>N</t>
        </is>
      </c>
      <c r="S353" s="97" t="n">
        <v>-4.6</v>
      </c>
      <c r="T353" s="97" t="n">
        <v>3.8</v>
      </c>
      <c r="U353" s="97" t="inlineStr">
        <is>
          <t>Y</t>
        </is>
      </c>
      <c r="V353" s="97" t="n">
        <v>30</v>
      </c>
      <c r="W353" s="97" t="inlineStr">
        <is>
          <t>N/A</t>
        </is>
      </c>
      <c r="X353" s="97" t="inlineStr">
        <is>
          <t>N/A</t>
        </is>
      </c>
      <c r="Y353" s="97" t="n">
        <v>-4.2</v>
      </c>
      <c r="Z353" s="97" t="n">
        <v>3</v>
      </c>
      <c r="AA353" s="92" t="inlineStr">
        <is>
          <t>AVOID</t>
        </is>
      </c>
    </row>
    <row r="354">
      <c r="A354" s="99" t="inlineStr">
        <is>
          <t>RHIM</t>
        </is>
      </c>
      <c r="B354" s="99" t="inlineStr">
        <is>
          <t>RHI MAGNESITA INDIA LTD.</t>
        </is>
      </c>
      <c r="C354" s="99" t="inlineStr">
        <is>
          <t>Capital Goods</t>
        </is>
      </c>
      <c r="D354" s="99" t="inlineStr">
        <is>
          <t>BSE Smallcap</t>
        </is>
      </c>
      <c r="E354" s="99" t="n">
        <v>398.95</v>
      </c>
      <c r="F354" s="99" t="n">
        <v>0.85</v>
      </c>
      <c r="G354" s="99" t="n">
        <v>745087</v>
      </c>
      <c r="H354" s="99" t="n">
        <v>1.15</v>
      </c>
      <c r="I354" s="99" t="n">
        <v>8282</v>
      </c>
      <c r="J354" s="99" t="inlineStr">
        <is>
          <t>Y</t>
        </is>
      </c>
      <c r="K354" s="99" t="inlineStr">
        <is>
          <t>Y</t>
        </is>
      </c>
      <c r="L354" s="99" t="inlineStr">
        <is>
          <t>N</t>
        </is>
      </c>
      <c r="M354" s="99" t="n">
        <v>59.2</v>
      </c>
      <c r="N354" s="99" t="inlineStr">
        <is>
          <t>Y</t>
        </is>
      </c>
      <c r="O354" s="99" t="n">
        <v>14.36</v>
      </c>
      <c r="P354" s="99" t="inlineStr">
        <is>
          <t>N</t>
        </is>
      </c>
      <c r="Q354" s="99" t="inlineStr">
        <is>
          <t>N/A</t>
        </is>
      </c>
      <c r="R354" s="99" t="inlineStr">
        <is>
          <t>N</t>
        </is>
      </c>
      <c r="S354" s="99" t="n">
        <v>6.3</v>
      </c>
      <c r="T354" s="99" t="n">
        <v>-2.2</v>
      </c>
      <c r="U354" s="99" t="inlineStr">
        <is>
          <t>N</t>
        </is>
      </c>
      <c r="V354" s="99" t="inlineStr">
        <is>
          <t>N/A</t>
        </is>
      </c>
      <c r="W354" s="99" t="n">
        <v>-10.1</v>
      </c>
      <c r="X354" s="99" t="n">
        <v>12.6</v>
      </c>
      <c r="Y354" s="99" t="n">
        <v>-941.7</v>
      </c>
      <c r="Z354" s="99" t="n">
        <v>3</v>
      </c>
      <c r="AA354" s="94" t="inlineStr">
        <is>
          <t>AVOID</t>
        </is>
      </c>
    </row>
    <row r="355">
      <c r="A355" s="97" t="inlineStr">
        <is>
          <t>SBFC</t>
        </is>
      </c>
      <c r="B355" s="97" t="inlineStr">
        <is>
          <t>SBFC Finance Ltd.</t>
        </is>
      </c>
      <c r="C355" s="97" t="inlineStr">
        <is>
          <t>Financial Services</t>
        </is>
      </c>
      <c r="D355" s="97" t="inlineStr">
        <is>
          <t>NSE Smallcap</t>
        </is>
      </c>
      <c r="E355" s="97" t="n">
        <v>92.18000000000001</v>
      </c>
      <c r="F355" s="97" t="n">
        <v>1.83</v>
      </c>
      <c r="G355" s="97" t="n">
        <v>696691</v>
      </c>
      <c r="H355" s="97" t="n">
        <v>1.09</v>
      </c>
      <c r="I355" s="97" t="n">
        <v>10001</v>
      </c>
      <c r="J355" s="97" t="inlineStr">
        <is>
          <t>Y</t>
        </is>
      </c>
      <c r="K355" s="97" t="inlineStr">
        <is>
          <t>Y</t>
        </is>
      </c>
      <c r="L355" s="97" t="inlineStr">
        <is>
          <t>N</t>
        </is>
      </c>
      <c r="M355" s="97" t="n">
        <v>48.7</v>
      </c>
      <c r="N355" s="97" t="inlineStr">
        <is>
          <t>N</t>
        </is>
      </c>
      <c r="O355" s="97" t="n">
        <v>1.97</v>
      </c>
      <c r="P355" s="97" t="inlineStr">
        <is>
          <t>N</t>
        </is>
      </c>
      <c r="Q355" s="97" t="inlineStr">
        <is>
          <t>N/A</t>
        </is>
      </c>
      <c r="R355" s="97" t="inlineStr">
        <is>
          <t>N</t>
        </is>
      </c>
      <c r="S355" s="97" t="n">
        <v>1.7</v>
      </c>
      <c r="T355" s="97" t="n">
        <v>-1.5</v>
      </c>
      <c r="U355" s="97" t="inlineStr">
        <is>
          <t>N</t>
        </is>
      </c>
      <c r="V355" s="97" t="n">
        <v>22</v>
      </c>
      <c r="W355" s="97" t="inlineStr">
        <is>
          <t>N/A</t>
        </is>
      </c>
      <c r="X355" s="97" t="n">
        <v>195.69</v>
      </c>
      <c r="Y355" s="97" t="n">
        <v>4</v>
      </c>
      <c r="Z355" s="97" t="n">
        <v>3</v>
      </c>
      <c r="AA355" s="92" t="inlineStr">
        <is>
          <t>AVOID</t>
        </is>
      </c>
    </row>
    <row r="356">
      <c r="A356" s="99" t="inlineStr">
        <is>
          <t>SAMMAANCAP</t>
        </is>
      </c>
      <c r="B356" s="99" t="inlineStr">
        <is>
          <t>Sammaan Capital Ltd.</t>
        </is>
      </c>
      <c r="C356" s="99" t="inlineStr">
        <is>
          <t>Financial Services</t>
        </is>
      </c>
      <c r="D356" s="99" t="inlineStr">
        <is>
          <t>BSE Smallcap</t>
        </is>
      </c>
      <c r="E356" s="99" t="n">
        <v>164.96</v>
      </c>
      <c r="F356" s="99" t="n">
        <v>2.69</v>
      </c>
      <c r="G356" s="99" t="n">
        <v>4635674</v>
      </c>
      <c r="H356" s="99" t="n">
        <v>0.5</v>
      </c>
      <c r="I356" s="99" t="n">
        <v>18949</v>
      </c>
      <c r="J356" s="99" t="inlineStr">
        <is>
          <t>Y</t>
        </is>
      </c>
      <c r="K356" s="99" t="inlineStr">
        <is>
          <t>N</t>
        </is>
      </c>
      <c r="L356" s="99" t="inlineStr">
        <is>
          <t>Y</t>
        </is>
      </c>
      <c r="M356" s="99" t="n">
        <v>44.5</v>
      </c>
      <c r="N356" s="99" t="inlineStr">
        <is>
          <t>N</t>
        </is>
      </c>
      <c r="O356" s="99" t="n">
        <v>4.8</v>
      </c>
      <c r="P356" s="99" t="inlineStr">
        <is>
          <t>N</t>
        </is>
      </c>
      <c r="Q356" s="99" t="inlineStr">
        <is>
          <t>N/A</t>
        </is>
      </c>
      <c r="R356" s="99" t="inlineStr">
        <is>
          <t>N</t>
        </is>
      </c>
      <c r="S356" s="99" t="n">
        <v>-2.6</v>
      </c>
      <c r="T356" s="99" t="n">
        <v>14.5</v>
      </c>
      <c r="U356" s="99" t="inlineStr">
        <is>
          <t>Y</t>
        </is>
      </c>
      <c r="V356" s="99" t="inlineStr">
        <is>
          <t>N/A</t>
        </is>
      </c>
      <c r="W356" s="99" t="n">
        <v>-35</v>
      </c>
      <c r="X356" s="99" t="n">
        <v>273.03</v>
      </c>
      <c r="Y356" s="99" t="n">
        <v>-2679.4</v>
      </c>
      <c r="Z356" s="99" t="n">
        <v>3</v>
      </c>
      <c r="AA356" s="94" t="inlineStr">
        <is>
          <t>AVOID</t>
        </is>
      </c>
    </row>
    <row r="357">
      <c r="A357" s="97" t="inlineStr">
        <is>
          <t>ENRIN</t>
        </is>
      </c>
      <c r="B357" s="97" t="inlineStr">
        <is>
          <t>Siemens Energy India Ltd.</t>
        </is>
      </c>
      <c r="C357" s="97" t="inlineStr">
        <is>
          <t>Capital Goods</t>
        </is>
      </c>
      <c r="D357" s="97" t="inlineStr">
        <is>
          <t>Large/Midcap</t>
        </is>
      </c>
      <c r="E357" s="97" t="n">
        <v>3240.2</v>
      </c>
      <c r="F357" s="97" t="n">
        <v>-2.6</v>
      </c>
      <c r="G357" s="97" t="n">
        <v>338787</v>
      </c>
      <c r="H357" s="97" t="n">
        <v>1.28</v>
      </c>
      <c r="I357" s="97" t="n">
        <v>116259</v>
      </c>
      <c r="J357" s="97" t="inlineStr">
        <is>
          <t>Y</t>
        </is>
      </c>
      <c r="K357" s="97" t="inlineStr">
        <is>
          <t>N</t>
        </is>
      </c>
      <c r="L357" s="97" t="inlineStr">
        <is>
          <t>Y</t>
        </is>
      </c>
      <c r="M357" s="97" t="n">
        <v>38</v>
      </c>
      <c r="N357" s="97" t="inlineStr">
        <is>
          <t>N</t>
        </is>
      </c>
      <c r="O357" s="97" t="n">
        <v>110.68</v>
      </c>
      <c r="P357" s="97" t="inlineStr">
        <is>
          <t>N</t>
        </is>
      </c>
      <c r="Q357" s="97" t="inlineStr">
        <is>
          <t>N/A</t>
        </is>
      </c>
      <c r="R357" s="97" t="inlineStr">
        <is>
          <t>N</t>
        </is>
      </c>
      <c r="S357" s="97" t="n">
        <v>-11.8</v>
      </c>
      <c r="T357" s="97" t="n">
        <v>-1.7</v>
      </c>
      <c r="U357" s="97" t="inlineStr">
        <is>
          <t>N</t>
        </is>
      </c>
      <c r="V357" s="97" t="n">
        <v>88.40000000000001</v>
      </c>
      <c r="W357" s="97" t="inlineStr">
        <is>
          <t>N/A</t>
        </is>
      </c>
      <c r="X357" s="97" t="n">
        <v>4.48</v>
      </c>
      <c r="Y357" s="97" t="n">
        <v>19.7</v>
      </c>
      <c r="Z357" s="97" t="n">
        <v>3</v>
      </c>
      <c r="AA357" s="92" t="inlineStr">
        <is>
          <t>AVOID</t>
        </is>
      </c>
    </row>
    <row r="358">
      <c r="A358" s="99" t="inlineStr">
        <is>
          <t>SIGNATURE</t>
        </is>
      </c>
      <c r="B358" s="99" t="inlineStr">
        <is>
          <t>Signatureglobal (India) Ltd.</t>
        </is>
      </c>
      <c r="C358" s="99" t="inlineStr">
        <is>
          <t>Realty</t>
        </is>
      </c>
      <c r="D358" s="99" t="inlineStr">
        <is>
          <t>BSE Smallcap</t>
        </is>
      </c>
      <c r="E358" s="99" t="n">
        <v>768.35</v>
      </c>
      <c r="F358" s="99" t="n">
        <v>0.14</v>
      </c>
      <c r="G358" s="99" t="n">
        <v>208099</v>
      </c>
      <c r="H358" s="99" t="n">
        <v>0.95</v>
      </c>
      <c r="I358" s="99" t="n">
        <v>11125</v>
      </c>
      <c r="J358" s="99" t="inlineStr">
        <is>
          <t>Y</t>
        </is>
      </c>
      <c r="K358" s="99" t="inlineStr">
        <is>
          <t>N</t>
        </is>
      </c>
      <c r="L358" s="99" t="inlineStr">
        <is>
          <t>N</t>
        </is>
      </c>
      <c r="M358" s="99" t="n">
        <v>46</v>
      </c>
      <c r="N358" s="99" t="inlineStr">
        <is>
          <t>N</t>
        </is>
      </c>
      <c r="O358" s="99" t="n">
        <v>39.48</v>
      </c>
      <c r="P358" s="99" t="inlineStr">
        <is>
          <t>N</t>
        </is>
      </c>
      <c r="Q358" s="99" t="inlineStr">
        <is>
          <t>N/A</t>
        </is>
      </c>
      <c r="R358" s="99" t="inlineStr">
        <is>
          <t>N</t>
        </is>
      </c>
      <c r="S358" s="99" t="n">
        <v>1.8</v>
      </c>
      <c r="T358" s="99" t="n">
        <v>-9.6</v>
      </c>
      <c r="U358" s="99" t="inlineStr">
        <is>
          <t>N</t>
        </is>
      </c>
      <c r="V358" s="99" t="n">
        <v>10.2</v>
      </c>
      <c r="W358" s="99" t="n">
        <v>84.90000000000001</v>
      </c>
      <c r="X358" s="99" t="n">
        <v>161.04</v>
      </c>
      <c r="Y358" s="99" t="n">
        <v>2641.8</v>
      </c>
      <c r="Z358" s="99" t="n">
        <v>3</v>
      </c>
      <c r="AA358" s="94" t="inlineStr">
        <is>
          <t>AVOID</t>
        </is>
      </c>
    </row>
    <row r="359">
      <c r="A359" s="97" t="inlineStr">
        <is>
          <t>SUNDARMFIN</t>
        </is>
      </c>
      <c r="B359" s="97" t="inlineStr">
        <is>
          <t>Sundaram Finance Ltd.</t>
        </is>
      </c>
      <c r="C359" s="97" t="inlineStr">
        <is>
          <t>Financial Services</t>
        </is>
      </c>
      <c r="D359" s="97" t="inlineStr">
        <is>
          <t>Large/Midcap</t>
        </is>
      </c>
      <c r="E359" s="97" t="n">
        <v>4447.8</v>
      </c>
      <c r="F359" s="97" t="n">
        <v>0.73</v>
      </c>
      <c r="G359" s="97" t="n">
        <v>50414</v>
      </c>
      <c r="H359" s="97" t="n">
        <v>1.06</v>
      </c>
      <c r="I359" s="97" t="n">
        <v>48681</v>
      </c>
      <c r="J359" s="97" t="inlineStr">
        <is>
          <t>Y</t>
        </is>
      </c>
      <c r="K359" s="97" t="inlineStr">
        <is>
          <t>Y</t>
        </is>
      </c>
      <c r="L359" s="97" t="inlineStr">
        <is>
          <t>N</t>
        </is>
      </c>
      <c r="M359" s="97" t="n">
        <v>40</v>
      </c>
      <c r="N359" s="97" t="inlineStr">
        <is>
          <t>N</t>
        </is>
      </c>
      <c r="O359" s="97" t="n">
        <v>106.09</v>
      </c>
      <c r="P359" s="97" t="inlineStr">
        <is>
          <t>N</t>
        </is>
      </c>
      <c r="Q359" s="97" t="inlineStr">
        <is>
          <t>N/A</t>
        </is>
      </c>
      <c r="R359" s="97" t="inlineStr">
        <is>
          <t>N</t>
        </is>
      </c>
      <c r="S359" s="97" t="n">
        <v>-3.1</v>
      </c>
      <c r="T359" s="97" t="n">
        <v>-3.1</v>
      </c>
      <c r="U359" s="97" t="inlineStr">
        <is>
          <t>N</t>
        </is>
      </c>
      <c r="V359" s="97" t="n">
        <v>23.6</v>
      </c>
      <c r="W359" s="97" t="n">
        <v>14.7</v>
      </c>
      <c r="X359" s="97" t="n">
        <v>409.16</v>
      </c>
      <c r="Y359" s="97" t="n">
        <v>2.4</v>
      </c>
      <c r="Z359" s="97" t="n">
        <v>3</v>
      </c>
      <c r="AA359" s="92" t="inlineStr">
        <is>
          <t>AVOID</t>
        </is>
      </c>
    </row>
    <row r="360">
      <c r="A360" s="99" t="inlineStr">
        <is>
          <t>SWIGGY</t>
        </is>
      </c>
      <c r="B360" s="99" t="inlineStr">
        <is>
          <t>Swiggy Ltd.</t>
        </is>
      </c>
      <c r="C360" s="99" t="inlineStr">
        <is>
          <t>Consumer Services</t>
        </is>
      </c>
      <c r="D360" s="99" t="inlineStr">
        <is>
          <t>Large/Midcap</t>
        </is>
      </c>
      <c r="E360" s="99" t="n">
        <v>257.98</v>
      </c>
      <c r="F360" s="99" t="n">
        <v>2.61</v>
      </c>
      <c r="G360" s="99" t="n">
        <v>23908041</v>
      </c>
      <c r="H360" s="99" t="n">
        <v>1.46</v>
      </c>
      <c r="I360" s="99" t="n">
        <v>67231</v>
      </c>
      <c r="J360" s="99" t="inlineStr">
        <is>
          <t>Y</t>
        </is>
      </c>
      <c r="K360" s="99" t="inlineStr">
        <is>
          <t>Y</t>
        </is>
      </c>
      <c r="L360" s="99" t="inlineStr">
        <is>
          <t>N</t>
        </is>
      </c>
      <c r="M360" s="99" t="n">
        <v>45.7</v>
      </c>
      <c r="N360" s="99" t="inlineStr">
        <is>
          <t>N</t>
        </is>
      </c>
      <c r="O360" s="99" t="n">
        <v>11.76</v>
      </c>
      <c r="P360" s="99" t="inlineStr">
        <is>
          <t>N</t>
        </is>
      </c>
      <c r="Q360" s="99" t="inlineStr">
        <is>
          <t>N/A</t>
        </is>
      </c>
      <c r="R360" s="99" t="inlineStr">
        <is>
          <t>N</t>
        </is>
      </c>
      <c r="S360" s="99" t="n">
        <v>7.4</v>
      </c>
      <c r="T360" s="99" t="n">
        <v>-4.2</v>
      </c>
      <c r="U360" s="99" t="inlineStr">
        <is>
          <t>N</t>
        </is>
      </c>
      <c r="V360" s="99" t="inlineStr">
        <is>
          <t>N/A</t>
        </is>
      </c>
      <c r="W360" s="99" t="n">
        <v>-29.1</v>
      </c>
      <c r="X360" s="99" t="n">
        <v>13.93</v>
      </c>
      <c r="Y360" s="99" t="n">
        <v>24.9</v>
      </c>
      <c r="Z360" s="99" t="n">
        <v>3</v>
      </c>
      <c r="AA360" s="94" t="inlineStr">
        <is>
          <t>AVOID</t>
        </is>
      </c>
    </row>
    <row r="361">
      <c r="A361" s="97" t="inlineStr">
        <is>
          <t>TATACOMM</t>
        </is>
      </c>
      <c r="B361" s="97" t="inlineStr">
        <is>
          <t>Tata Communications Ltd.</t>
        </is>
      </c>
      <c r="C361" s="97" t="inlineStr">
        <is>
          <t>Telecommunication</t>
        </is>
      </c>
      <c r="D361" s="97" t="inlineStr">
        <is>
          <t>Large/Midcap</t>
        </is>
      </c>
      <c r="E361" s="97" t="n">
        <v>1735.2</v>
      </c>
      <c r="F361" s="97" t="n">
        <v>-2.26</v>
      </c>
      <c r="G361" s="97" t="n">
        <v>387586</v>
      </c>
      <c r="H361" s="97" t="n">
        <v>0.46</v>
      </c>
      <c r="I361" s="97" t="n">
        <v>49456</v>
      </c>
      <c r="J361" s="97" t="inlineStr">
        <is>
          <t>Y</t>
        </is>
      </c>
      <c r="K361" s="97" t="inlineStr">
        <is>
          <t>N</t>
        </is>
      </c>
      <c r="L361" s="97" t="inlineStr">
        <is>
          <t>Y</t>
        </is>
      </c>
      <c r="M361" s="97" t="n">
        <v>21.6</v>
      </c>
      <c r="N361" s="97" t="inlineStr">
        <is>
          <t>N</t>
        </is>
      </c>
      <c r="O361" s="97" t="n">
        <v>58.67</v>
      </c>
      <c r="P361" s="97" t="inlineStr">
        <is>
          <t>N</t>
        </is>
      </c>
      <c r="Q361" s="97" t="inlineStr">
        <is>
          <t>N/A</t>
        </is>
      </c>
      <c r="R361" s="97" t="inlineStr">
        <is>
          <t>N</t>
        </is>
      </c>
      <c r="S361" s="97" t="n">
        <v>-12.6</v>
      </c>
      <c r="T361" s="97" t="n">
        <v>11.2</v>
      </c>
      <c r="U361" s="97" t="inlineStr">
        <is>
          <t>Y</t>
        </is>
      </c>
      <c r="V361" s="97" t="n">
        <v>53.5</v>
      </c>
      <c r="W361" s="97" t="inlineStr">
        <is>
          <t>N/A</t>
        </is>
      </c>
      <c r="X361" s="97" t="n">
        <v>335.85</v>
      </c>
      <c r="Y361" s="97" t="n">
        <v>-49</v>
      </c>
      <c r="Z361" s="97" t="n">
        <v>3</v>
      </c>
      <c r="AA361" s="92" t="inlineStr">
        <is>
          <t>AVOID</t>
        </is>
      </c>
    </row>
    <row r="362">
      <c r="A362" s="99" t="inlineStr">
        <is>
          <t>TCS</t>
        </is>
      </c>
      <c r="B362" s="99" t="inlineStr">
        <is>
          <t>Tata Consultancy Services Ltd.</t>
        </is>
      </c>
      <c r="C362" s="99" t="inlineStr">
        <is>
          <t>Information Technology</t>
        </is>
      </c>
      <c r="D362" s="99" t="inlineStr">
        <is>
          <t>Large/Midcap</t>
        </is>
      </c>
      <c r="E362" s="99" t="n">
        <v>2295.6</v>
      </c>
      <c r="F362" s="99" t="n">
        <v>1.83</v>
      </c>
      <c r="G362" s="99" t="n">
        <v>4007292</v>
      </c>
      <c r="H362" s="99" t="n">
        <v>1.64</v>
      </c>
      <c r="I362" s="99" t="n">
        <v>830568</v>
      </c>
      <c r="J362" s="99" t="inlineStr">
        <is>
          <t>Y</t>
        </is>
      </c>
      <c r="K362" s="99" t="inlineStr">
        <is>
          <t>Y</t>
        </is>
      </c>
      <c r="L362" s="99" t="inlineStr">
        <is>
          <t>N</t>
        </is>
      </c>
      <c r="M362" s="99" t="n">
        <v>74.8</v>
      </c>
      <c r="N362" s="99" t="inlineStr">
        <is>
          <t>N</t>
        </is>
      </c>
      <c r="O362" s="99" t="n">
        <v>59.81</v>
      </c>
      <c r="P362" s="99" t="inlineStr">
        <is>
          <t>N</t>
        </is>
      </c>
      <c r="Q362" s="99" t="inlineStr">
        <is>
          <t>N/A</t>
        </is>
      </c>
      <c r="R362" s="99" t="inlineStr">
        <is>
          <t>N</t>
        </is>
      </c>
      <c r="S362" s="99" t="n">
        <v>10.4</v>
      </c>
      <c r="T362" s="99" t="n">
        <v>-5</v>
      </c>
      <c r="U362" s="99" t="inlineStr">
        <is>
          <t>N</t>
        </is>
      </c>
      <c r="V362" s="99" t="n">
        <v>16.4</v>
      </c>
      <c r="W362" s="99" t="n">
        <v>47.7</v>
      </c>
      <c r="X362" s="99" t="n">
        <v>10.21</v>
      </c>
      <c r="Y362" s="99" t="n">
        <v>-2.7</v>
      </c>
      <c r="Z362" s="99" t="n">
        <v>3</v>
      </c>
      <c r="AA362" s="94" t="inlineStr">
        <is>
          <t>AVOID</t>
        </is>
      </c>
    </row>
    <row r="363">
      <c r="A363" s="97" t="inlineStr">
        <is>
          <t>TATAPOWER</t>
        </is>
      </c>
      <c r="B363" s="97" t="inlineStr">
        <is>
          <t>Tata Power Co. Ltd.</t>
        </is>
      </c>
      <c r="C363" s="97" t="inlineStr">
        <is>
          <t>Power</t>
        </is>
      </c>
      <c r="D363" s="97" t="inlineStr">
        <is>
          <t>Large/Midcap</t>
        </is>
      </c>
      <c r="E363" s="97" t="n">
        <v>377.35</v>
      </c>
      <c r="F363" s="97" t="n">
        <v>0.79</v>
      </c>
      <c r="G363" s="97" t="n">
        <v>2369047</v>
      </c>
      <c r="H363" s="97" t="n">
        <v>1.28</v>
      </c>
      <c r="I363" s="97" t="n">
        <v>120576</v>
      </c>
      <c r="J363" s="97" t="inlineStr">
        <is>
          <t>Y</t>
        </is>
      </c>
      <c r="K363" s="97" t="inlineStr">
        <is>
          <t>N</t>
        </is>
      </c>
      <c r="L363" s="97" t="inlineStr">
        <is>
          <t>N</t>
        </is>
      </c>
      <c r="M363" s="97" t="n">
        <v>50.2</v>
      </c>
      <c r="N363" s="97" t="inlineStr">
        <is>
          <t>Y</t>
        </is>
      </c>
      <c r="O363" s="97" t="n">
        <v>6.34</v>
      </c>
      <c r="P363" s="97" t="inlineStr">
        <is>
          <t>N</t>
        </is>
      </c>
      <c r="Q363" s="97" t="inlineStr">
        <is>
          <t>N/A</t>
        </is>
      </c>
      <c r="R363" s="97" t="inlineStr">
        <is>
          <t>N</t>
        </is>
      </c>
      <c r="S363" s="97" t="n">
        <v>-2.7</v>
      </c>
      <c r="T363" s="97" t="n">
        <v>-14.2</v>
      </c>
      <c r="U363" s="97" t="inlineStr">
        <is>
          <t>N</t>
        </is>
      </c>
      <c r="V363" s="97" t="n">
        <v>32</v>
      </c>
      <c r="W363" s="97" t="n">
        <v>11.3</v>
      </c>
      <c r="X363" s="97" t="n">
        <v>168.05</v>
      </c>
      <c r="Y363" s="97" t="n">
        <v>29</v>
      </c>
      <c r="Z363" s="97" t="n">
        <v>3</v>
      </c>
      <c r="AA363" s="92" t="inlineStr">
        <is>
          <t>AVOID</t>
        </is>
      </c>
    </row>
    <row r="364">
      <c r="A364" s="99" t="inlineStr">
        <is>
          <t>TATATECH</t>
        </is>
      </c>
      <c r="B364" s="99" t="inlineStr">
        <is>
          <t>Tata Technologies Ltd.</t>
        </is>
      </c>
      <c r="C364" s="99" t="inlineStr">
        <is>
          <t>Information Technology</t>
        </is>
      </c>
      <c r="D364" s="99" t="inlineStr">
        <is>
          <t>BSE Smallcap</t>
        </is>
      </c>
      <c r="E364" s="99" t="n">
        <v>713.3</v>
      </c>
      <c r="F364" s="99" t="n">
        <v>0.32</v>
      </c>
      <c r="G364" s="99" t="n">
        <v>395025</v>
      </c>
      <c r="H364" s="99" t="n">
        <v>0.77</v>
      </c>
      <c r="I364" s="99" t="inlineStr">
        <is>
          <t>N/A</t>
        </is>
      </c>
      <c r="J364" s="99" t="inlineStr">
        <is>
          <t>Y</t>
        </is>
      </c>
      <c r="K364" s="99" t="inlineStr">
        <is>
          <t>N</t>
        </is>
      </c>
      <c r="L364" s="99" t="inlineStr">
        <is>
          <t>Y</t>
        </is>
      </c>
      <c r="M364" s="99" t="n">
        <v>46.3</v>
      </c>
      <c r="N364" s="99" t="inlineStr">
        <is>
          <t>N</t>
        </is>
      </c>
      <c r="O364" s="99" t="n">
        <v>26.24</v>
      </c>
      <c r="P364" s="99" t="inlineStr">
        <is>
          <t>N</t>
        </is>
      </c>
      <c r="Q364" s="99" t="inlineStr">
        <is>
          <t>N/A</t>
        </is>
      </c>
      <c r="R364" s="99" t="inlineStr">
        <is>
          <t>N</t>
        </is>
      </c>
      <c r="S364" s="99" t="n">
        <v>-4.4</v>
      </c>
      <c r="T364" s="99" t="n">
        <v>25</v>
      </c>
      <c r="U364" s="99" t="inlineStr">
        <is>
          <t>Y</t>
        </is>
      </c>
      <c r="V364" s="99" t="inlineStr">
        <is>
          <t>N/A</t>
        </is>
      </c>
      <c r="W364" s="99" t="inlineStr">
        <is>
          <t>N/A</t>
        </is>
      </c>
      <c r="X364" s="99" t="inlineStr">
        <is>
          <t>N/A</t>
        </is>
      </c>
      <c r="Y364" s="99" t="inlineStr">
        <is>
          <t>N/A</t>
        </is>
      </c>
      <c r="Z364" s="99" t="n">
        <v>3</v>
      </c>
      <c r="AA364" s="94" t="inlineStr">
        <is>
          <t>AVOID</t>
        </is>
      </c>
    </row>
    <row r="365">
      <c r="A365" s="97" t="inlineStr">
        <is>
          <t>UTIAMC</t>
        </is>
      </c>
      <c r="B365" s="97" t="inlineStr">
        <is>
          <t>UTI Asset Management Company Ltd.</t>
        </is>
      </c>
      <c r="C365" s="97" t="inlineStr">
        <is>
          <t>Financial Services</t>
        </is>
      </c>
      <c r="D365" s="97" t="inlineStr">
        <is>
          <t>BSE Smallcap</t>
        </is>
      </c>
      <c r="E365" s="97" t="n">
        <v>881.4</v>
      </c>
      <c r="F365" s="97" t="n">
        <v>-2.51</v>
      </c>
      <c r="G365" s="97" t="n">
        <v>1009475</v>
      </c>
      <c r="H365" s="97" t="n">
        <v>2.65</v>
      </c>
      <c r="I365" s="97" t="n">
        <v>11620</v>
      </c>
      <c r="J365" s="97" t="inlineStr">
        <is>
          <t>Y</t>
        </is>
      </c>
      <c r="K365" s="97" t="inlineStr">
        <is>
          <t>N</t>
        </is>
      </c>
      <c r="L365" s="97" t="inlineStr">
        <is>
          <t>N</t>
        </is>
      </c>
      <c r="M365" s="97" t="n">
        <v>30.9</v>
      </c>
      <c r="N365" s="97" t="inlineStr">
        <is>
          <t>N</t>
        </is>
      </c>
      <c r="O365" s="97" t="n">
        <v>25.52</v>
      </c>
      <c r="P365" s="97" t="inlineStr">
        <is>
          <t>Y</t>
        </is>
      </c>
      <c r="Q365" s="97" t="inlineStr">
        <is>
          <t>N/A</t>
        </is>
      </c>
      <c r="R365" s="97" t="inlineStr">
        <is>
          <t>N</t>
        </is>
      </c>
      <c r="S365" s="97" t="n">
        <v>-2</v>
      </c>
      <c r="T365" s="97" t="n">
        <v>-3.5</v>
      </c>
      <c r="U365" s="97" t="inlineStr">
        <is>
          <t>N</t>
        </is>
      </c>
      <c r="V365" s="97" t="n">
        <v>25.3</v>
      </c>
      <c r="W365" s="97" t="inlineStr">
        <is>
          <t>N/A</t>
        </is>
      </c>
      <c r="X365" s="97" t="n">
        <v>3.13</v>
      </c>
      <c r="Y365" s="97" t="n">
        <v>540.5</v>
      </c>
      <c r="Z365" s="97" t="n">
        <v>3</v>
      </c>
      <c r="AA365" s="92" t="inlineStr">
        <is>
          <t>AVOID</t>
        </is>
      </c>
    </row>
    <row r="366">
      <c r="A366" s="99" t="inlineStr">
        <is>
          <t>VEDL</t>
        </is>
      </c>
      <c r="B366" s="99" t="inlineStr">
        <is>
          <t>Vedanta Ltd.</t>
        </is>
      </c>
      <c r="C366" s="99" t="inlineStr">
        <is>
          <t>Metals &amp; Mining</t>
        </is>
      </c>
      <c r="D366" s="99" t="inlineStr">
        <is>
          <t>Large/Midcap</t>
        </is>
      </c>
      <c r="E366" s="99" t="n">
        <v>264.65</v>
      </c>
      <c r="F366" s="99" t="n">
        <v>0</v>
      </c>
      <c r="G366" s="99" t="n">
        <v>7084059</v>
      </c>
      <c r="H366" s="99" t="n">
        <v>0.92</v>
      </c>
      <c r="I366" s="99" t="n">
        <v>103341</v>
      </c>
      <c r="J366" s="99" t="inlineStr">
        <is>
          <t>Y</t>
        </is>
      </c>
      <c r="K366" s="99" t="inlineStr">
        <is>
          <t>N</t>
        </is>
      </c>
      <c r="L366" s="99" t="inlineStr">
        <is>
          <t>N</t>
        </is>
      </c>
      <c r="M366" s="99" t="n">
        <v>37.3</v>
      </c>
      <c r="N366" s="99" t="inlineStr">
        <is>
          <t>N</t>
        </is>
      </c>
      <c r="O366" s="99" t="n">
        <v>6.59</v>
      </c>
      <c r="P366" s="99" t="inlineStr">
        <is>
          <t>N</t>
        </is>
      </c>
      <c r="Q366" s="99" t="inlineStr">
        <is>
          <t>N/A</t>
        </is>
      </c>
      <c r="R366" s="99" t="inlineStr">
        <is>
          <t>N</t>
        </is>
      </c>
      <c r="S366" s="99" t="n">
        <v>-3</v>
      </c>
      <c r="T366" s="99" t="n">
        <v>-2.1</v>
      </c>
      <c r="U366" s="99" t="inlineStr">
        <is>
          <t>N</t>
        </is>
      </c>
      <c r="V366" s="99" t="n">
        <v>14.8</v>
      </c>
      <c r="W366" s="99" t="n">
        <v>20.4</v>
      </c>
      <c r="X366" s="99" t="n">
        <v>48.04</v>
      </c>
      <c r="Y366" s="99" t="n">
        <v>17.3</v>
      </c>
      <c r="Z366" s="99" t="n">
        <v>3</v>
      </c>
      <c r="AA366" s="94" t="inlineStr">
        <is>
          <t>AVOID</t>
        </is>
      </c>
    </row>
    <row r="367">
      <c r="A367" s="97" t="inlineStr">
        <is>
          <t>WIPRO</t>
        </is>
      </c>
      <c r="B367" s="97" t="inlineStr">
        <is>
          <t>Wipro Ltd.</t>
        </is>
      </c>
      <c r="C367" s="97" t="inlineStr">
        <is>
          <t>Information Technology</t>
        </is>
      </c>
      <c r="D367" s="97" t="inlineStr">
        <is>
          <t>Large/Midcap</t>
        </is>
      </c>
      <c r="E367" s="97" t="n">
        <v>178.53</v>
      </c>
      <c r="F367" s="97" t="n">
        <v>1.95</v>
      </c>
      <c r="G367" s="97" t="n">
        <v>12504426</v>
      </c>
      <c r="H367" s="97" t="n">
        <v>1.37</v>
      </c>
      <c r="I367" s="97" t="n">
        <v>176606</v>
      </c>
      <c r="J367" s="97" t="inlineStr">
        <is>
          <t>Y</t>
        </is>
      </c>
      <c r="K367" s="97" t="inlineStr">
        <is>
          <t>N</t>
        </is>
      </c>
      <c r="L367" s="97" t="inlineStr">
        <is>
          <t>N</t>
        </is>
      </c>
      <c r="M367" s="97" t="n">
        <v>66.40000000000001</v>
      </c>
      <c r="N367" s="97" t="inlineStr">
        <is>
          <t>Y</t>
        </is>
      </c>
      <c r="O367" s="97" t="n">
        <v>3.35</v>
      </c>
      <c r="P367" s="97" t="inlineStr">
        <is>
          <t>N</t>
        </is>
      </c>
      <c r="Q367" s="97" t="inlineStr">
        <is>
          <t>N/A</t>
        </is>
      </c>
      <c r="R367" s="97" t="inlineStr">
        <is>
          <t>N</t>
        </is>
      </c>
      <c r="S367" s="97" t="n">
        <v>3.4</v>
      </c>
      <c r="T367" s="97" t="n">
        <v>-9.6</v>
      </c>
      <c r="U367" s="97" t="inlineStr">
        <is>
          <t>N</t>
        </is>
      </c>
      <c r="V367" s="97" t="n">
        <v>14.1</v>
      </c>
      <c r="W367" s="97" t="n">
        <v>16.1</v>
      </c>
      <c r="X367" s="97" t="n">
        <v>27.4</v>
      </c>
      <c r="Y367" s="97" t="n">
        <v>-4.3</v>
      </c>
      <c r="Z367" s="97" t="n">
        <v>3</v>
      </c>
      <c r="AA367" s="92" t="inlineStr">
        <is>
          <t>AVOID</t>
        </is>
      </c>
    </row>
    <row r="368">
      <c r="A368" s="99" t="inlineStr">
        <is>
          <t>YESBANK</t>
        </is>
      </c>
      <c r="B368" s="99" t="inlineStr">
        <is>
          <t>Yes Bank Ltd.</t>
        </is>
      </c>
      <c r="C368" s="99" t="inlineStr">
        <is>
          <t>Financial Services</t>
        </is>
      </c>
      <c r="D368" s="99" t="inlineStr">
        <is>
          <t>Large/Midcap</t>
        </is>
      </c>
      <c r="E368" s="99" t="n">
        <v>22.94</v>
      </c>
      <c r="F368" s="99" t="n">
        <v>-0.04</v>
      </c>
      <c r="G368" s="99" t="n">
        <v>47752439</v>
      </c>
      <c r="H368" s="99" t="n">
        <v>0.51</v>
      </c>
      <c r="I368" s="99" t="n">
        <v>72003</v>
      </c>
      <c r="J368" s="99" t="inlineStr">
        <is>
          <t>Y</t>
        </is>
      </c>
      <c r="K368" s="99" t="inlineStr">
        <is>
          <t>N</t>
        </is>
      </c>
      <c r="L368" s="99" t="inlineStr">
        <is>
          <t>Y</t>
        </is>
      </c>
      <c r="M368" s="99" t="n">
        <v>32.6</v>
      </c>
      <c r="N368" s="99" t="inlineStr">
        <is>
          <t>N</t>
        </is>
      </c>
      <c r="O368" s="99" t="n">
        <v>0.46</v>
      </c>
      <c r="P368" s="99" t="inlineStr">
        <is>
          <t>N</t>
        </is>
      </c>
      <c r="Q368" s="99" t="inlineStr">
        <is>
          <t>N/A</t>
        </is>
      </c>
      <c r="R368" s="99" t="inlineStr">
        <is>
          <t>N</t>
        </is>
      </c>
      <c r="S368" s="99" t="n">
        <v>-7.5</v>
      </c>
      <c r="T368" s="99" t="n">
        <v>15.5</v>
      </c>
      <c r="U368" s="99" t="inlineStr">
        <is>
          <t>Y</t>
        </is>
      </c>
      <c r="V368" s="99" t="n">
        <v>19.1</v>
      </c>
      <c r="W368" s="99" t="n">
        <v>7.5</v>
      </c>
      <c r="X368" s="99" t="inlineStr">
        <is>
          <t>N/A</t>
        </is>
      </c>
      <c r="Y368" s="99" t="n">
        <v>-1</v>
      </c>
      <c r="Z368" s="99" t="n">
        <v>3</v>
      </c>
      <c r="AA368" s="94" t="inlineStr">
        <is>
          <t>AVOID</t>
        </is>
      </c>
    </row>
    <row r="369">
      <c r="A369" s="97" t="inlineStr">
        <is>
          <t>JYOTHYLAB</t>
        </is>
      </c>
      <c r="B369" s="97" t="inlineStr">
        <is>
          <t>JYOTHY LABS LIMITED</t>
        </is>
      </c>
      <c r="C369" s="97" t="n"/>
      <c r="D369" s="97" t="inlineStr">
        <is>
          <t>BSE Smallcap</t>
        </is>
      </c>
      <c r="E369" s="97" t="n">
        <v>198.57</v>
      </c>
      <c r="F369" s="97" t="n">
        <v>0.02</v>
      </c>
      <c r="G369" s="97" t="n">
        <v>301251</v>
      </c>
      <c r="H369" s="97" t="n">
        <v>0.93</v>
      </c>
      <c r="I369" s="97" t="n">
        <v>7417</v>
      </c>
      <c r="J369" s="97" t="inlineStr">
        <is>
          <t>Y</t>
        </is>
      </c>
      <c r="K369" s="97" t="inlineStr">
        <is>
          <t>N</t>
        </is>
      </c>
      <c r="L369" s="97" t="inlineStr">
        <is>
          <t>N</t>
        </is>
      </c>
      <c r="M369" s="97" t="n">
        <v>67.7</v>
      </c>
      <c r="N369" s="97" t="inlineStr">
        <is>
          <t>Y</t>
        </is>
      </c>
      <c r="O369" s="97" t="n">
        <v>4.37</v>
      </c>
      <c r="P369" s="97" t="inlineStr">
        <is>
          <t>N</t>
        </is>
      </c>
      <c r="Q369" s="97" t="inlineStr">
        <is>
          <t>N/A</t>
        </is>
      </c>
      <c r="R369" s="97" t="inlineStr">
        <is>
          <t>N</t>
        </is>
      </c>
      <c r="S369" s="97" t="n">
        <v>1.1</v>
      </c>
      <c r="T369" s="97" t="n">
        <v>-23.5</v>
      </c>
      <c r="U369" s="97" t="inlineStr">
        <is>
          <t>N</t>
        </is>
      </c>
      <c r="V369" s="97" t="n">
        <v>22.3</v>
      </c>
      <c r="W369" s="97" t="n">
        <v>22.4</v>
      </c>
      <c r="X369" s="97" t="n">
        <v>3.25</v>
      </c>
      <c r="Y369" s="97" t="n">
        <v>-16.8</v>
      </c>
      <c r="Z369" s="97" t="n">
        <v>3</v>
      </c>
      <c r="AA369" s="92" t="inlineStr">
        <is>
          <t>AVOID</t>
        </is>
      </c>
    </row>
    <row r="370">
      <c r="A370" s="99" t="inlineStr">
        <is>
          <t>NSDL</t>
        </is>
      </c>
      <c r="B370" s="99" t="inlineStr">
        <is>
          <t>National Securities Depository</t>
        </is>
      </c>
      <c r="C370" s="99" t="n"/>
      <c r="D370" s="99" t="inlineStr">
        <is>
          <t>BSE Smallcap</t>
        </is>
      </c>
      <c r="E370" s="99" t="n">
        <v>810.05</v>
      </c>
      <c r="F370" s="99" t="n">
        <v>-0.61</v>
      </c>
      <c r="G370" s="99" t="n">
        <v>555429</v>
      </c>
      <c r="H370" s="99" t="n">
        <v>1.26</v>
      </c>
      <c r="I370" s="99" t="n">
        <v>16356</v>
      </c>
      <c r="J370" s="99" t="inlineStr">
        <is>
          <t>Y</t>
        </is>
      </c>
      <c r="K370" s="99" t="inlineStr">
        <is>
          <t>N</t>
        </is>
      </c>
      <c r="L370" s="99" t="inlineStr">
        <is>
          <t>N</t>
        </is>
      </c>
      <c r="M370" s="99" t="n">
        <v>24.4</v>
      </c>
      <c r="N370" s="99" t="inlineStr">
        <is>
          <t>N</t>
        </is>
      </c>
      <c r="O370" s="99" t="n">
        <v>13.87</v>
      </c>
      <c r="P370" s="99" t="inlineStr">
        <is>
          <t>N</t>
        </is>
      </c>
      <c r="Q370" s="99" t="inlineStr">
        <is>
          <t>N/A</t>
        </is>
      </c>
      <c r="R370" s="99" t="inlineStr">
        <is>
          <t>N</t>
        </is>
      </c>
      <c r="S370" s="99" t="n">
        <v>-7.8</v>
      </c>
      <c r="T370" s="99" t="n">
        <v>-8.199999999999999</v>
      </c>
      <c r="U370" s="99" t="inlineStr">
        <is>
          <t>N</t>
        </is>
      </c>
      <c r="V370" s="99" t="n">
        <v>43.1</v>
      </c>
      <c r="W370" s="99" t="n">
        <v>17.3</v>
      </c>
      <c r="X370" s="99" t="n">
        <v>0.7</v>
      </c>
      <c r="Y370" s="99" t="n">
        <v>0.6</v>
      </c>
      <c r="Z370" s="99" t="n">
        <v>3</v>
      </c>
      <c r="AA370" s="94" t="inlineStr">
        <is>
          <t>AVOID</t>
        </is>
      </c>
    </row>
    <row r="371">
      <c r="A371" s="97" t="inlineStr">
        <is>
          <t>ACC</t>
        </is>
      </c>
      <c r="B371" s="97" t="inlineStr">
        <is>
          <t>ACC Ltd.</t>
        </is>
      </c>
      <c r="C371" s="97" t="inlineStr">
        <is>
          <t>Construction Materials</t>
        </is>
      </c>
      <c r="D371" s="97" t="inlineStr">
        <is>
          <t>Large/Midcap</t>
        </is>
      </c>
      <c r="E371" s="97" t="n">
        <v>1340.9</v>
      </c>
      <c r="F371" s="97" t="n">
        <v>0.52</v>
      </c>
      <c r="G371" s="97" t="n">
        <v>470047</v>
      </c>
      <c r="H371" s="97" t="n">
        <v>2.99</v>
      </c>
      <c r="I371" s="97" t="n">
        <v>25503</v>
      </c>
      <c r="J371" s="97" t="inlineStr">
        <is>
          <t>Y</t>
        </is>
      </c>
      <c r="K371" s="97" t="inlineStr">
        <is>
          <t>N</t>
        </is>
      </c>
      <c r="L371" s="97" t="inlineStr">
        <is>
          <t>N</t>
        </is>
      </c>
      <c r="M371" s="97" t="n">
        <v>38.3</v>
      </c>
      <c r="N371" s="97" t="inlineStr">
        <is>
          <t>N</t>
        </is>
      </c>
      <c r="O371" s="97" t="n">
        <v>30.56</v>
      </c>
      <c r="P371" s="97" t="inlineStr">
        <is>
          <t>Y</t>
        </is>
      </c>
      <c r="Q371" s="97" t="inlineStr">
        <is>
          <t>N/A</t>
        </is>
      </c>
      <c r="R371" s="97" t="inlineStr">
        <is>
          <t>N</t>
        </is>
      </c>
      <c r="S371" s="97" t="n">
        <v>0.5</v>
      </c>
      <c r="T371" s="97" t="n">
        <v>-5.7</v>
      </c>
      <c r="U371" s="97" t="inlineStr">
        <is>
          <t>N</t>
        </is>
      </c>
      <c r="V371" s="97" t="n">
        <v>13.4</v>
      </c>
      <c r="W371" s="97" t="inlineStr">
        <is>
          <t>N/A</t>
        </is>
      </c>
      <c r="X371" s="97" t="n">
        <v>2.08</v>
      </c>
      <c r="Y371" s="97" t="n">
        <v>-38.3</v>
      </c>
      <c r="Z371" s="97" t="n">
        <v>2</v>
      </c>
      <c r="AA371" s="92" t="inlineStr">
        <is>
          <t>AVOID</t>
        </is>
      </c>
    </row>
    <row r="372">
      <c r="A372" s="99" t="inlineStr">
        <is>
          <t>AWL</t>
        </is>
      </c>
      <c r="B372" s="99" t="inlineStr">
        <is>
          <t>AWL Agri Business Ltd.</t>
        </is>
      </c>
      <c r="C372" s="99" t="inlineStr">
        <is>
          <t>Fast Moving Consumer Goods</t>
        </is>
      </c>
      <c r="D372" s="99" t="inlineStr">
        <is>
          <t>BSE Smallcap</t>
        </is>
      </c>
      <c r="E372" s="99" t="n">
        <v>188.16</v>
      </c>
      <c r="F372" s="99" t="n">
        <v>0.39</v>
      </c>
      <c r="G372" s="99" t="n">
        <v>1118052</v>
      </c>
      <c r="H372" s="99" t="n">
        <v>0.31</v>
      </c>
      <c r="I372" s="99" t="n">
        <v>24268</v>
      </c>
      <c r="J372" s="99" t="inlineStr">
        <is>
          <t>Y</t>
        </is>
      </c>
      <c r="K372" s="99" t="inlineStr">
        <is>
          <t>N</t>
        </is>
      </c>
      <c r="L372" s="99" t="inlineStr">
        <is>
          <t>N</t>
        </is>
      </c>
      <c r="M372" s="99" t="n">
        <v>46.1</v>
      </c>
      <c r="N372" s="99" t="inlineStr">
        <is>
          <t>N</t>
        </is>
      </c>
      <c r="O372" s="99" t="n">
        <v>5.13</v>
      </c>
      <c r="P372" s="99" t="inlineStr">
        <is>
          <t>N</t>
        </is>
      </c>
      <c r="Q372" s="99" t="inlineStr">
        <is>
          <t>N/A</t>
        </is>
      </c>
      <c r="R372" s="99" t="inlineStr">
        <is>
          <t>N</t>
        </is>
      </c>
      <c r="S372" s="99" t="n">
        <v>3.6</v>
      </c>
      <c r="T372" s="99" t="n">
        <v>-5.1</v>
      </c>
      <c r="U372" s="99" t="inlineStr">
        <is>
          <t>N</t>
        </is>
      </c>
      <c r="V372" s="99" t="n">
        <v>23.3</v>
      </c>
      <c r="W372" s="99" t="n">
        <v>10.5</v>
      </c>
      <c r="X372" s="99" t="n">
        <v>10.62</v>
      </c>
      <c r="Y372" s="99" t="n">
        <v>8.699999999999999</v>
      </c>
      <c r="Z372" s="99" t="n">
        <v>2</v>
      </c>
      <c r="AA372" s="94" t="inlineStr">
        <is>
          <t>AVOID</t>
        </is>
      </c>
    </row>
    <row r="373">
      <c r="A373" s="97" t="inlineStr">
        <is>
          <t>AAVAS</t>
        </is>
      </c>
      <c r="B373" s="97" t="inlineStr">
        <is>
          <t>Aavas Financiers Ltd.</t>
        </is>
      </c>
      <c r="C373" s="97" t="inlineStr">
        <is>
          <t>Financial Services</t>
        </is>
      </c>
      <c r="D373" s="97" t="inlineStr">
        <is>
          <t>BSE Smallcap</t>
        </is>
      </c>
      <c r="E373" s="97" t="n">
        <v>1379</v>
      </c>
      <c r="F373" s="97" t="n">
        <v>-0.5</v>
      </c>
      <c r="G373" s="97" t="n">
        <v>62171</v>
      </c>
      <c r="H373" s="97" t="n">
        <v>0.27</v>
      </c>
      <c r="I373" s="97" t="n">
        <v>11026</v>
      </c>
      <c r="J373" s="97" t="inlineStr">
        <is>
          <t>Y</t>
        </is>
      </c>
      <c r="K373" s="97" t="inlineStr">
        <is>
          <t>N</t>
        </is>
      </c>
      <c r="L373" s="97" t="inlineStr">
        <is>
          <t>N</t>
        </is>
      </c>
      <c r="M373" s="97" t="n">
        <v>32</v>
      </c>
      <c r="N373" s="97" t="inlineStr">
        <is>
          <t>N</t>
        </is>
      </c>
      <c r="O373" s="97" t="n">
        <v>48.74</v>
      </c>
      <c r="P373" s="97" t="inlineStr">
        <is>
          <t>N</t>
        </is>
      </c>
      <c r="Q373" s="97" t="inlineStr">
        <is>
          <t>N/A</t>
        </is>
      </c>
      <c r="R373" s="97" t="inlineStr">
        <is>
          <t>N</t>
        </is>
      </c>
      <c r="S373" s="97" t="n">
        <v>-7.2</v>
      </c>
      <c r="T373" s="97" t="n">
        <v>0.2</v>
      </c>
      <c r="U373" s="97" t="inlineStr">
        <is>
          <t>Y</t>
        </is>
      </c>
      <c r="V373" s="97" t="n">
        <v>16.1</v>
      </c>
      <c r="W373" s="97" t="inlineStr">
        <is>
          <t>N/A</t>
        </is>
      </c>
      <c r="X373" s="97" t="n">
        <v>310.55</v>
      </c>
      <c r="Y373" s="97" t="n">
        <v>-5.7</v>
      </c>
      <c r="Z373" s="97" t="n">
        <v>2</v>
      </c>
      <c r="AA373" s="92" t="inlineStr">
        <is>
          <t>AVOID</t>
        </is>
      </c>
    </row>
    <row r="374">
      <c r="A374" s="99" t="inlineStr">
        <is>
          <t>ABLBL</t>
        </is>
      </c>
      <c r="B374" s="99" t="inlineStr">
        <is>
          <t>Aditya Birla Lifestyle Brands Ltd.</t>
        </is>
      </c>
      <c r="C374" s="99" t="inlineStr">
        <is>
          <t>Consumer Services</t>
        </is>
      </c>
      <c r="D374" s="99" t="inlineStr">
        <is>
          <t>BSE Smallcap</t>
        </is>
      </c>
      <c r="E374" s="99" t="n">
        <v>95.47</v>
      </c>
      <c r="F374" s="99" t="n">
        <v>1.55</v>
      </c>
      <c r="G374" s="99" t="n">
        <v>287808</v>
      </c>
      <c r="H374" s="99" t="n">
        <v>0.77</v>
      </c>
      <c r="I374" s="99" t="n">
        <v>11596</v>
      </c>
      <c r="J374" s="99" t="inlineStr">
        <is>
          <t>Y</t>
        </is>
      </c>
      <c r="K374" s="99" t="inlineStr">
        <is>
          <t>N</t>
        </is>
      </c>
      <c r="L374" s="99" t="inlineStr">
        <is>
          <t>N</t>
        </is>
      </c>
      <c r="M374" s="99" t="n">
        <v>51.1</v>
      </c>
      <c r="N374" s="99" t="inlineStr">
        <is>
          <t>Y</t>
        </is>
      </c>
      <c r="O374" s="99" t="n">
        <v>2.29</v>
      </c>
      <c r="P374" s="99" t="inlineStr">
        <is>
          <t>N</t>
        </is>
      </c>
      <c r="Q374" s="99" t="inlineStr">
        <is>
          <t>N/A</t>
        </is>
      </c>
      <c r="R374" s="99" t="inlineStr">
        <is>
          <t>N</t>
        </is>
      </c>
      <c r="S374" s="99" t="n">
        <v>-1.9</v>
      </c>
      <c r="T374" s="99" t="n">
        <v>-6.7</v>
      </c>
      <c r="U374" s="99" t="inlineStr">
        <is>
          <t>N</t>
        </is>
      </c>
      <c r="V374" s="99" t="n">
        <v>66.8</v>
      </c>
      <c r="W374" s="99" t="n">
        <v>12.7</v>
      </c>
      <c r="X374" s="99" t="n">
        <v>213.72</v>
      </c>
      <c r="Y374" s="99" t="n">
        <v>-21</v>
      </c>
      <c r="Z374" s="99" t="n">
        <v>2</v>
      </c>
      <c r="AA374" s="94" t="inlineStr">
        <is>
          <t>AVOID</t>
        </is>
      </c>
    </row>
    <row r="375">
      <c r="A375" s="97" t="inlineStr">
        <is>
          <t>ABFRL</t>
        </is>
      </c>
      <c r="B375" s="97" t="inlineStr">
        <is>
          <t>Aditya Birla Fashion and Retail Ltd.</t>
        </is>
      </c>
      <c r="C375" s="97" t="inlineStr">
        <is>
          <t>Consumer Services</t>
        </is>
      </c>
      <c r="D375" s="97" t="inlineStr">
        <is>
          <t>BSE Smallcap</t>
        </is>
      </c>
      <c r="E375" s="97" t="n">
        <v>56.25</v>
      </c>
      <c r="F375" s="97" t="n">
        <v>0.39</v>
      </c>
      <c r="G375" s="97" t="n">
        <v>2288618</v>
      </c>
      <c r="H375" s="97" t="n">
        <v>1.01</v>
      </c>
      <c r="I375" s="97" t="n">
        <v>6942</v>
      </c>
      <c r="J375" s="97" t="inlineStr">
        <is>
          <t>Y</t>
        </is>
      </c>
      <c r="K375" s="97" t="inlineStr">
        <is>
          <t>N</t>
        </is>
      </c>
      <c r="L375" s="97" t="inlineStr">
        <is>
          <t>N</t>
        </is>
      </c>
      <c r="M375" s="97" t="n">
        <v>24.1</v>
      </c>
      <c r="N375" s="97" t="inlineStr">
        <is>
          <t>N</t>
        </is>
      </c>
      <c r="O375" s="97" t="n">
        <v>1.7</v>
      </c>
      <c r="P375" s="97" t="inlineStr">
        <is>
          <t>N</t>
        </is>
      </c>
      <c r="Q375" s="97" t="inlineStr">
        <is>
          <t>N/A</t>
        </is>
      </c>
      <c r="R375" s="97" t="inlineStr">
        <is>
          <t>N</t>
        </is>
      </c>
      <c r="S375" s="97" t="n">
        <v>-6.2</v>
      </c>
      <c r="T375" s="97" t="n">
        <v>-13.1</v>
      </c>
      <c r="U375" s="97" t="inlineStr">
        <is>
          <t>N</t>
        </is>
      </c>
      <c r="V375" s="97" t="inlineStr">
        <is>
          <t>N/A</t>
        </is>
      </c>
      <c r="W375" s="97" t="n">
        <v>-12.7</v>
      </c>
      <c r="X375" s="97" t="n">
        <v>98.81999999999999</v>
      </c>
      <c r="Y375" s="97" t="n">
        <v>2.5</v>
      </c>
      <c r="Z375" s="97" t="n">
        <v>2</v>
      </c>
      <c r="AA375" s="92" t="inlineStr">
        <is>
          <t>AVOID</t>
        </is>
      </c>
    </row>
    <row r="376">
      <c r="A376" s="99" t="inlineStr">
        <is>
          <t>AMBER</t>
        </is>
      </c>
      <c r="B376" s="99" t="inlineStr">
        <is>
          <t>Amber Enterprises India Ltd.</t>
        </is>
      </c>
      <c r="C376" s="99" t="inlineStr">
        <is>
          <t>Consumer Durables</t>
        </is>
      </c>
      <c r="D376" s="99" t="inlineStr">
        <is>
          <t>BSE Smallcap</t>
        </is>
      </c>
      <c r="E376" s="99" t="n">
        <v>7280.5</v>
      </c>
      <c r="F376" s="99" t="n">
        <v>0.26</v>
      </c>
      <c r="G376" s="99" t="n">
        <v>171342</v>
      </c>
      <c r="H376" s="99" t="n">
        <v>0.7</v>
      </c>
      <c r="I376" s="99" t="n">
        <v>25677</v>
      </c>
      <c r="J376" s="99" t="inlineStr">
        <is>
          <t>Y</t>
        </is>
      </c>
      <c r="K376" s="99" t="inlineStr">
        <is>
          <t>N</t>
        </is>
      </c>
      <c r="L376" s="99" t="inlineStr">
        <is>
          <t>N</t>
        </is>
      </c>
      <c r="M376" s="99" t="n">
        <v>39.8</v>
      </c>
      <c r="N376" s="99" t="inlineStr">
        <is>
          <t>N</t>
        </is>
      </c>
      <c r="O376" s="99" t="n">
        <v>229.96</v>
      </c>
      <c r="P376" s="99" t="inlineStr">
        <is>
          <t>N</t>
        </is>
      </c>
      <c r="Q376" s="99" t="inlineStr">
        <is>
          <t>N/A</t>
        </is>
      </c>
      <c r="R376" s="99" t="inlineStr">
        <is>
          <t>N</t>
        </is>
      </c>
      <c r="S376" s="99" t="n">
        <v>-4.7</v>
      </c>
      <c r="T376" s="99" t="n">
        <v>-8.9</v>
      </c>
      <c r="U376" s="99" t="inlineStr">
        <is>
          <t>N</t>
        </is>
      </c>
      <c r="V376" s="99" t="n">
        <v>144.9</v>
      </c>
      <c r="W376" s="99" t="n">
        <v>5.6</v>
      </c>
      <c r="X376" s="99" t="n">
        <v>46.57</v>
      </c>
      <c r="Y376" s="99" t="n">
        <v>591.4</v>
      </c>
      <c r="Z376" s="99" t="n">
        <v>2</v>
      </c>
      <c r="AA376" s="94" t="inlineStr">
        <is>
          <t>AVOID</t>
        </is>
      </c>
    </row>
    <row r="377">
      <c r="A377" s="97" t="inlineStr">
        <is>
          <t>ANURAS</t>
        </is>
      </c>
      <c r="B377" s="97" t="inlineStr">
        <is>
          <t>Anupam Rasayan India Ltd.</t>
        </is>
      </c>
      <c r="C377" s="97" t="inlineStr">
        <is>
          <t>Chemicals</t>
        </is>
      </c>
      <c r="D377" s="97" t="inlineStr">
        <is>
          <t>NSE Smallcap</t>
        </is>
      </c>
      <c r="E377" s="97" t="n">
        <v>1249.6</v>
      </c>
      <c r="F377" s="97" t="n">
        <v>0.85</v>
      </c>
      <c r="G377" s="97" t="n">
        <v>281938</v>
      </c>
      <c r="H377" s="97" t="n">
        <v>1.48</v>
      </c>
      <c r="I377" s="97" t="n">
        <v>13927</v>
      </c>
      <c r="J377" s="97" t="inlineStr">
        <is>
          <t>Y</t>
        </is>
      </c>
      <c r="K377" s="97" t="inlineStr">
        <is>
          <t>N</t>
        </is>
      </c>
      <c r="L377" s="97" t="inlineStr">
        <is>
          <t>N</t>
        </is>
      </c>
      <c r="M377" s="97" t="n">
        <v>37.1</v>
      </c>
      <c r="N377" s="97" t="inlineStr">
        <is>
          <t>N</t>
        </is>
      </c>
      <c r="O377" s="97" t="n">
        <v>22.44</v>
      </c>
      <c r="P377" s="97" t="inlineStr">
        <is>
          <t>N</t>
        </is>
      </c>
      <c r="Q377" s="97" t="inlineStr">
        <is>
          <t>N/A</t>
        </is>
      </c>
      <c r="R377" s="97" t="inlineStr">
        <is>
          <t>N</t>
        </is>
      </c>
      <c r="S377" s="97" t="n">
        <v>-1.8</v>
      </c>
      <c r="T377" s="97" t="n">
        <v>-4.2</v>
      </c>
      <c r="U377" s="97" t="inlineStr">
        <is>
          <t>N</t>
        </is>
      </c>
      <c r="V377" s="97" t="n">
        <v>79.59999999999999</v>
      </c>
      <c r="W377" s="97" t="n">
        <v>5.8</v>
      </c>
      <c r="X377" s="97" t="n">
        <v>41.32</v>
      </c>
      <c r="Y377" s="97" t="n">
        <v>44.1</v>
      </c>
      <c r="Z377" s="97" t="n">
        <v>2</v>
      </c>
      <c r="AA377" s="92" t="inlineStr">
        <is>
          <t>AVOID</t>
        </is>
      </c>
    </row>
    <row r="378">
      <c r="A378" s="99" t="inlineStr">
        <is>
          <t>ANGELONE</t>
        </is>
      </c>
      <c r="B378" s="99" t="inlineStr">
        <is>
          <t>Angel One Ltd.</t>
        </is>
      </c>
      <c r="C378" s="99" t="inlineStr">
        <is>
          <t>Financial Services</t>
        </is>
      </c>
      <c r="D378" s="99" t="inlineStr">
        <is>
          <t>BSE Smallcap</t>
        </is>
      </c>
      <c r="E378" s="99" t="n">
        <v>304.2</v>
      </c>
      <c r="F378" s="99" t="n">
        <v>-1.22</v>
      </c>
      <c r="G378" s="99" t="n">
        <v>7603595</v>
      </c>
      <c r="H378" s="99" t="n">
        <v>1.42</v>
      </c>
      <c r="I378" s="99" t="n">
        <v>27789</v>
      </c>
      <c r="J378" s="99" t="inlineStr">
        <is>
          <t>Y</t>
        </is>
      </c>
      <c r="K378" s="99" t="inlineStr">
        <is>
          <t>N</t>
        </is>
      </c>
      <c r="L378" s="99" t="inlineStr">
        <is>
          <t>Y</t>
        </is>
      </c>
      <c r="M378" s="99" t="n">
        <v>31.7</v>
      </c>
      <c r="N378" s="99" t="inlineStr">
        <is>
          <t>N</t>
        </is>
      </c>
      <c r="O378" s="99" t="n">
        <v>11.18</v>
      </c>
      <c r="P378" s="99" t="inlineStr">
        <is>
          <t>N</t>
        </is>
      </c>
      <c r="Q378" s="99" t="inlineStr">
        <is>
          <t>N/A</t>
        </is>
      </c>
      <c r="R378" s="99" t="inlineStr">
        <is>
          <t>N</t>
        </is>
      </c>
      <c r="S378" s="99" t="n">
        <v>-8.699999999999999</v>
      </c>
      <c r="T378" s="99" t="n">
        <v>-0.8</v>
      </c>
      <c r="U378" s="99" t="inlineStr">
        <is>
          <t>N</t>
        </is>
      </c>
      <c r="V378" s="99" t="n">
        <v>27.8</v>
      </c>
      <c r="W378" s="99" t="inlineStr">
        <is>
          <t>N/A</t>
        </is>
      </c>
      <c r="X378" s="99" t="n">
        <v>129.31</v>
      </c>
      <c r="Y378" s="99" t="n">
        <v>-27.7</v>
      </c>
      <c r="Z378" s="99" t="n">
        <v>2</v>
      </c>
      <c r="AA378" s="94" t="inlineStr">
        <is>
          <t>AVOID</t>
        </is>
      </c>
    </row>
    <row r="379">
      <c r="A379" s="97" t="inlineStr">
        <is>
          <t>ASTRAL</t>
        </is>
      </c>
      <c r="B379" s="97" t="inlineStr">
        <is>
          <t>Astral Ltd.</t>
        </is>
      </c>
      <c r="C379" s="97" t="inlineStr">
        <is>
          <t>Capital Goods</t>
        </is>
      </c>
      <c r="D379" s="97" t="inlineStr">
        <is>
          <t>Large/Midcap</t>
        </is>
      </c>
      <c r="E379" s="97" t="n">
        <v>1465.8</v>
      </c>
      <c r="F379" s="97" t="n">
        <v>-0.16</v>
      </c>
      <c r="G379" s="97" t="n">
        <v>385986</v>
      </c>
      <c r="H379" s="97" t="n">
        <v>0.51</v>
      </c>
      <c r="I379" s="97" t="n">
        <v>39379</v>
      </c>
      <c r="J379" s="97" t="inlineStr">
        <is>
          <t>Y</t>
        </is>
      </c>
      <c r="K379" s="97" t="inlineStr">
        <is>
          <t>N</t>
        </is>
      </c>
      <c r="L379" s="97" t="inlineStr">
        <is>
          <t>N</t>
        </is>
      </c>
      <c r="M379" s="97" t="n">
        <v>72.5</v>
      </c>
      <c r="N379" s="97" t="inlineStr">
        <is>
          <t>N</t>
        </is>
      </c>
      <c r="O379" s="97" t="n">
        <v>34.69</v>
      </c>
      <c r="P379" s="97" t="inlineStr">
        <is>
          <t>N</t>
        </is>
      </c>
      <c r="Q379" s="97" t="inlineStr">
        <is>
          <t>N/A</t>
        </is>
      </c>
      <c r="R379" s="97" t="inlineStr">
        <is>
          <t>N</t>
        </is>
      </c>
      <c r="S379" s="97" t="n">
        <v>-1.2</v>
      </c>
      <c r="T379" s="97" t="n">
        <v>-3.8</v>
      </c>
      <c r="U379" s="97" t="inlineStr">
        <is>
          <t>N</t>
        </is>
      </c>
      <c r="V379" s="97" t="n">
        <v>73.5</v>
      </c>
      <c r="W379" s="97" t="n">
        <v>13.8</v>
      </c>
      <c r="X379" s="97" t="n">
        <v>6.17</v>
      </c>
      <c r="Y379" s="97" t="n">
        <v>97.8</v>
      </c>
      <c r="Z379" s="97" t="n">
        <v>2</v>
      </c>
      <c r="AA379" s="92" t="inlineStr">
        <is>
          <t>AVOID</t>
        </is>
      </c>
    </row>
    <row r="380">
      <c r="A380" s="99" t="inlineStr">
        <is>
          <t>DMART</t>
        </is>
      </c>
      <c r="B380" s="99" t="inlineStr">
        <is>
          <t>Avenue Supermarts Ltd.</t>
        </is>
      </c>
      <c r="C380" s="99" t="inlineStr">
        <is>
          <t>Consumer Services</t>
        </is>
      </c>
      <c r="D380" s="99" t="inlineStr">
        <is>
          <t>Large/Midcap</t>
        </is>
      </c>
      <c r="E380" s="99" t="n">
        <v>4027.7</v>
      </c>
      <c r="F380" s="99" t="n">
        <v>0.22</v>
      </c>
      <c r="G380" s="99" t="n">
        <v>384728</v>
      </c>
      <c r="H380" s="99" t="n">
        <v>0.83</v>
      </c>
      <c r="I380" s="99" t="n">
        <v>262705</v>
      </c>
      <c r="J380" s="99" t="inlineStr">
        <is>
          <t>Y</t>
        </is>
      </c>
      <c r="K380" s="99" t="inlineStr">
        <is>
          <t>N</t>
        </is>
      </c>
      <c r="L380" s="99" t="inlineStr">
        <is>
          <t>N</t>
        </is>
      </c>
      <c r="M380" s="99" t="n">
        <v>44.4</v>
      </c>
      <c r="N380" s="99" t="inlineStr">
        <is>
          <t>N</t>
        </is>
      </c>
      <c r="O380" s="99" t="n">
        <v>82.97</v>
      </c>
      <c r="P380" s="99" t="inlineStr">
        <is>
          <t>N</t>
        </is>
      </c>
      <c r="Q380" s="99" t="inlineStr">
        <is>
          <t>N/A</t>
        </is>
      </c>
      <c r="R380" s="99" t="inlineStr">
        <is>
          <t>N</t>
        </is>
      </c>
      <c r="S380" s="99" t="n">
        <v>-6</v>
      </c>
      <c r="T380" s="99" t="n">
        <v>-11.8</v>
      </c>
      <c r="U380" s="99" t="inlineStr">
        <is>
          <t>N</t>
        </is>
      </c>
      <c r="V380" s="99" t="n">
        <v>85.5</v>
      </c>
      <c r="W380" s="99" t="inlineStr">
        <is>
          <t>N/A</t>
        </is>
      </c>
      <c r="X380" s="99" t="n">
        <v>9.91</v>
      </c>
      <c r="Y380" s="99" t="n">
        <v>31.1</v>
      </c>
      <c r="Z380" s="99" t="n">
        <v>2</v>
      </c>
      <c r="AA380" s="94" t="inlineStr">
        <is>
          <t>AVOID</t>
        </is>
      </c>
    </row>
    <row r="381">
      <c r="A381" s="97" t="inlineStr">
        <is>
          <t>BEML</t>
        </is>
      </c>
      <c r="B381" s="97" t="inlineStr">
        <is>
          <t>BEML Ltd.</t>
        </is>
      </c>
      <c r="C381" s="97" t="inlineStr">
        <is>
          <t>Capital Goods</t>
        </is>
      </c>
      <c r="D381" s="97" t="inlineStr">
        <is>
          <t>BSE Smallcap</t>
        </is>
      </c>
      <c r="E381" s="97" t="n">
        <v>1713.2</v>
      </c>
      <c r="F381" s="97" t="n">
        <v>-1.01</v>
      </c>
      <c r="G381" s="97" t="n">
        <v>106026</v>
      </c>
      <c r="H381" s="97" t="n">
        <v>0.8100000000000001</v>
      </c>
      <c r="I381" s="97" t="n">
        <v>14826</v>
      </c>
      <c r="J381" s="97" t="inlineStr">
        <is>
          <t>Y</t>
        </is>
      </c>
      <c r="K381" s="97" t="inlineStr">
        <is>
          <t>N</t>
        </is>
      </c>
      <c r="L381" s="97" t="inlineStr">
        <is>
          <t>N</t>
        </is>
      </c>
      <c r="M381" s="97" t="n">
        <v>31.9</v>
      </c>
      <c r="N381" s="97" t="inlineStr">
        <is>
          <t>N</t>
        </is>
      </c>
      <c r="O381" s="97" t="n">
        <v>46.88</v>
      </c>
      <c r="P381" s="97" t="inlineStr">
        <is>
          <t>N</t>
        </is>
      </c>
      <c r="Q381" s="97" t="inlineStr">
        <is>
          <t>N/A</t>
        </is>
      </c>
      <c r="R381" s="97" t="inlineStr">
        <is>
          <t>N</t>
        </is>
      </c>
      <c r="S381" s="97" t="n">
        <v>-1.8</v>
      </c>
      <c r="T381" s="97" t="n">
        <v>-5.8</v>
      </c>
      <c r="U381" s="97" t="inlineStr">
        <is>
          <t>N</t>
        </is>
      </c>
      <c r="V381" s="97" t="n">
        <v>105</v>
      </c>
      <c r="W381" s="97" t="n">
        <v>4.9</v>
      </c>
      <c r="X381" s="97" t="n">
        <v>10.57</v>
      </c>
      <c r="Y381" s="97" t="n">
        <v>903.5</v>
      </c>
      <c r="Z381" s="97" t="n">
        <v>2</v>
      </c>
      <c r="AA381" s="92" t="inlineStr">
        <is>
          <t>AVOID</t>
        </is>
      </c>
    </row>
    <row r="382">
      <c r="A382" s="99" t="inlineStr">
        <is>
          <t>AXISBANK</t>
        </is>
      </c>
      <c r="B382" s="99" t="inlineStr">
        <is>
          <t>Axis Bank Ltd.</t>
        </is>
      </c>
      <c r="C382" s="99" t="inlineStr">
        <is>
          <t>Financial Services</t>
        </is>
      </c>
      <c r="D382" s="99" t="inlineStr">
        <is>
          <t>Large/Midcap</t>
        </is>
      </c>
      <c r="E382" s="99" t="n">
        <v>1227.3</v>
      </c>
      <c r="F382" s="99" t="n">
        <v>0.35</v>
      </c>
      <c r="G382" s="99" t="n">
        <v>8088828</v>
      </c>
      <c r="H382" s="99" t="n">
        <v>0.77</v>
      </c>
      <c r="I382" s="99" t="n">
        <v>381885</v>
      </c>
      <c r="J382" s="99" t="inlineStr">
        <is>
          <t>Y</t>
        </is>
      </c>
      <c r="K382" s="99" t="inlineStr">
        <is>
          <t>N</t>
        </is>
      </c>
      <c r="L382" s="99" t="inlineStr">
        <is>
          <t>N</t>
        </is>
      </c>
      <c r="M382" s="99" t="n">
        <v>25.1</v>
      </c>
      <c r="N382" s="99" t="inlineStr">
        <is>
          <t>N</t>
        </is>
      </c>
      <c r="O382" s="99" t="n">
        <v>30.3</v>
      </c>
      <c r="P382" s="99" t="inlineStr">
        <is>
          <t>N</t>
        </is>
      </c>
      <c r="Q382" s="99" t="inlineStr">
        <is>
          <t>N/A</t>
        </is>
      </c>
      <c r="R382" s="99" t="inlineStr">
        <is>
          <t>N</t>
        </is>
      </c>
      <c r="S382" s="99" t="n">
        <v>-10.6</v>
      </c>
      <c r="T382" s="99" t="n">
        <v>-4.9</v>
      </c>
      <c r="U382" s="99" t="inlineStr">
        <is>
          <t>N</t>
        </is>
      </c>
      <c r="V382" s="99" t="n">
        <v>13.8</v>
      </c>
      <c r="W382" s="99" t="n">
        <v>13.4</v>
      </c>
      <c r="X382" s="99" t="inlineStr">
        <is>
          <t>N/A</t>
        </is>
      </c>
      <c r="Y382" s="99" t="n">
        <v>0.4</v>
      </c>
      <c r="Z382" s="99" t="n">
        <v>2</v>
      </c>
      <c r="AA382" s="94" t="inlineStr">
        <is>
          <t>AVOID</t>
        </is>
      </c>
    </row>
    <row r="383">
      <c r="A383" s="97" t="inlineStr">
        <is>
          <t>BAJAJHFL</t>
        </is>
      </c>
      <c r="B383" s="97" t="inlineStr">
        <is>
          <t>Bajaj Housing Finance Ltd.</t>
        </is>
      </c>
      <c r="C383" s="97" t="inlineStr">
        <is>
          <t>Financial Services</t>
        </is>
      </c>
      <c r="D383" s="97" t="inlineStr">
        <is>
          <t>Large/Midcap</t>
        </is>
      </c>
      <c r="E383" s="97" t="n">
        <v>85.5</v>
      </c>
      <c r="F383" s="97" t="n">
        <v>1.56</v>
      </c>
      <c r="G383" s="97" t="n">
        <v>2127865</v>
      </c>
      <c r="H383" s="97" t="n">
        <v>0.87</v>
      </c>
      <c r="I383" s="97" t="n">
        <v>71210</v>
      </c>
      <c r="J383" s="97" t="inlineStr">
        <is>
          <t>Y</t>
        </is>
      </c>
      <c r="K383" s="97" t="inlineStr">
        <is>
          <t>N</t>
        </is>
      </c>
      <c r="L383" s="97" t="inlineStr">
        <is>
          <t>N</t>
        </is>
      </c>
      <c r="M383" s="97" t="n">
        <v>36.7</v>
      </c>
      <c r="N383" s="97" t="inlineStr">
        <is>
          <t>N</t>
        </is>
      </c>
      <c r="O383" s="97" t="n">
        <v>1.56</v>
      </c>
      <c r="P383" s="97" t="inlineStr">
        <is>
          <t>N</t>
        </is>
      </c>
      <c r="Q383" s="97" t="inlineStr">
        <is>
          <t>N/A</t>
        </is>
      </c>
      <c r="R383" s="97" t="inlineStr">
        <is>
          <t>N</t>
        </is>
      </c>
      <c r="S383" s="97" t="n">
        <v>-2</v>
      </c>
      <c r="T383" s="97" t="n">
        <v>-1.5</v>
      </c>
      <c r="U383" s="97" t="inlineStr">
        <is>
          <t>N</t>
        </is>
      </c>
      <c r="V383" s="97" t="n">
        <v>27.4</v>
      </c>
      <c r="W383" s="97" t="n">
        <v>12.1</v>
      </c>
      <c r="X383" s="97" t="n">
        <v>460.74</v>
      </c>
      <c r="Y383" s="97" t="n">
        <v>0.6</v>
      </c>
      <c r="Z383" s="97" t="n">
        <v>2</v>
      </c>
      <c r="AA383" s="92" t="inlineStr">
        <is>
          <t>AVOID</t>
        </is>
      </c>
    </row>
    <row r="384">
      <c r="A384" s="99" t="inlineStr">
        <is>
          <t>BDL</t>
        </is>
      </c>
      <c r="B384" s="99" t="inlineStr">
        <is>
          <t>Bharat Dynamics Ltd.</t>
        </is>
      </c>
      <c r="C384" s="99" t="inlineStr">
        <is>
          <t>Capital Goods</t>
        </is>
      </c>
      <c r="D384" s="99" t="inlineStr">
        <is>
          <t>Large/Midcap</t>
        </is>
      </c>
      <c r="E384" s="99" t="n">
        <v>1256.4</v>
      </c>
      <c r="F384" s="99" t="n">
        <v>1.08</v>
      </c>
      <c r="G384" s="99" t="n">
        <v>667606</v>
      </c>
      <c r="H384" s="99" t="n">
        <v>1.26</v>
      </c>
      <c r="I384" s="99" t="n">
        <v>46055</v>
      </c>
      <c r="J384" s="99" t="inlineStr">
        <is>
          <t>Y</t>
        </is>
      </c>
      <c r="K384" s="99" t="inlineStr">
        <is>
          <t>N</t>
        </is>
      </c>
      <c r="L384" s="99" t="inlineStr">
        <is>
          <t>N</t>
        </is>
      </c>
      <c r="M384" s="99" t="n">
        <v>21.7</v>
      </c>
      <c r="N384" s="99" t="inlineStr">
        <is>
          <t>N</t>
        </is>
      </c>
      <c r="O384" s="99" t="n">
        <v>31.84</v>
      </c>
      <c r="P384" s="99" t="inlineStr">
        <is>
          <t>N</t>
        </is>
      </c>
      <c r="Q384" s="99" t="inlineStr">
        <is>
          <t>N/A</t>
        </is>
      </c>
      <c r="R384" s="99" t="inlineStr">
        <is>
          <t>N</t>
        </is>
      </c>
      <c r="S384" s="99" t="n">
        <v>-7.9</v>
      </c>
      <c r="T384" s="99" t="n">
        <v>-7.5</v>
      </c>
      <c r="U384" s="99" t="inlineStr">
        <is>
          <t>N</t>
        </is>
      </c>
      <c r="V384" s="99" t="n">
        <v>108.7</v>
      </c>
      <c r="W384" s="99" t="n">
        <v>10.2</v>
      </c>
      <c r="X384" s="99" t="n">
        <v>0.01</v>
      </c>
      <c r="Y384" s="99" t="n">
        <v>55.2</v>
      </c>
      <c r="Z384" s="99" t="n">
        <v>2</v>
      </c>
      <c r="AA384" s="94" t="inlineStr">
        <is>
          <t>AVOID</t>
        </is>
      </c>
    </row>
    <row r="385">
      <c r="A385" s="97" t="inlineStr">
        <is>
          <t>BIKAJI</t>
        </is>
      </c>
      <c r="B385" s="97" t="inlineStr">
        <is>
          <t>Bikaji Foods International Ltd.</t>
        </is>
      </c>
      <c r="C385" s="97" t="inlineStr">
        <is>
          <t>Fast Moving Consumer Goods</t>
        </is>
      </c>
      <c r="D385" s="97" t="inlineStr">
        <is>
          <t>BSE Smallcap</t>
        </is>
      </c>
      <c r="E385" s="97" t="n">
        <v>630.7</v>
      </c>
      <c r="F385" s="97" t="n">
        <v>-0.02</v>
      </c>
      <c r="G385" s="97" t="n">
        <v>54522</v>
      </c>
      <c r="H385" s="97" t="n">
        <v>0.86</v>
      </c>
      <c r="I385" s="97" t="n">
        <v>16078</v>
      </c>
      <c r="J385" s="97" t="inlineStr">
        <is>
          <t>Y</t>
        </is>
      </c>
      <c r="K385" s="97" t="inlineStr">
        <is>
          <t>N</t>
        </is>
      </c>
      <c r="L385" s="97" t="inlineStr">
        <is>
          <t>N</t>
        </is>
      </c>
      <c r="M385" s="97" t="n">
        <v>26.5</v>
      </c>
      <c r="N385" s="97" t="inlineStr">
        <is>
          <t>N</t>
        </is>
      </c>
      <c r="O385" s="97" t="n">
        <v>12.17</v>
      </c>
      <c r="P385" s="97" t="inlineStr">
        <is>
          <t>N</t>
        </is>
      </c>
      <c r="Q385" s="97" t="inlineStr">
        <is>
          <t>N/A</t>
        </is>
      </c>
      <c r="R385" s="97" t="inlineStr">
        <is>
          <t>N</t>
        </is>
      </c>
      <c r="S385" s="97" t="n">
        <v>-1.1</v>
      </c>
      <c r="T385" s="97" t="n">
        <v>-5.7</v>
      </c>
      <c r="U385" s="97" t="inlineStr">
        <is>
          <t>N</t>
        </is>
      </c>
      <c r="V385" s="97" t="n">
        <v>62.4</v>
      </c>
      <c r="W385" s="97" t="n">
        <v>16</v>
      </c>
      <c r="X385" s="97" t="n">
        <v>17.53</v>
      </c>
      <c r="Y385" s="97" t="n">
        <v>-9.300000000000001</v>
      </c>
      <c r="Z385" s="97" t="n">
        <v>2</v>
      </c>
      <c r="AA385" s="92" t="inlineStr">
        <is>
          <t>AVOID</t>
        </is>
      </c>
    </row>
    <row r="386">
      <c r="A386" s="99" t="inlineStr">
        <is>
          <t>CESC</t>
        </is>
      </c>
      <c r="B386" s="99" t="inlineStr">
        <is>
          <t>CESC Ltd.</t>
        </is>
      </c>
      <c r="C386" s="99" t="inlineStr">
        <is>
          <t>Power</t>
        </is>
      </c>
      <c r="D386" s="99" t="inlineStr">
        <is>
          <t>BSE Smallcap</t>
        </is>
      </c>
      <c r="E386" s="99" t="n">
        <v>162.32</v>
      </c>
      <c r="F386" s="99" t="n">
        <v>-0.53</v>
      </c>
      <c r="G386" s="99" t="n">
        <v>766356</v>
      </c>
      <c r="H386" s="99" t="n">
        <v>1.47</v>
      </c>
      <c r="I386" s="99" t="n">
        <v>21517</v>
      </c>
      <c r="J386" s="99" t="inlineStr">
        <is>
          <t>Y</t>
        </is>
      </c>
      <c r="K386" s="99" t="inlineStr">
        <is>
          <t>N</t>
        </is>
      </c>
      <c r="L386" s="99" t="inlineStr">
        <is>
          <t>N</t>
        </is>
      </c>
      <c r="M386" s="99" t="n">
        <v>40.1</v>
      </c>
      <c r="N386" s="99" t="inlineStr">
        <is>
          <t>N</t>
        </is>
      </c>
      <c r="O386" s="99" t="n">
        <v>3.38</v>
      </c>
      <c r="P386" s="99" t="inlineStr">
        <is>
          <t>N</t>
        </is>
      </c>
      <c r="Q386" s="99" t="inlineStr">
        <is>
          <t>N/A</t>
        </is>
      </c>
      <c r="R386" s="99" t="inlineStr">
        <is>
          <t>N</t>
        </is>
      </c>
      <c r="S386" s="99" t="n">
        <v>-3.1</v>
      </c>
      <c r="T386" s="99" t="n">
        <v>-13</v>
      </c>
      <c r="U386" s="99" t="inlineStr">
        <is>
          <t>N</t>
        </is>
      </c>
      <c r="V386" s="99" t="n">
        <v>14</v>
      </c>
      <c r="W386" s="99" t="n">
        <v>12.5</v>
      </c>
      <c r="X386" s="99" t="n">
        <v>164.31</v>
      </c>
      <c r="Y386" s="99" t="n">
        <v>54</v>
      </c>
      <c r="Z386" s="99" t="n">
        <v>2</v>
      </c>
      <c r="AA386" s="94" t="inlineStr">
        <is>
          <t>AVOID</t>
        </is>
      </c>
    </row>
    <row r="387">
      <c r="A387" s="97" t="inlineStr">
        <is>
          <t>CIEINDIA</t>
        </is>
      </c>
      <c r="B387" s="97" t="inlineStr">
        <is>
          <t>CIE Automotive India Ltd.</t>
        </is>
      </c>
      <c r="C387" s="97" t="inlineStr">
        <is>
          <t>Automobile and Auto Components</t>
        </is>
      </c>
      <c r="D387" s="97" t="inlineStr">
        <is>
          <t>BSE Smallcap</t>
        </is>
      </c>
      <c r="E387" s="97" t="n">
        <v>413.75</v>
      </c>
      <c r="F387" s="97" t="n">
        <v>-1.25</v>
      </c>
      <c r="G387" s="97" t="n">
        <v>1114765</v>
      </c>
      <c r="H387" s="97" t="n">
        <v>0.5</v>
      </c>
      <c r="I387" s="97" t="n">
        <v>15683</v>
      </c>
      <c r="J387" s="97" t="inlineStr">
        <is>
          <t>Y</t>
        </is>
      </c>
      <c r="K387" s="97" t="inlineStr">
        <is>
          <t>N</t>
        </is>
      </c>
      <c r="L387" s="97" t="inlineStr">
        <is>
          <t>N</t>
        </is>
      </c>
      <c r="M387" s="97" t="n">
        <v>27.3</v>
      </c>
      <c r="N387" s="97" t="inlineStr">
        <is>
          <t>N</t>
        </is>
      </c>
      <c r="O387" s="97" t="n">
        <v>15.95</v>
      </c>
      <c r="P387" s="97" t="inlineStr">
        <is>
          <t>Y</t>
        </is>
      </c>
      <c r="Q387" s="97" t="inlineStr">
        <is>
          <t>N/A</t>
        </is>
      </c>
      <c r="R387" s="97" t="inlineStr">
        <is>
          <t>N</t>
        </is>
      </c>
      <c r="S387" s="97" t="n">
        <v>-12</v>
      </c>
      <c r="T387" s="97" t="n">
        <v>-11.5</v>
      </c>
      <c r="U387" s="97" t="inlineStr">
        <is>
          <t>N</t>
        </is>
      </c>
      <c r="V387" s="97" t="n">
        <v>17.5</v>
      </c>
      <c r="W387" s="97" t="inlineStr">
        <is>
          <t>N/A</t>
        </is>
      </c>
      <c r="X387" s="97" t="n">
        <v>6.63</v>
      </c>
      <c r="Y387" s="97" t="n">
        <v>-5.5</v>
      </c>
      <c r="Z387" s="97" t="n">
        <v>2</v>
      </c>
      <c r="AA387" s="92" t="inlineStr">
        <is>
          <t>AVOID</t>
        </is>
      </c>
    </row>
    <row r="388">
      <c r="A388" s="99" t="inlineStr">
        <is>
          <t>CENTRALBK</t>
        </is>
      </c>
      <c r="B388" s="99" t="inlineStr">
        <is>
          <t>Central Bank of India</t>
        </is>
      </c>
      <c r="C388" s="99" t="inlineStr">
        <is>
          <t>Financial Services</t>
        </is>
      </c>
      <c r="D388" s="99" t="inlineStr">
        <is>
          <t>NSE Smallcap</t>
        </is>
      </c>
      <c r="E388" s="99" t="n">
        <v>31.25</v>
      </c>
      <c r="F388" s="99" t="n">
        <v>0.71</v>
      </c>
      <c r="G388" s="99" t="n">
        <v>7486343</v>
      </c>
      <c r="H388" s="99" t="n">
        <v>0.87</v>
      </c>
      <c r="I388" s="99" t="n">
        <v>28286</v>
      </c>
      <c r="J388" s="99" t="inlineStr">
        <is>
          <t>Y</t>
        </is>
      </c>
      <c r="K388" s="99" t="inlineStr">
        <is>
          <t>N</t>
        </is>
      </c>
      <c r="L388" s="99" t="inlineStr">
        <is>
          <t>N</t>
        </is>
      </c>
      <c r="M388" s="99" t="n">
        <v>42.9</v>
      </c>
      <c r="N388" s="99" t="inlineStr">
        <is>
          <t>N</t>
        </is>
      </c>
      <c r="O388" s="99" t="n">
        <v>0.83</v>
      </c>
      <c r="P388" s="99" t="inlineStr">
        <is>
          <t>N</t>
        </is>
      </c>
      <c r="Q388" s="99" t="inlineStr">
        <is>
          <t>N/A</t>
        </is>
      </c>
      <c r="R388" s="99" t="inlineStr">
        <is>
          <t>N</t>
        </is>
      </c>
      <c r="S388" s="99" t="n">
        <v>-2.7</v>
      </c>
      <c r="T388" s="99" t="n">
        <v>-12.4</v>
      </c>
      <c r="U388" s="99" t="inlineStr">
        <is>
          <t>N</t>
        </is>
      </c>
      <c r="V388" s="99" t="n">
        <v>6.2</v>
      </c>
      <c r="W388" s="99" t="n">
        <v>11.6</v>
      </c>
      <c r="X388" s="99" t="inlineStr">
        <is>
          <t>N/A</t>
        </is>
      </c>
      <c r="Y388" s="99" t="n">
        <v>77.40000000000001</v>
      </c>
      <c r="Z388" s="99" t="n">
        <v>2</v>
      </c>
      <c r="AA388" s="94" t="inlineStr">
        <is>
          <t>AVOID</t>
        </is>
      </c>
    </row>
    <row r="389">
      <c r="A389" s="97" t="inlineStr">
        <is>
          <t>COCHINSHIP</t>
        </is>
      </c>
      <c r="B389" s="97" t="inlineStr">
        <is>
          <t>Cochin Shipyard Ltd.</t>
        </is>
      </c>
      <c r="C389" s="97" t="inlineStr">
        <is>
          <t>Capital Goods</t>
        </is>
      </c>
      <c r="D389" s="97" t="inlineStr">
        <is>
          <t>Large/Midcap</t>
        </is>
      </c>
      <c r="E389" s="97" t="n">
        <v>1392.4</v>
      </c>
      <c r="F389" s="97" t="n">
        <v>-0.24</v>
      </c>
      <c r="G389" s="97" t="n">
        <v>543772</v>
      </c>
      <c r="H389" s="97" t="n">
        <v>0.62</v>
      </c>
      <c r="I389" s="97" t="n">
        <v>36892</v>
      </c>
      <c r="J389" s="97" t="inlineStr">
        <is>
          <t>Y</t>
        </is>
      </c>
      <c r="K389" s="97" t="inlineStr">
        <is>
          <t>N</t>
        </is>
      </c>
      <c r="L389" s="97" t="inlineStr">
        <is>
          <t>N</t>
        </is>
      </c>
      <c r="M389" s="97" t="n">
        <v>27.1</v>
      </c>
      <c r="N389" s="97" t="inlineStr">
        <is>
          <t>N</t>
        </is>
      </c>
      <c r="O389" s="97" t="n">
        <v>32.98</v>
      </c>
      <c r="P389" s="97" t="inlineStr">
        <is>
          <t>N</t>
        </is>
      </c>
      <c r="Q389" s="97" t="inlineStr">
        <is>
          <t>N/A</t>
        </is>
      </c>
      <c r="R389" s="97" t="inlineStr">
        <is>
          <t>N</t>
        </is>
      </c>
      <c r="S389" s="97" t="n">
        <v>-4.3</v>
      </c>
      <c r="T389" s="97" t="n">
        <v>-21.1</v>
      </c>
      <c r="U389" s="97" t="inlineStr">
        <is>
          <t>N</t>
        </is>
      </c>
      <c r="V389" s="97" t="n">
        <v>51.4</v>
      </c>
      <c r="W389" s="97" t="n">
        <v>12.5</v>
      </c>
      <c r="X389" s="97" t="n">
        <v>28.47</v>
      </c>
      <c r="Y389" s="97" t="n">
        <v>91.09999999999999</v>
      </c>
      <c r="Z389" s="97" t="n">
        <v>2</v>
      </c>
      <c r="AA389" s="92" t="inlineStr">
        <is>
          <t>AVOID</t>
        </is>
      </c>
    </row>
    <row r="390">
      <c r="A390" s="99" t="inlineStr">
        <is>
          <t>CROMPTON</t>
        </is>
      </c>
      <c r="B390" s="99" t="inlineStr">
        <is>
          <t>Crompton Greaves Consumer Electricals Ltd.</t>
        </is>
      </c>
      <c r="C390" s="99" t="inlineStr">
        <is>
          <t>Consumer Durables</t>
        </is>
      </c>
      <c r="D390" s="99" t="inlineStr">
        <is>
          <t>BSE Smallcap</t>
        </is>
      </c>
      <c r="E390" s="99" t="n">
        <v>250.15</v>
      </c>
      <c r="F390" s="99" t="n">
        <v>0.28</v>
      </c>
      <c r="G390" s="99" t="n">
        <v>4490954</v>
      </c>
      <c r="H390" s="99" t="n">
        <v>1.58</v>
      </c>
      <c r="I390" s="99" t="n">
        <v>16040</v>
      </c>
      <c r="J390" s="99" t="inlineStr">
        <is>
          <t>Y</t>
        </is>
      </c>
      <c r="K390" s="99" t="inlineStr">
        <is>
          <t>N</t>
        </is>
      </c>
      <c r="L390" s="99" t="inlineStr">
        <is>
          <t>N</t>
        </is>
      </c>
      <c r="M390" s="99" t="n">
        <v>25.5</v>
      </c>
      <c r="N390" s="99" t="inlineStr">
        <is>
          <t>N</t>
        </is>
      </c>
      <c r="O390" s="99" t="n">
        <v>6.89</v>
      </c>
      <c r="P390" s="99" t="inlineStr">
        <is>
          <t>Y</t>
        </is>
      </c>
      <c r="Q390" s="99" t="inlineStr">
        <is>
          <t>N/A</t>
        </is>
      </c>
      <c r="R390" s="99" t="inlineStr">
        <is>
          <t>N</t>
        </is>
      </c>
      <c r="S390" s="99" t="n">
        <v>-7.8</v>
      </c>
      <c r="T390" s="99" t="n">
        <v>-7.9</v>
      </c>
      <c r="U390" s="99" t="inlineStr">
        <is>
          <t>N</t>
        </is>
      </c>
      <c r="V390" s="99" t="inlineStr">
        <is>
          <t>N/A</t>
        </is>
      </c>
      <c r="W390" s="99" t="n">
        <v>-6.3</v>
      </c>
      <c r="X390" s="99" t="n">
        <v>5.8</v>
      </c>
      <c r="Y390" s="99" t="n">
        <v>-643.1</v>
      </c>
      <c r="Z390" s="99" t="n">
        <v>2</v>
      </c>
      <c r="AA390" s="94" t="inlineStr">
        <is>
          <t>AVOID</t>
        </is>
      </c>
    </row>
    <row r="391">
      <c r="A391" s="97" t="inlineStr">
        <is>
          <t>CYIENT</t>
        </is>
      </c>
      <c r="B391" s="97" t="inlineStr">
        <is>
          <t>Cyient Ltd.</t>
        </is>
      </c>
      <c r="C391" s="97" t="inlineStr">
        <is>
          <t>Information Technology</t>
        </is>
      </c>
      <c r="D391" s="97" t="inlineStr">
        <is>
          <t>BSE Smallcap</t>
        </is>
      </c>
      <c r="E391" s="97" t="n">
        <v>825.2</v>
      </c>
      <c r="F391" s="97" t="n">
        <v>-1.77</v>
      </c>
      <c r="G391" s="97" t="n">
        <v>559577</v>
      </c>
      <c r="H391" s="97" t="n">
        <v>0.51</v>
      </c>
      <c r="I391" s="97" t="n">
        <v>8590</v>
      </c>
      <c r="J391" s="97" t="inlineStr">
        <is>
          <t>Y</t>
        </is>
      </c>
      <c r="K391" s="97" t="inlineStr">
        <is>
          <t>N</t>
        </is>
      </c>
      <c r="L391" s="97" t="inlineStr">
        <is>
          <t>N</t>
        </is>
      </c>
      <c r="M391" s="97" t="n">
        <v>42.6</v>
      </c>
      <c r="N391" s="97" t="inlineStr">
        <is>
          <t>N</t>
        </is>
      </c>
      <c r="O391" s="97" t="n">
        <v>22.85</v>
      </c>
      <c r="P391" s="97" t="inlineStr">
        <is>
          <t>N</t>
        </is>
      </c>
      <c r="Q391" s="97" t="inlineStr">
        <is>
          <t>N/A</t>
        </is>
      </c>
      <c r="R391" s="97" t="inlineStr">
        <is>
          <t>N</t>
        </is>
      </c>
      <c r="S391" s="97" t="n">
        <v>-6.6</v>
      </c>
      <c r="T391" s="97" t="n">
        <v>-4.9</v>
      </c>
      <c r="U391" s="97" t="inlineStr">
        <is>
          <t>N</t>
        </is>
      </c>
      <c r="V391" s="97" t="n">
        <v>24.7</v>
      </c>
      <c r="W391" s="97" t="inlineStr">
        <is>
          <t>N/A</t>
        </is>
      </c>
      <c r="X391" s="97" t="n">
        <v>7.53</v>
      </c>
      <c r="Y391" s="97" t="n">
        <v>90</v>
      </c>
      <c r="Z391" s="97" t="n">
        <v>2</v>
      </c>
      <c r="AA391" s="92" t="inlineStr">
        <is>
          <t>AVOID</t>
        </is>
      </c>
    </row>
    <row r="392">
      <c r="A392" s="99" t="inlineStr">
        <is>
          <t>DABUR</t>
        </is>
      </c>
      <c r="B392" s="99" t="inlineStr">
        <is>
          <t>Dabur India Ltd.</t>
        </is>
      </c>
      <c r="C392" s="99" t="inlineStr">
        <is>
          <t>Fast Moving Consumer Goods</t>
        </is>
      </c>
      <c r="D392" s="99" t="inlineStr">
        <is>
          <t>Large/Midcap</t>
        </is>
      </c>
      <c r="E392" s="99" t="n">
        <v>423.2</v>
      </c>
      <c r="F392" s="99" t="n">
        <v>0.01</v>
      </c>
      <c r="G392" s="99" t="n">
        <v>641619</v>
      </c>
      <c r="H392" s="99" t="n">
        <v>0.43</v>
      </c>
      <c r="I392" s="99" t="n">
        <v>75810</v>
      </c>
      <c r="J392" s="99" t="inlineStr">
        <is>
          <t>Y</t>
        </is>
      </c>
      <c r="K392" s="99" t="inlineStr">
        <is>
          <t>N</t>
        </is>
      </c>
      <c r="L392" s="99" t="inlineStr">
        <is>
          <t>N</t>
        </is>
      </c>
      <c r="M392" s="99" t="n">
        <v>28.9</v>
      </c>
      <c r="N392" s="99" t="inlineStr">
        <is>
          <t>N</t>
        </is>
      </c>
      <c r="O392" s="99" t="n">
        <v>7.71</v>
      </c>
      <c r="P392" s="99" t="inlineStr">
        <is>
          <t>N</t>
        </is>
      </c>
      <c r="Q392" s="99" t="inlineStr">
        <is>
          <t>N/A</t>
        </is>
      </c>
      <c r="R392" s="99" t="inlineStr">
        <is>
          <t>N</t>
        </is>
      </c>
      <c r="S392" s="99" t="n">
        <v>1.4</v>
      </c>
      <c r="T392" s="99" t="n">
        <v>-5.6</v>
      </c>
      <c r="U392" s="99" t="inlineStr">
        <is>
          <t>N</t>
        </is>
      </c>
      <c r="V392" s="99" t="n">
        <v>40.1</v>
      </c>
      <c r="W392" s="99" t="n">
        <v>16.2</v>
      </c>
      <c r="X392" s="99" t="n">
        <v>10.91</v>
      </c>
      <c r="Y392" s="99" t="n">
        <v>-34.2</v>
      </c>
      <c r="Z392" s="99" t="n">
        <v>2</v>
      </c>
      <c r="AA392" s="94" t="inlineStr">
        <is>
          <t>AVOID</t>
        </is>
      </c>
    </row>
    <row r="393">
      <c r="A393" s="97" t="inlineStr">
        <is>
          <t>EIDPARRY</t>
        </is>
      </c>
      <c r="B393" s="97" t="inlineStr">
        <is>
          <t>E.I.D. Parry (India) Ltd.</t>
        </is>
      </c>
      <c r="C393" s="97" t="inlineStr">
        <is>
          <t>Fast Moving Consumer Goods</t>
        </is>
      </c>
      <c r="D393" s="97" t="inlineStr">
        <is>
          <t>BSE Smallcap</t>
        </is>
      </c>
      <c r="E393" s="97" t="n">
        <v>758</v>
      </c>
      <c r="F393" s="97" t="n">
        <v>-0.15</v>
      </c>
      <c r="G393" s="97" t="n">
        <v>128554</v>
      </c>
      <c r="H393" s="97" t="n">
        <v>0.62</v>
      </c>
      <c r="I393" s="97" t="n">
        <v>13723</v>
      </c>
      <c r="J393" s="97" t="inlineStr">
        <is>
          <t>Y</t>
        </is>
      </c>
      <c r="K393" s="97" t="inlineStr">
        <is>
          <t>Y</t>
        </is>
      </c>
      <c r="L393" s="97" t="inlineStr">
        <is>
          <t>N</t>
        </is>
      </c>
      <c r="M393" s="97" t="n">
        <v>47.3</v>
      </c>
      <c r="N393" s="97" t="inlineStr">
        <is>
          <t>N</t>
        </is>
      </c>
      <c r="O393" s="97" t="n">
        <v>22.17</v>
      </c>
      <c r="P393" s="97" t="inlineStr">
        <is>
          <t>N</t>
        </is>
      </c>
      <c r="Q393" s="97" t="inlineStr">
        <is>
          <t>N/A</t>
        </is>
      </c>
      <c r="R393" s="97" t="inlineStr">
        <is>
          <t>N</t>
        </is>
      </c>
      <c r="S393" s="97" t="n">
        <v>7</v>
      </c>
      <c r="T393" s="97" t="n">
        <v>-9.9</v>
      </c>
      <c r="U393" s="97" t="inlineStr">
        <is>
          <t>N</t>
        </is>
      </c>
      <c r="V393" s="97" t="n">
        <v>24.2</v>
      </c>
      <c r="W393" s="97" t="n">
        <v>9.9</v>
      </c>
      <c r="X393" s="97" t="n">
        <v>23.65</v>
      </c>
      <c r="Y393" s="97" t="n">
        <v>-243.6</v>
      </c>
      <c r="Z393" s="97" t="n">
        <v>2</v>
      </c>
      <c r="AA393" s="92" t="inlineStr">
        <is>
          <t>AVOID</t>
        </is>
      </c>
    </row>
    <row r="394">
      <c r="A394" s="99" t="inlineStr">
        <is>
          <t>ESCORTS</t>
        </is>
      </c>
      <c r="B394" s="99" t="inlineStr">
        <is>
          <t>Escorts Kubota Ltd.</t>
        </is>
      </c>
      <c r="C394" s="99" t="inlineStr">
        <is>
          <t>Capital Goods</t>
        </is>
      </c>
      <c r="D394" s="99" t="inlineStr">
        <is>
          <t>Large/Midcap</t>
        </is>
      </c>
      <c r="E394" s="99" t="n">
        <v>2905.1</v>
      </c>
      <c r="F394" s="99" t="n">
        <v>-0.07000000000000001</v>
      </c>
      <c r="G394" s="99" t="n">
        <v>100725</v>
      </c>
      <c r="H394" s="99" t="n">
        <v>1.65</v>
      </c>
      <c r="I394" s="99" t="n">
        <v>32503</v>
      </c>
      <c r="J394" s="99" t="inlineStr">
        <is>
          <t>Y</t>
        </is>
      </c>
      <c r="K394" s="99" t="inlineStr">
        <is>
          <t>Y</t>
        </is>
      </c>
      <c r="L394" s="99" t="inlineStr">
        <is>
          <t>N</t>
        </is>
      </c>
      <c r="M394" s="99" t="n">
        <v>38.6</v>
      </c>
      <c r="N394" s="99" t="inlineStr">
        <is>
          <t>N</t>
        </is>
      </c>
      <c r="O394" s="99" t="n">
        <v>60.96</v>
      </c>
      <c r="P394" s="99" t="inlineStr">
        <is>
          <t>N</t>
        </is>
      </c>
      <c r="Q394" s="99" t="inlineStr">
        <is>
          <t>N/A</t>
        </is>
      </c>
      <c r="R394" s="99" t="inlineStr">
        <is>
          <t>N</t>
        </is>
      </c>
      <c r="S394" s="99" t="n">
        <v>-0.1</v>
      </c>
      <c r="T394" s="99" t="n">
        <v>-10.6</v>
      </c>
      <c r="U394" s="99" t="inlineStr">
        <is>
          <t>N</t>
        </is>
      </c>
      <c r="V394" s="99" t="n">
        <v>23.8</v>
      </c>
      <c r="W394" s="99" t="n">
        <v>12</v>
      </c>
      <c r="X394" s="99" t="n">
        <v>1.31</v>
      </c>
      <c r="Y394" s="99" t="n">
        <v>-10.5</v>
      </c>
      <c r="Z394" s="99" t="n">
        <v>2</v>
      </c>
      <c r="AA394" s="94" t="inlineStr">
        <is>
          <t>AVOID</t>
        </is>
      </c>
    </row>
    <row r="395">
      <c r="A395" s="97" t="inlineStr">
        <is>
          <t>FACT</t>
        </is>
      </c>
      <c r="B395" s="97" t="inlineStr">
        <is>
          <t>Fertilisers and Chemicals Travancore Ltd.</t>
        </is>
      </c>
      <c r="C395" s="97" t="inlineStr">
        <is>
          <t>Chemicals</t>
        </is>
      </c>
      <c r="D395" s="97" t="inlineStr">
        <is>
          <t>NSE Smallcap</t>
        </is>
      </c>
      <c r="E395" s="97" t="n">
        <v>819.55</v>
      </c>
      <c r="F395" s="97" t="n">
        <v>1.27</v>
      </c>
      <c r="G395" s="97" t="n">
        <v>75961</v>
      </c>
      <c r="H395" s="97" t="n">
        <v>0.82</v>
      </c>
      <c r="I395" s="97" t="n">
        <v>53031</v>
      </c>
      <c r="J395" s="97" t="inlineStr">
        <is>
          <t>Y</t>
        </is>
      </c>
      <c r="K395" s="97" t="inlineStr">
        <is>
          <t>N</t>
        </is>
      </c>
      <c r="L395" s="97" t="inlineStr">
        <is>
          <t>N</t>
        </is>
      </c>
      <c r="M395" s="97" t="n">
        <v>28.8</v>
      </c>
      <c r="N395" s="97" t="inlineStr">
        <is>
          <t>N</t>
        </is>
      </c>
      <c r="O395" s="97" t="n">
        <v>21.12</v>
      </c>
      <c r="P395" s="97" t="inlineStr">
        <is>
          <t>N</t>
        </is>
      </c>
      <c r="Q395" s="97" t="inlineStr">
        <is>
          <t>N/A</t>
        </is>
      </c>
      <c r="R395" s="97" t="inlineStr">
        <is>
          <t>N</t>
        </is>
      </c>
      <c r="S395" s="97" t="n">
        <v>-7.7</v>
      </c>
      <c r="T395" s="97" t="n">
        <v>-8.5</v>
      </c>
      <c r="U395" s="97" t="inlineStr">
        <is>
          <t>N</t>
        </is>
      </c>
      <c r="V395" s="97" t="inlineStr">
        <is>
          <t>N/A</t>
        </is>
      </c>
      <c r="W395" s="97" t="inlineStr">
        <is>
          <t>N/A</t>
        </is>
      </c>
      <c r="X395" s="97" t="n">
        <v>295.15</v>
      </c>
      <c r="Y395" s="97" t="n">
        <v>104.7</v>
      </c>
      <c r="Z395" s="97" t="n">
        <v>2</v>
      </c>
      <c r="AA395" s="92" t="inlineStr">
        <is>
          <t>AVOID</t>
        </is>
      </c>
    </row>
    <row r="396">
      <c r="A396" s="99" t="inlineStr">
        <is>
          <t>FORCEMOT</t>
        </is>
      </c>
      <c r="B396" s="99" t="inlineStr">
        <is>
          <t>Force Motors Ltd.</t>
        </is>
      </c>
      <c r="C396" s="99" t="inlineStr">
        <is>
          <t>Automobile and Auto Components</t>
        </is>
      </c>
      <c r="D396" s="99" t="inlineStr">
        <is>
          <t>BSE Smallcap</t>
        </is>
      </c>
      <c r="E396" s="99" t="n">
        <v>17268</v>
      </c>
      <c r="F396" s="99" t="n">
        <v>-2</v>
      </c>
      <c r="G396" s="99" t="n">
        <v>113614</v>
      </c>
      <c r="H396" s="99" t="n">
        <v>1.04</v>
      </c>
      <c r="I396" s="99" t="n">
        <v>22753</v>
      </c>
      <c r="J396" s="99" t="inlineStr">
        <is>
          <t>Y</t>
        </is>
      </c>
      <c r="K396" s="99" t="inlineStr">
        <is>
          <t>N</t>
        </is>
      </c>
      <c r="L396" s="99" t="inlineStr">
        <is>
          <t>N</t>
        </is>
      </c>
      <c r="M396" s="99" t="n">
        <v>32.2</v>
      </c>
      <c r="N396" s="99" t="inlineStr">
        <is>
          <t>N</t>
        </is>
      </c>
      <c r="O396" s="99" t="n">
        <v>560.36</v>
      </c>
      <c r="P396" s="99" t="inlineStr">
        <is>
          <t>N</t>
        </is>
      </c>
      <c r="Q396" s="99" t="inlineStr">
        <is>
          <t>N/A</t>
        </is>
      </c>
      <c r="R396" s="99" t="inlineStr">
        <is>
          <t>N</t>
        </is>
      </c>
      <c r="S396" s="99" t="n">
        <v>-5.9</v>
      </c>
      <c r="T396" s="99" t="n">
        <v>-12.8</v>
      </c>
      <c r="U396" s="99" t="inlineStr">
        <is>
          <t>N</t>
        </is>
      </c>
      <c r="V396" s="99" t="n">
        <v>19.2</v>
      </c>
      <c r="W396" s="99" t="n">
        <v>33.5</v>
      </c>
      <c r="X396" s="99" t="inlineStr">
        <is>
          <t>N/A</t>
        </is>
      </c>
      <c r="Y396" s="99" t="n">
        <v>-31.4</v>
      </c>
      <c r="Z396" s="99" t="n">
        <v>2</v>
      </c>
      <c r="AA396" s="94" t="inlineStr">
        <is>
          <t>AVOID</t>
        </is>
      </c>
    </row>
    <row r="397">
      <c r="A397" s="97" t="inlineStr">
        <is>
          <t>GICRE</t>
        </is>
      </c>
      <c r="B397" s="97" t="inlineStr">
        <is>
          <t>General Insurance Corporation of India</t>
        </is>
      </c>
      <c r="C397" s="97" t="inlineStr">
        <is>
          <t>Financial Services</t>
        </is>
      </c>
      <c r="D397" s="97" t="inlineStr">
        <is>
          <t>Large/Midcap</t>
        </is>
      </c>
      <c r="E397" s="97" t="n">
        <v>357.5</v>
      </c>
      <c r="F397" s="97" t="n">
        <v>-0.65</v>
      </c>
      <c r="G397" s="97" t="n">
        <v>188457</v>
      </c>
      <c r="H397" s="97" t="n">
        <v>0.58</v>
      </c>
      <c r="I397" s="97" t="n">
        <v>63018</v>
      </c>
      <c r="J397" s="97" t="inlineStr">
        <is>
          <t>Y</t>
        </is>
      </c>
      <c r="K397" s="97" t="inlineStr">
        <is>
          <t>N</t>
        </is>
      </c>
      <c r="L397" s="97" t="inlineStr">
        <is>
          <t>N</t>
        </is>
      </c>
      <c r="M397" s="97" t="n">
        <v>45.9</v>
      </c>
      <c r="N397" s="97" t="inlineStr">
        <is>
          <t>N</t>
        </is>
      </c>
      <c r="O397" s="97" t="n">
        <v>5.91</v>
      </c>
      <c r="P397" s="97" t="inlineStr">
        <is>
          <t>N</t>
        </is>
      </c>
      <c r="Q397" s="97" t="inlineStr">
        <is>
          <t>N/A</t>
        </is>
      </c>
      <c r="R397" s="97" t="inlineStr">
        <is>
          <t>N</t>
        </is>
      </c>
      <c r="S397" s="97" t="n">
        <v>-0.7</v>
      </c>
      <c r="T397" s="97" t="n">
        <v>-10.2</v>
      </c>
      <c r="U397" s="97" t="inlineStr">
        <is>
          <t>N</t>
        </is>
      </c>
      <c r="V397" s="97" t="n">
        <v>6.5</v>
      </c>
      <c r="W397" s="97" t="n">
        <v>10.7</v>
      </c>
      <c r="X397" s="97" t="inlineStr">
        <is>
          <t>N/A</t>
        </is>
      </c>
      <c r="Y397" s="97" t="n">
        <v>46.8</v>
      </c>
      <c r="Z397" s="97" t="n">
        <v>2</v>
      </c>
      <c r="AA397" s="92" t="inlineStr">
        <is>
          <t>AVOID</t>
        </is>
      </c>
    </row>
    <row r="398">
      <c r="A398" s="99" t="inlineStr">
        <is>
          <t>GLENMARK</t>
        </is>
      </c>
      <c r="B398" s="99" t="inlineStr">
        <is>
          <t>Glenmark Pharmaceuticals Ltd.</t>
        </is>
      </c>
      <c r="C398" s="99" t="inlineStr">
        <is>
          <t>Healthcare</t>
        </is>
      </c>
      <c r="D398" s="99" t="inlineStr">
        <is>
          <t>Large/Midcap</t>
        </is>
      </c>
      <c r="E398" s="99" t="n">
        <v>2196</v>
      </c>
      <c r="F398" s="99" t="n">
        <v>0.18</v>
      </c>
      <c r="G398" s="99" t="n">
        <v>593586</v>
      </c>
      <c r="H398" s="99" t="n">
        <v>0.92</v>
      </c>
      <c r="I398" s="99" t="n">
        <v>61971</v>
      </c>
      <c r="J398" s="99" t="inlineStr">
        <is>
          <t>Y</t>
        </is>
      </c>
      <c r="K398" s="99" t="inlineStr">
        <is>
          <t>N</t>
        </is>
      </c>
      <c r="L398" s="99" t="inlineStr">
        <is>
          <t>Y</t>
        </is>
      </c>
      <c r="M398" s="99" t="n">
        <v>36.9</v>
      </c>
      <c r="N398" s="99" t="inlineStr">
        <is>
          <t>N</t>
        </is>
      </c>
      <c r="O398" s="99" t="n">
        <v>51.89</v>
      </c>
      <c r="P398" s="99" t="inlineStr">
        <is>
          <t>N</t>
        </is>
      </c>
      <c r="Q398" s="99" t="inlineStr">
        <is>
          <t>N/A</t>
        </is>
      </c>
      <c r="R398" s="99" t="inlineStr">
        <is>
          <t>N</t>
        </is>
      </c>
      <c r="S398" s="99" t="n">
        <v>2.2</v>
      </c>
      <c r="T398" s="99" t="n">
        <v>-8.300000000000001</v>
      </c>
      <c r="U398" s="99" t="inlineStr">
        <is>
          <t>N</t>
        </is>
      </c>
      <c r="V398" s="99" t="n">
        <v>45.5</v>
      </c>
      <c r="W398" s="99" t="n">
        <v>14.1</v>
      </c>
      <c r="X398" s="99" t="n">
        <v>5.65</v>
      </c>
      <c r="Y398" s="99" t="n">
        <v>-25.2</v>
      </c>
      <c r="Z398" s="99" t="n">
        <v>2</v>
      </c>
      <c r="AA398" s="94" t="inlineStr">
        <is>
          <t>AVOID</t>
        </is>
      </c>
    </row>
    <row r="399">
      <c r="A399" s="97" t="inlineStr">
        <is>
          <t>GODIGIT</t>
        </is>
      </c>
      <c r="B399" s="97" t="inlineStr">
        <is>
          <t>Go Digit General Insurance Ltd.</t>
        </is>
      </c>
      <c r="C399" s="97" t="inlineStr">
        <is>
          <t>Financial Services</t>
        </is>
      </c>
      <c r="D399" s="97" t="inlineStr">
        <is>
          <t>BSE Smallcap</t>
        </is>
      </c>
      <c r="E399" s="97" t="n">
        <v>254.8</v>
      </c>
      <c r="F399" s="97" t="n">
        <v>-0.55</v>
      </c>
      <c r="G399" s="97" t="n">
        <v>2772521</v>
      </c>
      <c r="H399" s="97" t="n">
        <v>1.58</v>
      </c>
      <c r="I399" s="97" t="n">
        <v>23556</v>
      </c>
      <c r="J399" s="97" t="inlineStr">
        <is>
          <t>Y</t>
        </is>
      </c>
      <c r="K399" s="97" t="inlineStr">
        <is>
          <t>N</t>
        </is>
      </c>
      <c r="L399" s="97" t="inlineStr">
        <is>
          <t>N</t>
        </is>
      </c>
      <c r="M399" s="97" t="n">
        <v>20</v>
      </c>
      <c r="N399" s="97" t="inlineStr">
        <is>
          <t>N</t>
        </is>
      </c>
      <c r="O399" s="97" t="n">
        <v>11.17</v>
      </c>
      <c r="P399" s="97" t="inlineStr">
        <is>
          <t>Y</t>
        </is>
      </c>
      <c r="Q399" s="97" t="inlineStr">
        <is>
          <t>N/A</t>
        </is>
      </c>
      <c r="R399" s="97" t="inlineStr">
        <is>
          <t>N</t>
        </is>
      </c>
      <c r="S399" s="97" t="n">
        <v>-18.3</v>
      </c>
      <c r="T399" s="97" t="n">
        <v>-17.2</v>
      </c>
      <c r="U399" s="97" t="inlineStr">
        <is>
          <t>N</t>
        </is>
      </c>
      <c r="V399" s="97" t="n">
        <v>48.1</v>
      </c>
      <c r="W399" s="97" t="inlineStr">
        <is>
          <t>N/A</t>
        </is>
      </c>
      <c r="X399" s="97" t="n">
        <v>7.47</v>
      </c>
      <c r="Y399" s="97" t="n">
        <v>-42.2</v>
      </c>
      <c r="Z399" s="97" t="n">
        <v>2</v>
      </c>
      <c r="AA399" s="92" t="inlineStr">
        <is>
          <t>AVOID</t>
        </is>
      </c>
    </row>
    <row r="400">
      <c r="A400" s="99" t="inlineStr">
        <is>
          <t>GMDCLTD</t>
        </is>
      </c>
      <c r="B400" s="99" t="inlineStr">
        <is>
          <t>Gujarat Mineral Development Corporation Ltd.</t>
        </is>
      </c>
      <c r="C400" s="99" t="inlineStr">
        <is>
          <t>Metals &amp; Mining</t>
        </is>
      </c>
      <c r="D400" s="99" t="inlineStr">
        <is>
          <t>BSE Smallcap</t>
        </is>
      </c>
      <c r="E400" s="99" t="n">
        <v>562.15</v>
      </c>
      <c r="F400" s="99" t="n">
        <v>-0.07000000000000001</v>
      </c>
      <c r="G400" s="99" t="n">
        <v>472075</v>
      </c>
      <c r="H400" s="99" t="n">
        <v>0.6</v>
      </c>
      <c r="I400" s="99" t="n">
        <v>17876</v>
      </c>
      <c r="J400" s="99" t="inlineStr">
        <is>
          <t>Y</t>
        </is>
      </c>
      <c r="K400" s="99" t="inlineStr">
        <is>
          <t>N</t>
        </is>
      </c>
      <c r="L400" s="99" t="inlineStr">
        <is>
          <t>N</t>
        </is>
      </c>
      <c r="M400" s="99" t="n">
        <v>32.3</v>
      </c>
      <c r="N400" s="99" t="inlineStr">
        <is>
          <t>N</t>
        </is>
      </c>
      <c r="O400" s="99" t="n">
        <v>15.99</v>
      </c>
      <c r="P400" s="99" t="inlineStr">
        <is>
          <t>N</t>
        </is>
      </c>
      <c r="Q400" s="99" t="inlineStr">
        <is>
          <t>N/A</t>
        </is>
      </c>
      <c r="R400" s="99" t="inlineStr">
        <is>
          <t>N</t>
        </is>
      </c>
      <c r="S400" s="99" t="n">
        <v>-3.9</v>
      </c>
      <c r="T400" s="99" t="n">
        <v>-23.2</v>
      </c>
      <c r="U400" s="99" t="inlineStr">
        <is>
          <t>N</t>
        </is>
      </c>
      <c r="V400" s="99" t="n">
        <v>18.7</v>
      </c>
      <c r="W400" s="99" t="n">
        <v>14.2</v>
      </c>
      <c r="X400" s="99" t="n">
        <v>4.47</v>
      </c>
      <c r="Y400" s="99" t="n">
        <v>45.9</v>
      </c>
      <c r="Z400" s="99" t="n">
        <v>2</v>
      </c>
      <c r="AA400" s="94" t="inlineStr">
        <is>
          <t>AVOID</t>
        </is>
      </c>
    </row>
    <row r="401">
      <c r="A401" s="97" t="inlineStr">
        <is>
          <t>HBLENGINE</t>
        </is>
      </c>
      <c r="B401" s="97" t="inlineStr">
        <is>
          <t>HBL Engineering Ltd.</t>
        </is>
      </c>
      <c r="C401" s="97" t="inlineStr">
        <is>
          <t>Capital Goods</t>
        </is>
      </c>
      <c r="D401" s="97" t="inlineStr">
        <is>
          <t>BSE Smallcap</t>
        </is>
      </c>
      <c r="E401" s="97" t="n">
        <v>698.6</v>
      </c>
      <c r="F401" s="97" t="n">
        <v>-0.9</v>
      </c>
      <c r="G401" s="97" t="n">
        <v>1005133</v>
      </c>
      <c r="H401" s="97" t="n">
        <v>1.68</v>
      </c>
      <c r="I401" s="97" t="n">
        <v>19785</v>
      </c>
      <c r="J401" s="97" t="inlineStr">
        <is>
          <t>Y</t>
        </is>
      </c>
      <c r="K401" s="97" t="inlineStr">
        <is>
          <t>N</t>
        </is>
      </c>
      <c r="L401" s="97" t="inlineStr">
        <is>
          <t>N</t>
        </is>
      </c>
      <c r="M401" s="97" t="n">
        <v>14.1</v>
      </c>
      <c r="N401" s="97" t="inlineStr">
        <is>
          <t>N</t>
        </is>
      </c>
      <c r="O401" s="97" t="n">
        <v>20.56</v>
      </c>
      <c r="P401" s="97" t="inlineStr">
        <is>
          <t>N</t>
        </is>
      </c>
      <c r="Q401" s="97" t="inlineStr">
        <is>
          <t>N/A</t>
        </is>
      </c>
      <c r="R401" s="97" t="inlineStr">
        <is>
          <t>N</t>
        </is>
      </c>
      <c r="S401" s="97" t="n">
        <v>-15.3</v>
      </c>
      <c r="T401" s="97" t="n">
        <v>-13.4</v>
      </c>
      <c r="U401" s="97" t="inlineStr">
        <is>
          <t>N</t>
        </is>
      </c>
      <c r="V401" s="97" t="n">
        <v>24.3</v>
      </c>
      <c r="W401" s="97" t="n">
        <v>44.1</v>
      </c>
      <c r="X401" s="97" t="n">
        <v>3.02</v>
      </c>
      <c r="Y401" s="97" t="n">
        <v>-71.09999999999999</v>
      </c>
      <c r="Z401" s="97" t="n">
        <v>2</v>
      </c>
      <c r="AA401" s="92" t="inlineStr">
        <is>
          <t>AVOID</t>
        </is>
      </c>
    </row>
    <row r="402">
      <c r="A402" s="99" t="inlineStr">
        <is>
          <t>HDFCAMC</t>
        </is>
      </c>
      <c r="B402" s="99" t="inlineStr">
        <is>
          <t>HDFC Asset Management Company Ltd.</t>
        </is>
      </c>
      <c r="C402" s="99" t="inlineStr">
        <is>
          <t>Financial Services</t>
        </is>
      </c>
      <c r="D402" s="99" t="inlineStr">
        <is>
          <t>Large/Midcap</t>
        </is>
      </c>
      <c r="E402" s="99" t="n">
        <v>2552.4</v>
      </c>
      <c r="F402" s="99" t="n">
        <v>1.86</v>
      </c>
      <c r="G402" s="99" t="n">
        <v>554072</v>
      </c>
      <c r="H402" s="99" t="n">
        <v>0.6899999999999999</v>
      </c>
      <c r="I402" s="99" t="n">
        <v>109444</v>
      </c>
      <c r="J402" s="99" t="inlineStr">
        <is>
          <t>Y</t>
        </is>
      </c>
      <c r="K402" s="99" t="inlineStr">
        <is>
          <t>N</t>
        </is>
      </c>
      <c r="L402" s="99" t="inlineStr">
        <is>
          <t>N</t>
        </is>
      </c>
      <c r="M402" s="99" t="n">
        <v>34.9</v>
      </c>
      <c r="N402" s="99" t="inlineStr">
        <is>
          <t>N</t>
        </is>
      </c>
      <c r="O402" s="99" t="n">
        <v>85.84</v>
      </c>
      <c r="P402" s="99" t="inlineStr">
        <is>
          <t>N</t>
        </is>
      </c>
      <c r="Q402" s="99" t="inlineStr">
        <is>
          <t>N/A</t>
        </is>
      </c>
      <c r="R402" s="99" t="inlineStr">
        <is>
          <t>N</t>
        </is>
      </c>
      <c r="S402" s="99" t="n">
        <v>-3.4</v>
      </c>
      <c r="T402" s="99" t="n">
        <v>-3.4</v>
      </c>
      <c r="U402" s="99" t="inlineStr">
        <is>
          <t>N</t>
        </is>
      </c>
      <c r="V402" s="99" t="n">
        <v>36.5</v>
      </c>
      <c r="W402" s="99" t="inlineStr">
        <is>
          <t>N/A</t>
        </is>
      </c>
      <c r="X402" s="99" t="n">
        <v>2.36</v>
      </c>
      <c r="Y402" s="99" t="n">
        <v>34.4</v>
      </c>
      <c r="Z402" s="99" t="n">
        <v>2</v>
      </c>
      <c r="AA402" s="94" t="inlineStr">
        <is>
          <t>AVOID</t>
        </is>
      </c>
    </row>
    <row r="403">
      <c r="A403" s="97" t="inlineStr">
        <is>
          <t>HDFCBANK</t>
        </is>
      </c>
      <c r="B403" s="97" t="inlineStr">
        <is>
          <t>HDFC Bank Ltd.</t>
        </is>
      </c>
      <c r="C403" s="97" t="inlineStr">
        <is>
          <t>Financial Services</t>
        </is>
      </c>
      <c r="D403" s="97" t="inlineStr">
        <is>
          <t>Large/Midcap</t>
        </is>
      </c>
      <c r="E403" s="97" t="n">
        <v>739.55</v>
      </c>
      <c r="F403" s="97" t="n">
        <v>-0.44</v>
      </c>
      <c r="G403" s="97" t="n">
        <v>29678752</v>
      </c>
      <c r="H403" s="97" t="n">
        <v>1.12</v>
      </c>
      <c r="I403" s="97" t="n">
        <v>1139278</v>
      </c>
      <c r="J403" s="97" t="inlineStr">
        <is>
          <t>Y</t>
        </is>
      </c>
      <c r="K403" s="97" t="inlineStr">
        <is>
          <t>N</t>
        </is>
      </c>
      <c r="L403" s="97" t="inlineStr">
        <is>
          <t>N</t>
        </is>
      </c>
      <c r="M403" s="97" t="n">
        <v>20.8</v>
      </c>
      <c r="N403" s="97" t="inlineStr">
        <is>
          <t>N</t>
        </is>
      </c>
      <c r="O403" s="97" t="n">
        <v>15.5</v>
      </c>
      <c r="P403" s="97" t="inlineStr">
        <is>
          <t>N</t>
        </is>
      </c>
      <c r="Q403" s="97" t="inlineStr">
        <is>
          <t>N/A</t>
        </is>
      </c>
      <c r="R403" s="97" t="inlineStr">
        <is>
          <t>N</t>
        </is>
      </c>
      <c r="S403" s="97" t="n">
        <v>-6.9</v>
      </c>
      <c r="T403" s="97" t="n">
        <v>-2.2</v>
      </c>
      <c r="U403" s="97" t="inlineStr">
        <is>
          <t>N</t>
        </is>
      </c>
      <c r="V403" s="97" t="n">
        <v>16.6</v>
      </c>
      <c r="W403" s="97" t="n">
        <v>13.8</v>
      </c>
      <c r="X403" s="97" t="inlineStr">
        <is>
          <t>N/A</t>
        </is>
      </c>
      <c r="Y403" s="97" t="n">
        <v>5.6</v>
      </c>
      <c r="Z403" s="97" t="n">
        <v>2</v>
      </c>
      <c r="AA403" s="92" t="inlineStr">
        <is>
          <t>AVOID</t>
        </is>
      </c>
    </row>
    <row r="404">
      <c r="A404" s="99" t="inlineStr">
        <is>
          <t>HDFCLIFE</t>
        </is>
      </c>
      <c r="B404" s="99" t="inlineStr">
        <is>
          <t>HDFC Life Insurance Company Ltd.</t>
        </is>
      </c>
      <c r="C404" s="99" t="inlineStr">
        <is>
          <t>Financial Services</t>
        </is>
      </c>
      <c r="D404" s="99" t="inlineStr">
        <is>
          <t>Large/Midcap</t>
        </is>
      </c>
      <c r="E404" s="99" t="n">
        <v>552.85</v>
      </c>
      <c r="F404" s="99" t="n">
        <v>-0.4</v>
      </c>
      <c r="G404" s="99" t="n">
        <v>1368559</v>
      </c>
      <c r="H404" s="99" t="n">
        <v>0.76</v>
      </c>
      <c r="I404" s="99" t="n">
        <v>120075</v>
      </c>
      <c r="J404" s="99" t="inlineStr">
        <is>
          <t>Y</t>
        </is>
      </c>
      <c r="K404" s="99" t="inlineStr">
        <is>
          <t>N</t>
        </is>
      </c>
      <c r="L404" s="99" t="inlineStr">
        <is>
          <t>N</t>
        </is>
      </c>
      <c r="M404" s="99" t="n">
        <v>40.2</v>
      </c>
      <c r="N404" s="99" t="inlineStr">
        <is>
          <t>N</t>
        </is>
      </c>
      <c r="O404" s="99" t="n">
        <v>14.02</v>
      </c>
      <c r="P404" s="99" t="inlineStr">
        <is>
          <t>N</t>
        </is>
      </c>
      <c r="Q404" s="99" t="inlineStr">
        <is>
          <t>N/A</t>
        </is>
      </c>
      <c r="R404" s="99" t="inlineStr">
        <is>
          <t>N</t>
        </is>
      </c>
      <c r="S404" s="99" t="n">
        <v>-5.3</v>
      </c>
      <c r="T404" s="99" t="n">
        <v>-5.1</v>
      </c>
      <c r="U404" s="99" t="inlineStr">
        <is>
          <t>N</t>
        </is>
      </c>
      <c r="V404" s="99" t="n">
        <v>60.6</v>
      </c>
      <c r="W404" s="99" t="n">
        <v>10.8</v>
      </c>
      <c r="X404" s="99" t="n">
        <v>15.84</v>
      </c>
      <c r="Y404" s="99" t="n">
        <v>22.9</v>
      </c>
      <c r="Z404" s="99" t="n">
        <v>2</v>
      </c>
      <c r="AA404" s="94" t="inlineStr">
        <is>
          <t>AVOID</t>
        </is>
      </c>
    </row>
    <row r="405">
      <c r="A405" s="97" t="inlineStr">
        <is>
          <t>HINDZINC</t>
        </is>
      </c>
      <c r="B405" s="97" t="inlineStr">
        <is>
          <t>Hindustan Zinc Ltd.</t>
        </is>
      </c>
      <c r="C405" s="97" t="inlineStr">
        <is>
          <t>Metals &amp; Mining</t>
        </is>
      </c>
      <c r="D405" s="97" t="inlineStr">
        <is>
          <t>Large/Midcap</t>
        </is>
      </c>
      <c r="E405" s="97" t="n">
        <v>529.65</v>
      </c>
      <c r="F405" s="97" t="n">
        <v>-0.43</v>
      </c>
      <c r="G405" s="97" t="n">
        <v>4726406</v>
      </c>
      <c r="H405" s="97" t="n">
        <v>1.42</v>
      </c>
      <c r="I405" s="97" t="n">
        <v>223794</v>
      </c>
      <c r="J405" s="97" t="inlineStr">
        <is>
          <t>Y</t>
        </is>
      </c>
      <c r="K405" s="97" t="inlineStr">
        <is>
          <t>N</t>
        </is>
      </c>
      <c r="L405" s="97" t="inlineStr">
        <is>
          <t>N</t>
        </is>
      </c>
      <c r="M405" s="97" t="n">
        <v>48.7</v>
      </c>
      <c r="N405" s="97" t="inlineStr">
        <is>
          <t>N</t>
        </is>
      </c>
      <c r="O405" s="97" t="n">
        <v>11.82</v>
      </c>
      <c r="P405" s="97" t="inlineStr">
        <is>
          <t>N</t>
        </is>
      </c>
      <c r="Q405" s="97" t="inlineStr">
        <is>
          <t>N/A</t>
        </is>
      </c>
      <c r="R405" s="97" t="inlineStr">
        <is>
          <t>N</t>
        </is>
      </c>
      <c r="S405" s="97" t="n">
        <v>2.5</v>
      </c>
      <c r="T405" s="97" t="n">
        <v>-10.7</v>
      </c>
      <c r="U405" s="97" t="inlineStr">
        <is>
          <t>N</t>
        </is>
      </c>
      <c r="V405" s="97" t="n">
        <v>13.1</v>
      </c>
      <c r="W405" s="97" t="inlineStr">
        <is>
          <t>N/A</t>
        </is>
      </c>
      <c r="X405" s="97" t="n">
        <v>39.03</v>
      </c>
      <c r="Y405" s="97" t="n">
        <v>8.699999999999999</v>
      </c>
      <c r="Z405" s="97" t="n">
        <v>2</v>
      </c>
      <c r="AA405" s="92" t="inlineStr">
        <is>
          <t>AVOID</t>
        </is>
      </c>
    </row>
    <row r="406">
      <c r="A406" s="99" t="inlineStr">
        <is>
          <t>ICICIAMC</t>
        </is>
      </c>
      <c r="B406" s="99" t="inlineStr">
        <is>
          <t>ICICI Prudential Asset Management Company Ltd.</t>
        </is>
      </c>
      <c r="C406" s="99" t="inlineStr">
        <is>
          <t>Financial Services</t>
        </is>
      </c>
      <c r="D406" s="99" t="inlineStr">
        <is>
          <t>Large/Midcap</t>
        </is>
      </c>
      <c r="E406" s="99" t="n">
        <v>3125.6</v>
      </c>
      <c r="F406" s="99" t="n">
        <v>-0.2</v>
      </c>
      <c r="G406" s="99" t="n">
        <v>94889</v>
      </c>
      <c r="H406" s="99" t="n">
        <v>0.32</v>
      </c>
      <c r="I406" s="99" t="n">
        <v>155390</v>
      </c>
      <c r="J406" s="99" t="inlineStr">
        <is>
          <t>Y</t>
        </is>
      </c>
      <c r="K406" s="99" t="inlineStr">
        <is>
          <t>N</t>
        </is>
      </c>
      <c r="L406" s="99" t="inlineStr">
        <is>
          <t>N/A</t>
        </is>
      </c>
      <c r="M406" s="99" t="n">
        <v>34.9</v>
      </c>
      <c r="N406" s="99" t="inlineStr">
        <is>
          <t>N</t>
        </is>
      </c>
      <c r="O406" s="99" t="n">
        <v>90.64</v>
      </c>
      <c r="P406" s="99" t="inlineStr">
        <is>
          <t>N</t>
        </is>
      </c>
      <c r="Q406" s="99" t="inlineStr">
        <is>
          <t>N/A</t>
        </is>
      </c>
      <c r="R406" s="99" t="inlineStr">
        <is>
          <t>N</t>
        </is>
      </c>
      <c r="S406" s="99" t="n">
        <v>-5.8</v>
      </c>
      <c r="T406" s="99" t="n">
        <v>-4.6</v>
      </c>
      <c r="U406" s="99" t="inlineStr">
        <is>
          <t>N</t>
        </is>
      </c>
      <c r="V406" s="99" t="n">
        <v>44.7</v>
      </c>
      <c r="W406" s="99" t="inlineStr">
        <is>
          <t>N/A</t>
        </is>
      </c>
      <c r="X406" s="99" t="n">
        <v>4.07</v>
      </c>
      <c r="Y406" s="99" t="n">
        <v>26.4</v>
      </c>
      <c r="Z406" s="99" t="n">
        <v>2</v>
      </c>
      <c r="AA406" s="94" t="inlineStr">
        <is>
          <t>AVOID</t>
        </is>
      </c>
    </row>
    <row r="407">
      <c r="A407" s="97" t="inlineStr">
        <is>
          <t>IRB</t>
        </is>
      </c>
      <c r="B407" s="97" t="inlineStr">
        <is>
          <t>IRB Infrastructure Developers Ltd.</t>
        </is>
      </c>
      <c r="C407" s="97" t="inlineStr">
        <is>
          <t>Construction</t>
        </is>
      </c>
      <c r="D407" s="97" t="inlineStr">
        <is>
          <t>BSE Smallcap</t>
        </is>
      </c>
      <c r="E407" s="97" t="n">
        <v>19.62</v>
      </c>
      <c r="F407" s="97" t="n">
        <v>0.05</v>
      </c>
      <c r="G407" s="97" t="n">
        <v>4354101</v>
      </c>
      <c r="H407" s="97" t="n">
        <v>0.71</v>
      </c>
      <c r="I407" s="97" t="n">
        <v>23697</v>
      </c>
      <c r="J407" s="97" t="inlineStr">
        <is>
          <t>Y</t>
        </is>
      </c>
      <c r="K407" s="97" t="inlineStr">
        <is>
          <t>N</t>
        </is>
      </c>
      <c r="L407" s="97" t="inlineStr">
        <is>
          <t>N</t>
        </is>
      </c>
      <c r="M407" s="97" t="n">
        <v>28.1</v>
      </c>
      <c r="N407" s="97" t="inlineStr">
        <is>
          <t>N</t>
        </is>
      </c>
      <c r="O407" s="97" t="n">
        <v>0.32</v>
      </c>
      <c r="P407" s="97" t="inlineStr">
        <is>
          <t>N</t>
        </is>
      </c>
      <c r="Q407" s="97" t="inlineStr">
        <is>
          <t>N/A</t>
        </is>
      </c>
      <c r="R407" s="97" t="inlineStr">
        <is>
          <t>N</t>
        </is>
      </c>
      <c r="S407" s="97" t="n">
        <v>-7.2</v>
      </c>
      <c r="T407" s="97" t="n">
        <v>-8.300000000000001</v>
      </c>
      <c r="U407" s="97" t="inlineStr">
        <is>
          <t>N</t>
        </is>
      </c>
      <c r="V407" s="97" t="n">
        <v>28</v>
      </c>
      <c r="W407" s="97" t="n">
        <v>4.2</v>
      </c>
      <c r="X407" s="97" t="n">
        <v>95.59999999999999</v>
      </c>
      <c r="Y407" s="97" t="n">
        <v>40.5</v>
      </c>
      <c r="Z407" s="97" t="n">
        <v>2</v>
      </c>
      <c r="AA407" s="92" t="inlineStr">
        <is>
          <t>AVOID</t>
        </is>
      </c>
    </row>
    <row r="408">
      <c r="A408" s="99" t="inlineStr">
        <is>
          <t>IRCON</t>
        </is>
      </c>
      <c r="B408" s="99" t="inlineStr">
        <is>
          <t>IRCON International Ltd.</t>
        </is>
      </c>
      <c r="C408" s="99" t="inlineStr">
        <is>
          <t>Construction</t>
        </is>
      </c>
      <c r="D408" s="99" t="inlineStr">
        <is>
          <t>BSE Smallcap</t>
        </is>
      </c>
      <c r="E408" s="99" t="n">
        <v>126.07</v>
      </c>
      <c r="F408" s="99" t="n">
        <v>0.5</v>
      </c>
      <c r="G408" s="99" t="n">
        <v>833685</v>
      </c>
      <c r="H408" s="99" t="n">
        <v>1.02</v>
      </c>
      <c r="I408" s="99" t="n">
        <v>11896</v>
      </c>
      <c r="J408" s="99" t="inlineStr">
        <is>
          <t>Y</t>
        </is>
      </c>
      <c r="K408" s="99" t="inlineStr">
        <is>
          <t>N</t>
        </is>
      </c>
      <c r="L408" s="99" t="inlineStr">
        <is>
          <t>N</t>
        </is>
      </c>
      <c r="M408" s="99" t="n">
        <v>26.6</v>
      </c>
      <c r="N408" s="99" t="inlineStr">
        <is>
          <t>N</t>
        </is>
      </c>
      <c r="O408" s="99" t="n">
        <v>2.87</v>
      </c>
      <c r="P408" s="99" t="inlineStr">
        <is>
          <t>N</t>
        </is>
      </c>
      <c r="Q408" s="99" t="inlineStr">
        <is>
          <t>N/A</t>
        </is>
      </c>
      <c r="R408" s="99" t="inlineStr">
        <is>
          <t>N</t>
        </is>
      </c>
      <c r="S408" s="99" t="n">
        <v>-5.8</v>
      </c>
      <c r="T408" s="99" t="n">
        <v>-17.4</v>
      </c>
      <c r="U408" s="99" t="inlineStr">
        <is>
          <t>N</t>
        </is>
      </c>
      <c r="V408" s="99" t="n">
        <v>20</v>
      </c>
      <c r="W408" s="99" t="n">
        <v>9.1</v>
      </c>
      <c r="X408" s="99" t="n">
        <v>85.83</v>
      </c>
      <c r="Y408" s="99" t="n">
        <v>90.3</v>
      </c>
      <c r="Z408" s="99" t="n">
        <v>2</v>
      </c>
      <c r="AA408" s="94" t="inlineStr">
        <is>
          <t>AVOID</t>
        </is>
      </c>
    </row>
    <row r="409">
      <c r="A409" s="97" t="inlineStr">
        <is>
          <t>ITCHOTELS</t>
        </is>
      </c>
      <c r="B409" s="97" t="inlineStr">
        <is>
          <t>ITC Hotels Ltd.</t>
        </is>
      </c>
      <c r="C409" s="97" t="inlineStr">
        <is>
          <t>Consumer Services</t>
        </is>
      </c>
      <c r="D409" s="97" t="inlineStr">
        <is>
          <t>Large/Midcap</t>
        </is>
      </c>
      <c r="E409" s="97" t="n">
        <v>165.43</v>
      </c>
      <c r="F409" s="97" t="n">
        <v>3.45</v>
      </c>
      <c r="G409" s="97" t="n">
        <v>2555776</v>
      </c>
      <c r="H409" s="97" t="n">
        <v>1.28</v>
      </c>
      <c r="I409" s="97" t="n">
        <v>34459</v>
      </c>
      <c r="J409" s="97" t="inlineStr">
        <is>
          <t>Y</t>
        </is>
      </c>
      <c r="K409" s="97" t="inlineStr">
        <is>
          <t>N</t>
        </is>
      </c>
      <c r="L409" s="97" t="inlineStr">
        <is>
          <t>N</t>
        </is>
      </c>
      <c r="M409" s="97" t="n">
        <v>30.3</v>
      </c>
      <c r="N409" s="97" t="inlineStr">
        <is>
          <t>N</t>
        </is>
      </c>
      <c r="O409" s="97" t="n">
        <v>6</v>
      </c>
      <c r="P409" s="97" t="inlineStr">
        <is>
          <t>N</t>
        </is>
      </c>
      <c r="Q409" s="97" t="inlineStr">
        <is>
          <t>N/A</t>
        </is>
      </c>
      <c r="R409" s="97" t="inlineStr">
        <is>
          <t>N</t>
        </is>
      </c>
      <c r="S409" s="97" t="n">
        <v>-4.5</v>
      </c>
      <c r="T409" s="97" t="n">
        <v>4.1</v>
      </c>
      <c r="U409" s="97" t="inlineStr">
        <is>
          <t>Y</t>
        </is>
      </c>
      <c r="V409" s="97" t="n">
        <v>38.5</v>
      </c>
      <c r="W409" s="97" t="inlineStr">
        <is>
          <t>N/A</t>
        </is>
      </c>
      <c r="X409" s="97" t="n">
        <v>0.63</v>
      </c>
      <c r="Y409" s="97" t="n">
        <v>-42.9</v>
      </c>
      <c r="Z409" s="97" t="n">
        <v>2</v>
      </c>
      <c r="AA409" s="92" t="inlineStr">
        <is>
          <t>AVOID</t>
        </is>
      </c>
    </row>
    <row r="410">
      <c r="A410" s="99" t="inlineStr">
        <is>
          <t>IRCTC</t>
        </is>
      </c>
      <c r="B410" s="99" t="inlineStr">
        <is>
          <t>Indian Railway Catering And Tourism Corporation Ltd.</t>
        </is>
      </c>
      <c r="C410" s="99" t="inlineStr">
        <is>
          <t>Consumer Services</t>
        </is>
      </c>
      <c r="D410" s="99" t="inlineStr">
        <is>
          <t>Large/Midcap</t>
        </is>
      </c>
      <c r="E410" s="99" t="n">
        <v>494</v>
      </c>
      <c r="F410" s="99" t="n">
        <v>-0.21</v>
      </c>
      <c r="G410" s="99" t="n">
        <v>517297</v>
      </c>
      <c r="H410" s="99" t="n">
        <v>0.79</v>
      </c>
      <c r="I410" s="99" t="n">
        <v>39520</v>
      </c>
      <c r="J410" s="99" t="inlineStr">
        <is>
          <t>Y</t>
        </is>
      </c>
      <c r="K410" s="99" t="inlineStr">
        <is>
          <t>N</t>
        </is>
      </c>
      <c r="L410" s="99" t="inlineStr">
        <is>
          <t>N</t>
        </is>
      </c>
      <c r="M410" s="99" t="n">
        <v>43.2</v>
      </c>
      <c r="N410" s="99" t="inlineStr">
        <is>
          <t>N</t>
        </is>
      </c>
      <c r="O410" s="99" t="n">
        <v>7.9</v>
      </c>
      <c r="P410" s="99" t="inlineStr">
        <is>
          <t>N</t>
        </is>
      </c>
      <c r="Q410" s="99" t="inlineStr">
        <is>
          <t>N/A</t>
        </is>
      </c>
      <c r="R410" s="99" t="inlineStr">
        <is>
          <t>N</t>
        </is>
      </c>
      <c r="S410" s="99" t="n">
        <v>-3.7</v>
      </c>
      <c r="T410" s="99" t="n">
        <v>-8</v>
      </c>
      <c r="U410" s="99" t="inlineStr">
        <is>
          <t>N</t>
        </is>
      </c>
      <c r="V410" s="99" t="n">
        <v>28.4</v>
      </c>
      <c r="W410" s="99" t="n">
        <v>35</v>
      </c>
      <c r="X410" s="99" t="n">
        <v>1.87</v>
      </c>
      <c r="Y410" s="99" t="n">
        <v>-17.2</v>
      </c>
      <c r="Z410" s="99" t="n">
        <v>2</v>
      </c>
      <c r="AA410" s="94" t="inlineStr">
        <is>
          <t>AVOID</t>
        </is>
      </c>
    </row>
    <row r="411">
      <c r="A411" s="97" t="inlineStr">
        <is>
          <t>INTELLECT</t>
        </is>
      </c>
      <c r="B411" s="97" t="inlineStr">
        <is>
          <t>Intellect Design Arena Ltd.</t>
        </is>
      </c>
      <c r="C411" s="97" t="inlineStr">
        <is>
          <t>Information Technology</t>
        </is>
      </c>
      <c r="D411" s="97" t="inlineStr">
        <is>
          <t>BSE Smallcap</t>
        </is>
      </c>
      <c r="E411" s="97" t="n">
        <v>717.7</v>
      </c>
      <c r="F411" s="97" t="n">
        <v>-1.98</v>
      </c>
      <c r="G411" s="97" t="n">
        <v>545930</v>
      </c>
      <c r="H411" s="97" t="n">
        <v>1.67</v>
      </c>
      <c r="I411" s="97" t="n">
        <v>9999</v>
      </c>
      <c r="J411" s="97" t="inlineStr">
        <is>
          <t>Y</t>
        </is>
      </c>
      <c r="K411" s="97" t="inlineStr">
        <is>
          <t>N</t>
        </is>
      </c>
      <c r="L411" s="97" t="inlineStr">
        <is>
          <t>N</t>
        </is>
      </c>
      <c r="M411" s="97" t="n">
        <v>32.9</v>
      </c>
      <c r="N411" s="97" t="inlineStr">
        <is>
          <t>N</t>
        </is>
      </c>
      <c r="O411" s="97" t="n">
        <v>27</v>
      </c>
      <c r="P411" s="97" t="inlineStr">
        <is>
          <t>N</t>
        </is>
      </c>
      <c r="Q411" s="97" t="inlineStr">
        <is>
          <t>N/A</t>
        </is>
      </c>
      <c r="R411" s="97" t="inlineStr">
        <is>
          <t>N</t>
        </is>
      </c>
      <c r="S411" s="97" t="n">
        <v>-2.8</v>
      </c>
      <c r="T411" s="97" t="n">
        <v>-2.4</v>
      </c>
      <c r="U411" s="97" t="inlineStr">
        <is>
          <t>N</t>
        </is>
      </c>
      <c r="V411" s="97" t="n">
        <v>30.1</v>
      </c>
      <c r="W411" s="97" t="n">
        <v>11.4</v>
      </c>
      <c r="X411" s="97" t="n">
        <v>4.96</v>
      </c>
      <c r="Y411" s="97" t="n">
        <v>322.6</v>
      </c>
      <c r="Z411" s="97" t="n">
        <v>2</v>
      </c>
      <c r="AA411" s="92" t="inlineStr">
        <is>
          <t>AVOID</t>
        </is>
      </c>
    </row>
    <row r="412">
      <c r="A412" s="99" t="inlineStr">
        <is>
          <t>JAINREC</t>
        </is>
      </c>
      <c r="B412" s="99" t="inlineStr">
        <is>
          <t>Jain Resource Recycling Ltd.</t>
        </is>
      </c>
      <c r="C412" s="99" t="inlineStr">
        <is>
          <t>Metals &amp; Mining</t>
        </is>
      </c>
      <c r="D412" s="99" t="inlineStr">
        <is>
          <t>NSE Smallcap</t>
        </is>
      </c>
      <c r="E412" s="99" t="n">
        <v>338.45</v>
      </c>
      <c r="F412" s="99" t="n">
        <v>-0.75</v>
      </c>
      <c r="G412" s="99" t="n">
        <v>721453</v>
      </c>
      <c r="H412" s="99" t="n">
        <v>0.78</v>
      </c>
      <c r="I412" s="99" t="n">
        <v>11679</v>
      </c>
      <c r="J412" s="99" t="inlineStr">
        <is>
          <t>Y</t>
        </is>
      </c>
      <c r="K412" s="99" t="inlineStr">
        <is>
          <t>N</t>
        </is>
      </c>
      <c r="L412" s="99" t="inlineStr">
        <is>
          <t>N</t>
        </is>
      </c>
      <c r="M412" s="99" t="n">
        <v>44</v>
      </c>
      <c r="N412" s="99" t="inlineStr">
        <is>
          <t>N</t>
        </is>
      </c>
      <c r="O412" s="99" t="n">
        <v>13.49</v>
      </c>
      <c r="P412" s="99" t="inlineStr">
        <is>
          <t>N</t>
        </is>
      </c>
      <c r="Q412" s="99" t="inlineStr">
        <is>
          <t>N/A</t>
        </is>
      </c>
      <c r="R412" s="99" t="inlineStr">
        <is>
          <t>N</t>
        </is>
      </c>
      <c r="S412" s="99" t="n">
        <v>-2.9</v>
      </c>
      <c r="T412" s="99" t="n">
        <v>-25.9</v>
      </c>
      <c r="U412" s="99" t="inlineStr">
        <is>
          <t>N</t>
        </is>
      </c>
      <c r="V412" s="99" t="n">
        <v>32.8</v>
      </c>
      <c r="W412" s="99" t="n">
        <v>28.7</v>
      </c>
      <c r="X412" s="99" t="n">
        <v>81.89</v>
      </c>
      <c r="Y412" s="99" t="n">
        <v>-48.2</v>
      </c>
      <c r="Z412" s="99" t="n">
        <v>2</v>
      </c>
      <c r="AA412" s="94" t="inlineStr">
        <is>
          <t>AVOID</t>
        </is>
      </c>
    </row>
    <row r="413">
      <c r="A413" s="97" t="inlineStr">
        <is>
          <t>JPPOWER</t>
        </is>
      </c>
      <c r="B413" s="97" t="inlineStr">
        <is>
          <t>Jaiprakash Power Ventures Ltd.</t>
        </is>
      </c>
      <c r="C413" s="97" t="inlineStr">
        <is>
          <t>Power</t>
        </is>
      </c>
      <c r="D413" s="97" t="inlineStr">
        <is>
          <t>BSE Smallcap</t>
        </is>
      </c>
      <c r="E413" s="97" t="n">
        <v>17.01</v>
      </c>
      <c r="F413" s="97" t="n">
        <v>0.35</v>
      </c>
      <c r="G413" s="97" t="n">
        <v>28221162</v>
      </c>
      <c r="H413" s="97" t="n">
        <v>0.7</v>
      </c>
      <c r="I413" s="97" t="n">
        <v>11658</v>
      </c>
      <c r="J413" s="97" t="inlineStr">
        <is>
          <t>Y</t>
        </is>
      </c>
      <c r="K413" s="97" t="inlineStr">
        <is>
          <t>N</t>
        </is>
      </c>
      <c r="L413" s="97" t="inlineStr">
        <is>
          <t>N</t>
        </is>
      </c>
      <c r="M413" s="97" t="n">
        <v>41.7</v>
      </c>
      <c r="N413" s="97" t="inlineStr">
        <is>
          <t>N</t>
        </is>
      </c>
      <c r="O413" s="97" t="n">
        <v>0.54</v>
      </c>
      <c r="P413" s="97" t="inlineStr">
        <is>
          <t>N</t>
        </is>
      </c>
      <c r="Q413" s="97" t="inlineStr">
        <is>
          <t>N/A</t>
        </is>
      </c>
      <c r="R413" s="97" t="inlineStr">
        <is>
          <t>N</t>
        </is>
      </c>
      <c r="S413" s="97" t="n">
        <v>-4.9</v>
      </c>
      <c r="T413" s="97" t="n">
        <v>-13.3</v>
      </c>
      <c r="U413" s="97" t="inlineStr">
        <is>
          <t>N</t>
        </is>
      </c>
      <c r="V413" s="97" t="n">
        <v>24.3</v>
      </c>
      <c r="W413" s="97" t="inlineStr">
        <is>
          <t>N/A</t>
        </is>
      </c>
      <c r="X413" s="97" t="n">
        <v>26.63</v>
      </c>
      <c r="Y413" s="97" t="n">
        <v>3606.7</v>
      </c>
      <c r="Z413" s="97" t="n">
        <v>2</v>
      </c>
      <c r="AA413" s="92" t="inlineStr">
        <is>
          <t>AVOID</t>
        </is>
      </c>
    </row>
    <row r="414">
      <c r="A414" s="99" t="inlineStr">
        <is>
          <t>JIOFIN</t>
        </is>
      </c>
      <c r="B414" s="99" t="inlineStr">
        <is>
          <t>Jio Financial Services Ltd.</t>
        </is>
      </c>
      <c r="C414" s="99" t="inlineStr">
        <is>
          <t>Financial Services</t>
        </is>
      </c>
      <c r="D414" s="99" t="inlineStr">
        <is>
          <t>Large/Midcap</t>
        </is>
      </c>
      <c r="E414" s="99" t="n">
        <v>236.17</v>
      </c>
      <c r="F414" s="99" t="n">
        <v>0.62</v>
      </c>
      <c r="G414" s="99" t="n">
        <v>6984152</v>
      </c>
      <c r="H414" s="99" t="n">
        <v>0.5600000000000001</v>
      </c>
      <c r="I414" s="99" t="n">
        <v>155946</v>
      </c>
      <c r="J414" s="99" t="inlineStr">
        <is>
          <t>Y</t>
        </is>
      </c>
      <c r="K414" s="99" t="inlineStr">
        <is>
          <t>N</t>
        </is>
      </c>
      <c r="L414" s="99" t="inlineStr">
        <is>
          <t>N</t>
        </is>
      </c>
      <c r="M414" s="99" t="n">
        <v>43.7</v>
      </c>
      <c r="N414" s="99" t="inlineStr">
        <is>
          <t>N</t>
        </is>
      </c>
      <c r="O414" s="99" t="n">
        <v>6.23</v>
      </c>
      <c r="P414" s="99" t="inlineStr">
        <is>
          <t>N</t>
        </is>
      </c>
      <c r="Q414" s="99" t="inlineStr">
        <is>
          <t>N/A</t>
        </is>
      </c>
      <c r="R414" s="99" t="inlineStr">
        <is>
          <t>N</t>
        </is>
      </c>
      <c r="S414" s="99" t="n">
        <v>-1.1</v>
      </c>
      <c r="T414" s="99" t="n">
        <v>-3.7</v>
      </c>
      <c r="U414" s="99" t="inlineStr">
        <is>
          <t>N</t>
        </is>
      </c>
      <c r="V414" s="99" t="n">
        <v>74</v>
      </c>
      <c r="W414" s="99" t="inlineStr">
        <is>
          <t>N/A</t>
        </is>
      </c>
      <c r="X414" s="99" t="n">
        <v>16.29</v>
      </c>
      <c r="Y414" s="99" t="n">
        <v>205</v>
      </c>
      <c r="Z414" s="99" t="n">
        <v>2</v>
      </c>
      <c r="AA414" s="94" t="inlineStr">
        <is>
          <t>AVOID</t>
        </is>
      </c>
    </row>
    <row r="415">
      <c r="A415" s="97" t="inlineStr">
        <is>
          <t>KEC</t>
        </is>
      </c>
      <c r="B415" s="97" t="inlineStr">
        <is>
          <t>Kec International Ltd.</t>
        </is>
      </c>
      <c r="C415" s="97" t="inlineStr">
        <is>
          <t>Construction</t>
        </is>
      </c>
      <c r="D415" s="97" t="inlineStr">
        <is>
          <t>BSE Smallcap</t>
        </is>
      </c>
      <c r="E415" s="97" t="n">
        <v>464.6</v>
      </c>
      <c r="F415" s="97" t="n">
        <v>-1.13</v>
      </c>
      <c r="G415" s="97" t="n">
        <v>947596</v>
      </c>
      <c r="H415" s="97" t="n">
        <v>1.49</v>
      </c>
      <c r="I415" s="97" t="n">
        <v>12368</v>
      </c>
      <c r="J415" s="97" t="inlineStr">
        <is>
          <t>Y</t>
        </is>
      </c>
      <c r="K415" s="97" t="inlineStr">
        <is>
          <t>N</t>
        </is>
      </c>
      <c r="L415" s="97" t="inlineStr">
        <is>
          <t>N</t>
        </is>
      </c>
      <c r="M415" s="97" t="n">
        <v>34.8</v>
      </c>
      <c r="N415" s="97" t="inlineStr">
        <is>
          <t>N</t>
        </is>
      </c>
      <c r="O415" s="97" t="n">
        <v>13.16</v>
      </c>
      <c r="P415" s="97" t="inlineStr">
        <is>
          <t>N</t>
        </is>
      </c>
      <c r="Q415" s="97" t="inlineStr">
        <is>
          <t>N/A</t>
        </is>
      </c>
      <c r="R415" s="97" t="inlineStr">
        <is>
          <t>N</t>
        </is>
      </c>
      <c r="S415" s="97" t="n">
        <v>-11.8</v>
      </c>
      <c r="T415" s="97" t="n">
        <v>-16.7</v>
      </c>
      <c r="U415" s="97" t="inlineStr">
        <is>
          <t>N</t>
        </is>
      </c>
      <c r="V415" s="97" t="n">
        <v>20.7</v>
      </c>
      <c r="W415" s="97" t="n">
        <v>10.5</v>
      </c>
      <c r="X415" s="97" t="n">
        <v>87.31</v>
      </c>
      <c r="Y415" s="97" t="n">
        <v>51.3</v>
      </c>
      <c r="Z415" s="97" t="n">
        <v>2</v>
      </c>
      <c r="AA415" s="92" t="inlineStr">
        <is>
          <t>AVOID</t>
        </is>
      </c>
    </row>
    <row r="416">
      <c r="A416" s="99" t="inlineStr">
        <is>
          <t>KAYNES</t>
        </is>
      </c>
      <c r="B416" s="99" t="inlineStr">
        <is>
          <t>Kaynes Technology India Ltd.</t>
        </is>
      </c>
      <c r="C416" s="99" t="inlineStr">
        <is>
          <t>Capital Goods</t>
        </is>
      </c>
      <c r="D416" s="99" t="inlineStr">
        <is>
          <t>BSE Smallcap</t>
        </is>
      </c>
      <c r="E416" s="99" t="n">
        <v>3181.3</v>
      </c>
      <c r="F416" s="99" t="n">
        <v>0.16</v>
      </c>
      <c r="G416" s="99" t="n">
        <v>614724</v>
      </c>
      <c r="H416" s="99" t="n">
        <v>0.95</v>
      </c>
      <c r="I416" s="99" t="n">
        <v>21326</v>
      </c>
      <c r="J416" s="99" t="inlineStr">
        <is>
          <t>Y</t>
        </is>
      </c>
      <c r="K416" s="99" t="inlineStr">
        <is>
          <t>N</t>
        </is>
      </c>
      <c r="L416" s="99" t="inlineStr">
        <is>
          <t>N</t>
        </is>
      </c>
      <c r="M416" s="99" t="n">
        <v>42.5</v>
      </c>
      <c r="N416" s="99" t="inlineStr">
        <is>
          <t>N</t>
        </is>
      </c>
      <c r="O416" s="99" t="n">
        <v>103.38</v>
      </c>
      <c r="P416" s="99" t="inlineStr">
        <is>
          <t>N</t>
        </is>
      </c>
      <c r="Q416" s="99" t="inlineStr">
        <is>
          <t>N/A</t>
        </is>
      </c>
      <c r="R416" s="99" t="inlineStr">
        <is>
          <t>N</t>
        </is>
      </c>
      <c r="S416" s="99" t="n">
        <v>-2.3</v>
      </c>
      <c r="T416" s="99" t="n">
        <v>-20.9</v>
      </c>
      <c r="U416" s="99" t="inlineStr">
        <is>
          <t>N</t>
        </is>
      </c>
      <c r="V416" s="99" t="n">
        <v>58.5</v>
      </c>
      <c r="W416" s="99" t="n">
        <v>9.6</v>
      </c>
      <c r="X416" s="99" t="n">
        <v>19.17</v>
      </c>
      <c r="Y416" s="99" t="n">
        <v>19</v>
      </c>
      <c r="Z416" s="99" t="n">
        <v>2</v>
      </c>
      <c r="AA416" s="94" t="inlineStr">
        <is>
          <t>AVOID</t>
        </is>
      </c>
    </row>
    <row r="417">
      <c r="A417" s="97" t="inlineStr">
        <is>
          <t>LEMONTREE</t>
        </is>
      </c>
      <c r="B417" s="97" t="inlineStr">
        <is>
          <t>Lemon Tree Hotels Ltd.</t>
        </is>
      </c>
      <c r="C417" s="97" t="inlineStr">
        <is>
          <t>Consumer Services</t>
        </is>
      </c>
      <c r="D417" s="97" t="inlineStr">
        <is>
          <t>BSE Smallcap</t>
        </is>
      </c>
      <c r="E417" s="97" t="n">
        <v>109.36</v>
      </c>
      <c r="F417" s="97" t="n">
        <v>-0.62</v>
      </c>
      <c r="G417" s="97" t="n">
        <v>2400874</v>
      </c>
      <c r="H417" s="97" t="n">
        <v>0.68</v>
      </c>
      <c r="I417" s="97" t="n">
        <v>8854</v>
      </c>
      <c r="J417" s="97" t="inlineStr">
        <is>
          <t>Y</t>
        </is>
      </c>
      <c r="K417" s="97" t="inlineStr">
        <is>
          <t>N</t>
        </is>
      </c>
      <c r="L417" s="97" t="inlineStr">
        <is>
          <t>N</t>
        </is>
      </c>
      <c r="M417" s="97" t="n">
        <v>19.7</v>
      </c>
      <c r="N417" s="97" t="inlineStr">
        <is>
          <t>N</t>
        </is>
      </c>
      <c r="O417" s="97" t="n">
        <v>2.86</v>
      </c>
      <c r="P417" s="97" t="inlineStr">
        <is>
          <t>N</t>
        </is>
      </c>
      <c r="Q417" s="97" t="inlineStr">
        <is>
          <t>N/A</t>
        </is>
      </c>
      <c r="R417" s="97" t="inlineStr">
        <is>
          <t>N</t>
        </is>
      </c>
      <c r="S417" s="97" t="n">
        <v>-8.4</v>
      </c>
      <c r="T417" s="97" t="n">
        <v>-7.4</v>
      </c>
      <c r="U417" s="97" t="inlineStr">
        <is>
          <t>N</t>
        </is>
      </c>
      <c r="V417" s="97" t="n">
        <v>39</v>
      </c>
      <c r="W417" s="97" t="n">
        <v>14.9</v>
      </c>
      <c r="X417" s="97" t="n">
        <v>96.37</v>
      </c>
      <c r="Y417" s="97" t="n">
        <v>46</v>
      </c>
      <c r="Z417" s="97" t="n">
        <v>2</v>
      </c>
      <c r="AA417" s="92" t="inlineStr">
        <is>
          <t>AVOID</t>
        </is>
      </c>
    </row>
    <row r="418">
      <c r="A418" s="99" t="inlineStr">
        <is>
          <t>MARUTI</t>
        </is>
      </c>
      <c r="B418" s="99" t="inlineStr">
        <is>
          <t>Maruti Suzuki India Ltd.</t>
        </is>
      </c>
      <c r="C418" s="99" t="inlineStr">
        <is>
          <t>Automobile and Auto Components</t>
        </is>
      </c>
      <c r="D418" s="99" t="inlineStr">
        <is>
          <t>Large/Midcap</t>
        </is>
      </c>
      <c r="E418" s="99" t="n">
        <v>13442</v>
      </c>
      <c r="F418" s="99" t="n">
        <v>0.29</v>
      </c>
      <c r="G418" s="99" t="n">
        <v>223369</v>
      </c>
      <c r="H418" s="99" t="n">
        <v>0.6899999999999999</v>
      </c>
      <c r="I418" s="99" t="n">
        <v>431675</v>
      </c>
      <c r="J418" s="99" t="inlineStr">
        <is>
          <t>Y</t>
        </is>
      </c>
      <c r="K418" s="99" t="inlineStr">
        <is>
          <t>N</t>
        </is>
      </c>
      <c r="L418" s="99" t="inlineStr">
        <is>
          <t>N</t>
        </is>
      </c>
      <c r="M418" s="99" t="n">
        <v>28</v>
      </c>
      <c r="N418" s="99" t="inlineStr">
        <is>
          <t>N</t>
        </is>
      </c>
      <c r="O418" s="99" t="n">
        <v>291.64</v>
      </c>
      <c r="P418" s="99" t="inlineStr">
        <is>
          <t>N</t>
        </is>
      </c>
      <c r="Q418" s="99" t="inlineStr">
        <is>
          <t>N/A</t>
        </is>
      </c>
      <c r="R418" s="99" t="inlineStr">
        <is>
          <t>N</t>
        </is>
      </c>
      <c r="S418" s="99" t="n">
        <v>-2</v>
      </c>
      <c r="T418" s="99" t="n">
        <v>1.8</v>
      </c>
      <c r="U418" s="99" t="inlineStr">
        <is>
          <t>Y</t>
        </is>
      </c>
      <c r="V418" s="99" t="n">
        <v>29.4</v>
      </c>
      <c r="W418" s="99" t="n">
        <v>14.4</v>
      </c>
      <c r="X418" s="99" t="n">
        <v>0.1</v>
      </c>
      <c r="Y418" s="99" t="n">
        <v>-5.7</v>
      </c>
      <c r="Z418" s="99" t="n">
        <v>2</v>
      </c>
      <c r="AA418" s="94" t="inlineStr">
        <is>
          <t>AVOID</t>
        </is>
      </c>
    </row>
    <row r="419">
      <c r="A419" s="97" t="inlineStr">
        <is>
          <t>MAZDOCK</t>
        </is>
      </c>
      <c r="B419" s="97" t="inlineStr">
        <is>
          <t>Mazagoan Dock Shipbuilders Ltd.</t>
        </is>
      </c>
      <c r="C419" s="97" t="inlineStr">
        <is>
          <t>Capital Goods</t>
        </is>
      </c>
      <c r="D419" s="97" t="inlineStr">
        <is>
          <t>Large/Midcap</t>
        </is>
      </c>
      <c r="E419" s="97" t="n">
        <v>2293.8</v>
      </c>
      <c r="F419" s="97" t="n">
        <v>-0.22</v>
      </c>
      <c r="G419" s="97" t="n">
        <v>430126</v>
      </c>
      <c r="H419" s="97" t="n">
        <v>0.92</v>
      </c>
      <c r="I419" s="97" t="n">
        <v>94000</v>
      </c>
      <c r="J419" s="97" t="inlineStr">
        <is>
          <t>Y</t>
        </is>
      </c>
      <c r="K419" s="97" t="inlineStr">
        <is>
          <t>N</t>
        </is>
      </c>
      <c r="L419" s="97" t="inlineStr">
        <is>
          <t>N</t>
        </is>
      </c>
      <c r="M419" s="97" t="n">
        <v>16.4</v>
      </c>
      <c r="N419" s="97" t="inlineStr">
        <is>
          <t>N</t>
        </is>
      </c>
      <c r="O419" s="97" t="n">
        <v>49.34</v>
      </c>
      <c r="P419" s="97" t="inlineStr">
        <is>
          <t>N</t>
        </is>
      </c>
      <c r="Q419" s="97" t="inlineStr">
        <is>
          <t>N/A</t>
        </is>
      </c>
      <c r="R419" s="97" t="inlineStr">
        <is>
          <t>N</t>
        </is>
      </c>
      <c r="S419" s="97" t="n">
        <v>-7</v>
      </c>
      <c r="T419" s="97" t="n">
        <v>-16.8</v>
      </c>
      <c r="U419" s="97" t="inlineStr">
        <is>
          <t>N</t>
        </is>
      </c>
      <c r="V419" s="97" t="n">
        <v>36.4</v>
      </c>
      <c r="W419" s="97" t="n">
        <v>28.8</v>
      </c>
      <c r="X419" s="97" t="n">
        <v>4.48</v>
      </c>
      <c r="Y419" s="97" t="n">
        <v>-22.8</v>
      </c>
      <c r="Z419" s="97" t="n">
        <v>2</v>
      </c>
      <c r="AA419" s="92" t="inlineStr">
        <is>
          <t>AVOID</t>
        </is>
      </c>
    </row>
    <row r="420">
      <c r="A420" s="99" t="inlineStr">
        <is>
          <t>MEESHO</t>
        </is>
      </c>
      <c r="B420" s="99" t="inlineStr">
        <is>
          <t>Meesho Ltd.</t>
        </is>
      </c>
      <c r="C420" s="99" t="inlineStr">
        <is>
          <t>Consumer Services</t>
        </is>
      </c>
      <c r="D420" s="99" t="inlineStr">
        <is>
          <t>NSE Smallcap</t>
        </is>
      </c>
      <c r="E420" s="99" t="n">
        <v>182.1</v>
      </c>
      <c r="F420" s="99" t="n">
        <v>-1.7</v>
      </c>
      <c r="G420" s="99" t="n">
        <v>7308444</v>
      </c>
      <c r="H420" s="99" t="n">
        <v>0.64</v>
      </c>
      <c r="I420" s="99" t="n">
        <v>84169</v>
      </c>
      <c r="J420" s="99" t="inlineStr">
        <is>
          <t>Y</t>
        </is>
      </c>
      <c r="K420" s="99" t="inlineStr">
        <is>
          <t>N</t>
        </is>
      </c>
      <c r="L420" s="99" t="inlineStr">
        <is>
          <t>N/A</t>
        </is>
      </c>
      <c r="M420" s="99" t="n">
        <v>38.5</v>
      </c>
      <c r="N420" s="99" t="inlineStr">
        <is>
          <t>N</t>
        </is>
      </c>
      <c r="O420" s="99" t="n">
        <v>6.26</v>
      </c>
      <c r="P420" s="99" t="inlineStr">
        <is>
          <t>N</t>
        </is>
      </c>
      <c r="Q420" s="99" t="inlineStr">
        <is>
          <t>N/A</t>
        </is>
      </c>
      <c r="R420" s="99" t="inlineStr">
        <is>
          <t>N</t>
        </is>
      </c>
      <c r="S420" s="99" t="n">
        <v>-2.1</v>
      </c>
      <c r="T420" s="99" t="n">
        <v>-5.3</v>
      </c>
      <c r="U420" s="99" t="inlineStr">
        <is>
          <t>N</t>
        </is>
      </c>
      <c r="V420" s="99" t="inlineStr">
        <is>
          <t>N/A</t>
        </is>
      </c>
      <c r="W420" s="99" t="inlineStr">
        <is>
          <t>N/A</t>
        </is>
      </c>
      <c r="X420" s="99" t="n">
        <v>1.43</v>
      </c>
      <c r="Y420" s="99" t="n">
        <v>20.1</v>
      </c>
      <c r="Z420" s="99" t="n">
        <v>2</v>
      </c>
      <c r="AA420" s="94" t="inlineStr">
        <is>
          <t>AVOID</t>
        </is>
      </c>
    </row>
    <row r="421">
      <c r="A421" s="97" t="inlineStr">
        <is>
          <t>NCC</t>
        </is>
      </c>
      <c r="B421" s="97" t="inlineStr">
        <is>
          <t>NCC Ltd.</t>
        </is>
      </c>
      <c r="C421" s="97" t="inlineStr">
        <is>
          <t>Construction</t>
        </is>
      </c>
      <c r="D421" s="97" t="inlineStr">
        <is>
          <t>BSE Smallcap</t>
        </is>
      </c>
      <c r="E421" s="97" t="n">
        <v>137.09</v>
      </c>
      <c r="F421" s="97" t="n">
        <v>0.67</v>
      </c>
      <c r="G421" s="97" t="n">
        <v>932229</v>
      </c>
      <c r="H421" s="97" t="n">
        <v>0.89</v>
      </c>
      <c r="I421" s="97" t="n">
        <v>8924</v>
      </c>
      <c r="J421" s="97" t="inlineStr">
        <is>
          <t>Y</t>
        </is>
      </c>
      <c r="K421" s="97" t="inlineStr">
        <is>
          <t>N</t>
        </is>
      </c>
      <c r="L421" s="97" t="inlineStr">
        <is>
          <t>N</t>
        </is>
      </c>
      <c r="M421" s="97" t="n">
        <v>19.9</v>
      </c>
      <c r="N421" s="97" t="inlineStr">
        <is>
          <t>N</t>
        </is>
      </c>
      <c r="O421" s="97" t="n">
        <v>3.38</v>
      </c>
      <c r="P421" s="97" t="inlineStr">
        <is>
          <t>N</t>
        </is>
      </c>
      <c r="Q421" s="97" t="inlineStr">
        <is>
          <t>N/A</t>
        </is>
      </c>
      <c r="R421" s="97" t="inlineStr">
        <is>
          <t>N</t>
        </is>
      </c>
      <c r="S421" s="97" t="n">
        <v>-10.5</v>
      </c>
      <c r="T421" s="97" t="n">
        <v>-16.5</v>
      </c>
      <c r="U421" s="97" t="inlineStr">
        <is>
          <t>N</t>
        </is>
      </c>
      <c r="V421" s="97" t="n">
        <v>13.2</v>
      </c>
      <c r="W421" s="97" t="n">
        <v>9.300000000000001</v>
      </c>
      <c r="X421" s="97" t="n">
        <v>43.06</v>
      </c>
      <c r="Y421" s="97" t="n">
        <v>68.2</v>
      </c>
      <c r="Z421" s="97" t="n">
        <v>2</v>
      </c>
      <c r="AA421" s="92" t="inlineStr">
        <is>
          <t>AVOID</t>
        </is>
      </c>
    </row>
    <row r="422">
      <c r="A422" s="99" t="inlineStr">
        <is>
          <t>ONGC</t>
        </is>
      </c>
      <c r="B422" s="99" t="inlineStr">
        <is>
          <t>Oil &amp; Natural Gas Corporation Ltd.</t>
        </is>
      </c>
      <c r="C422" s="99" t="inlineStr">
        <is>
          <t>Oil Gas &amp; Consumable Fuels</t>
        </is>
      </c>
      <c r="D422" s="99" t="inlineStr">
        <is>
          <t>Large/Midcap</t>
        </is>
      </c>
      <c r="E422" s="99" t="n">
        <v>238.56</v>
      </c>
      <c r="F422" s="99" t="n">
        <v>-4.1</v>
      </c>
      <c r="G422" s="99" t="n">
        <v>19910285</v>
      </c>
      <c r="H422" s="99" t="n">
        <v>2.16</v>
      </c>
      <c r="I422" s="99" t="n">
        <v>300115</v>
      </c>
      <c r="J422" s="99" t="inlineStr">
        <is>
          <t>Y</t>
        </is>
      </c>
      <c r="K422" s="99" t="inlineStr">
        <is>
          <t>N</t>
        </is>
      </c>
      <c r="L422" s="99" t="inlineStr">
        <is>
          <t>N</t>
        </is>
      </c>
      <c r="M422" s="99" t="n">
        <v>41.5</v>
      </c>
      <c r="N422" s="99" t="inlineStr">
        <is>
          <t>N</t>
        </is>
      </c>
      <c r="O422" s="99" t="n">
        <v>4.4</v>
      </c>
      <c r="P422" s="99" t="inlineStr">
        <is>
          <t>N</t>
        </is>
      </c>
      <c r="Q422" s="99" t="inlineStr">
        <is>
          <t>N/A</t>
        </is>
      </c>
      <c r="R422" s="99" t="inlineStr">
        <is>
          <t>N</t>
        </is>
      </c>
      <c r="S422" s="99" t="n">
        <v>2.6</v>
      </c>
      <c r="T422" s="99" t="n">
        <v>-20</v>
      </c>
      <c r="U422" s="99" t="inlineStr">
        <is>
          <t>N</t>
        </is>
      </c>
      <c r="V422" s="99" t="n">
        <v>7.6</v>
      </c>
      <c r="W422" s="99" t="n">
        <v>12.7</v>
      </c>
      <c r="X422" s="99" t="n">
        <v>42.55</v>
      </c>
      <c r="Y422" s="99" t="n">
        <v>8</v>
      </c>
      <c r="Z422" s="99" t="n">
        <v>2</v>
      </c>
      <c r="AA422" s="94" t="inlineStr">
        <is>
          <t>AVOID</t>
        </is>
      </c>
    </row>
    <row r="423">
      <c r="A423" s="97" t="inlineStr">
        <is>
          <t>OLAELEC</t>
        </is>
      </c>
      <c r="B423" s="97" t="inlineStr">
        <is>
          <t>Ola Electric Mobility Ltd.</t>
        </is>
      </c>
      <c r="C423" s="97" t="inlineStr">
        <is>
          <t>Automobile and Auto Components</t>
        </is>
      </c>
      <c r="D423" s="97" t="inlineStr">
        <is>
          <t>BSE Smallcap</t>
        </is>
      </c>
      <c r="E423" s="97" t="n">
        <v>37.27</v>
      </c>
      <c r="F423" s="97" t="n">
        <v>0.51</v>
      </c>
      <c r="G423" s="97" t="n">
        <v>25117046</v>
      </c>
      <c r="H423" s="97" t="n">
        <v>0.44</v>
      </c>
      <c r="I423" s="97" t="n">
        <v>16468</v>
      </c>
      <c r="J423" s="97" t="inlineStr">
        <is>
          <t>Y</t>
        </is>
      </c>
      <c r="K423" s="97" t="inlineStr">
        <is>
          <t>N</t>
        </is>
      </c>
      <c r="L423" s="97" t="inlineStr">
        <is>
          <t>N</t>
        </is>
      </c>
      <c r="M423" s="97" t="n">
        <v>22.3</v>
      </c>
      <c r="N423" s="97" t="inlineStr">
        <is>
          <t>N</t>
        </is>
      </c>
      <c r="O423" s="97" t="n">
        <v>1.57</v>
      </c>
      <c r="P423" s="97" t="inlineStr">
        <is>
          <t>N</t>
        </is>
      </c>
      <c r="Q423" s="97" t="inlineStr">
        <is>
          <t>N/A</t>
        </is>
      </c>
      <c r="R423" s="97" t="inlineStr">
        <is>
          <t>N</t>
        </is>
      </c>
      <c r="S423" s="97" t="n">
        <v>-10.6</v>
      </c>
      <c r="T423" s="97" t="n">
        <v>2.3</v>
      </c>
      <c r="U423" s="97" t="inlineStr">
        <is>
          <t>Y</t>
        </is>
      </c>
      <c r="V423" s="97" t="inlineStr">
        <is>
          <t>N/A</t>
        </is>
      </c>
      <c r="W423" s="97" t="n">
        <v>-43.2</v>
      </c>
      <c r="X423" s="97" t="n">
        <v>82.45</v>
      </c>
      <c r="Y423" s="97" t="n">
        <v>-2.7</v>
      </c>
      <c r="Z423" s="97" t="n">
        <v>2</v>
      </c>
      <c r="AA423" s="92" t="inlineStr">
        <is>
          <t>AVOID</t>
        </is>
      </c>
    </row>
    <row r="424">
      <c r="A424" s="99" t="inlineStr">
        <is>
          <t>POLICYBZR</t>
        </is>
      </c>
      <c r="B424" s="99" t="inlineStr">
        <is>
          <t>PB Fintech Ltd.</t>
        </is>
      </c>
      <c r="C424" s="99" t="inlineStr">
        <is>
          <t>Financial Services</t>
        </is>
      </c>
      <c r="D424" s="99" t="inlineStr">
        <is>
          <t>Large/Midcap</t>
        </is>
      </c>
      <c r="E424" s="99" t="n">
        <v>1537.2</v>
      </c>
      <c r="F424" s="99" t="n">
        <v>0.6899999999999999</v>
      </c>
      <c r="G424" s="99" t="n">
        <v>1154630</v>
      </c>
      <c r="H424" s="99" t="n">
        <v>0.97</v>
      </c>
      <c r="I424" s="99" t="n">
        <v>71764</v>
      </c>
      <c r="J424" s="99" t="inlineStr">
        <is>
          <t>Y</t>
        </is>
      </c>
      <c r="K424" s="99" t="inlineStr">
        <is>
          <t>N</t>
        </is>
      </c>
      <c r="L424" s="99" t="inlineStr">
        <is>
          <t>N</t>
        </is>
      </c>
      <c r="M424" s="99" t="n">
        <v>43.2</v>
      </c>
      <c r="N424" s="99" t="inlineStr">
        <is>
          <t>N</t>
        </is>
      </c>
      <c r="O424" s="99" t="n">
        <v>43.79</v>
      </c>
      <c r="P424" s="99" t="inlineStr">
        <is>
          <t>N</t>
        </is>
      </c>
      <c r="Q424" s="99" t="inlineStr">
        <is>
          <t>N/A</t>
        </is>
      </c>
      <c r="R424" s="99" t="inlineStr">
        <is>
          <t>N</t>
        </is>
      </c>
      <c r="S424" s="99" t="n">
        <v>-4.6</v>
      </c>
      <c r="T424" s="99" t="n">
        <v>-8.300000000000001</v>
      </c>
      <c r="U424" s="99" t="inlineStr">
        <is>
          <t>N</t>
        </is>
      </c>
      <c r="V424" s="99" t="n">
        <v>107.5</v>
      </c>
      <c r="W424" s="99" t="n">
        <v>9.699999999999999</v>
      </c>
      <c r="X424" s="99" t="n">
        <v>4.92</v>
      </c>
      <c r="Y424" s="99" t="n">
        <v>37.9</v>
      </c>
      <c r="Z424" s="99" t="n">
        <v>2</v>
      </c>
      <c r="AA424" s="94" t="inlineStr">
        <is>
          <t>AVOID</t>
        </is>
      </c>
    </row>
    <row r="425">
      <c r="A425" s="97" t="inlineStr">
        <is>
          <t>RAILTEL</t>
        </is>
      </c>
      <c r="B425" s="97" t="inlineStr">
        <is>
          <t>Railtel Corporation Of India Ltd.</t>
        </is>
      </c>
      <c r="C425" s="97" t="inlineStr">
        <is>
          <t>Telecommunication</t>
        </is>
      </c>
      <c r="D425" s="97" t="inlineStr">
        <is>
          <t>BSE Smallcap</t>
        </is>
      </c>
      <c r="E425" s="97" t="n">
        <v>284.75</v>
      </c>
      <c r="F425" s="97" t="n">
        <v>-0.97</v>
      </c>
      <c r="G425" s="97" t="n">
        <v>695273</v>
      </c>
      <c r="H425" s="97" t="n">
        <v>1.72</v>
      </c>
      <c r="I425" s="97" t="n">
        <v>9261</v>
      </c>
      <c r="J425" s="97" t="inlineStr">
        <is>
          <t>Y</t>
        </is>
      </c>
      <c r="K425" s="97" t="inlineStr">
        <is>
          <t>N</t>
        </is>
      </c>
      <c r="L425" s="97" t="inlineStr">
        <is>
          <t>N</t>
        </is>
      </c>
      <c r="M425" s="97" t="n">
        <v>23.6</v>
      </c>
      <c r="N425" s="97" t="inlineStr">
        <is>
          <t>N</t>
        </is>
      </c>
      <c r="O425" s="97" t="n">
        <v>7.09</v>
      </c>
      <c r="P425" s="97" t="inlineStr">
        <is>
          <t>N</t>
        </is>
      </c>
      <c r="Q425" s="97" t="inlineStr">
        <is>
          <t>N/A</t>
        </is>
      </c>
      <c r="R425" s="97" t="inlineStr">
        <is>
          <t>N</t>
        </is>
      </c>
      <c r="S425" s="97" t="n">
        <v>-9.1</v>
      </c>
      <c r="T425" s="97" t="n">
        <v>-12.4</v>
      </c>
      <c r="U425" s="97" t="inlineStr">
        <is>
          <t>N</t>
        </is>
      </c>
      <c r="V425" s="97" t="n">
        <v>29.1</v>
      </c>
      <c r="W425" s="97" t="n">
        <v>16.3</v>
      </c>
      <c r="X425" s="97" t="n">
        <v>2.82</v>
      </c>
      <c r="Y425" s="97" t="n">
        <v>-5.6</v>
      </c>
      <c r="Z425" s="97" t="n">
        <v>2</v>
      </c>
      <c r="AA425" s="92" t="inlineStr">
        <is>
          <t>AVOID</t>
        </is>
      </c>
    </row>
    <row r="426">
      <c r="A426" s="99" t="inlineStr">
        <is>
          <t>RELIANCE</t>
        </is>
      </c>
      <c r="B426" s="99" t="inlineStr">
        <is>
          <t>Reliance Industries Ltd.</t>
        </is>
      </c>
      <c r="C426" s="99" t="inlineStr">
        <is>
          <t>Oil Gas &amp; Consumable Fuels</t>
        </is>
      </c>
      <c r="D426" s="99" t="inlineStr">
        <is>
          <t>Large/Midcap</t>
        </is>
      </c>
      <c r="E426" s="99" t="n">
        <v>1278</v>
      </c>
      <c r="F426" s="99" t="n">
        <v>0.46</v>
      </c>
      <c r="G426" s="99" t="n">
        <v>9817000</v>
      </c>
      <c r="H426" s="99" t="n">
        <v>0.8100000000000001</v>
      </c>
      <c r="I426" s="99" t="n">
        <v>1732156</v>
      </c>
      <c r="J426" s="99" t="inlineStr">
        <is>
          <t>Y</t>
        </is>
      </c>
      <c r="K426" s="99" t="inlineStr">
        <is>
          <t>N</t>
        </is>
      </c>
      <c r="L426" s="99" t="inlineStr">
        <is>
          <t>N</t>
        </is>
      </c>
      <c r="M426" s="99" t="n">
        <v>38.4</v>
      </c>
      <c r="N426" s="99" t="inlineStr">
        <is>
          <t>N</t>
        </is>
      </c>
      <c r="O426" s="99" t="n">
        <v>25.09</v>
      </c>
      <c r="P426" s="99" t="inlineStr">
        <is>
          <t>N</t>
        </is>
      </c>
      <c r="Q426" s="99" t="inlineStr">
        <is>
          <t>N/A</t>
        </is>
      </c>
      <c r="R426" s="99" t="inlineStr">
        <is>
          <t>N</t>
        </is>
      </c>
      <c r="S426" s="99" t="n">
        <v>-2.8</v>
      </c>
      <c r="T426" s="99" t="n">
        <v>-9.5</v>
      </c>
      <c r="U426" s="99" t="inlineStr">
        <is>
          <t>N</t>
        </is>
      </c>
      <c r="V426" s="99" t="n">
        <v>23.2</v>
      </c>
      <c r="W426" s="99" t="inlineStr">
        <is>
          <t>N/A</t>
        </is>
      </c>
      <c r="X426" s="99" t="n">
        <v>36.65</v>
      </c>
      <c r="Y426" s="99" t="n">
        <v>23.4</v>
      </c>
      <c r="Z426" s="99" t="n">
        <v>2</v>
      </c>
      <c r="AA426" s="94" t="inlineStr">
        <is>
          <t>AVOID</t>
        </is>
      </c>
    </row>
    <row r="427">
      <c r="A427" s="97" t="inlineStr">
        <is>
          <t>SARDAEN</t>
        </is>
      </c>
      <c r="B427" s="97" t="inlineStr">
        <is>
          <t>Sarda Energy and Minerals Ltd.</t>
        </is>
      </c>
      <c r="C427" s="97" t="inlineStr">
        <is>
          <t>Metals &amp; Mining</t>
        </is>
      </c>
      <c r="D427" s="97" t="inlineStr">
        <is>
          <t>BSE Smallcap</t>
        </is>
      </c>
      <c r="E427" s="97" t="n">
        <v>502.25</v>
      </c>
      <c r="F427" s="97" t="n">
        <v>-0.04</v>
      </c>
      <c r="G427" s="97" t="n">
        <v>131350</v>
      </c>
      <c r="H427" s="97" t="n">
        <v>0.75</v>
      </c>
      <c r="I427" s="97" t="n">
        <v>18052</v>
      </c>
      <c r="J427" s="97" t="inlineStr">
        <is>
          <t>Y</t>
        </is>
      </c>
      <c r="K427" s="97" t="inlineStr">
        <is>
          <t>N</t>
        </is>
      </c>
      <c r="L427" s="97" t="inlineStr">
        <is>
          <t>N</t>
        </is>
      </c>
      <c r="M427" s="97" t="n">
        <v>47.9</v>
      </c>
      <c r="N427" s="97" t="inlineStr">
        <is>
          <t>N</t>
        </is>
      </c>
      <c r="O427" s="97" t="n">
        <v>11.5</v>
      </c>
      <c r="P427" s="97" t="inlineStr">
        <is>
          <t>N</t>
        </is>
      </c>
      <c r="Q427" s="97" t="inlineStr">
        <is>
          <t>N/A</t>
        </is>
      </c>
      <c r="R427" s="97" t="inlineStr">
        <is>
          <t>N</t>
        </is>
      </c>
      <c r="S427" s="97" t="n">
        <v>-3.4</v>
      </c>
      <c r="T427" s="97" t="n">
        <v>-14.9</v>
      </c>
      <c r="U427" s="97" t="inlineStr">
        <is>
          <t>N</t>
        </is>
      </c>
      <c r="V427" s="97" t="n">
        <v>16.3</v>
      </c>
      <c r="W427" s="97" t="n">
        <v>16</v>
      </c>
      <c r="X427" s="97" t="n">
        <v>35.2</v>
      </c>
      <c r="Y427" s="97" t="n">
        <v>-17</v>
      </c>
      <c r="Z427" s="97" t="n">
        <v>2</v>
      </c>
      <c r="AA427" s="92" t="inlineStr">
        <is>
          <t>AVOID</t>
        </is>
      </c>
    </row>
    <row r="428">
      <c r="A428" s="99" t="inlineStr">
        <is>
          <t>SCI</t>
        </is>
      </c>
      <c r="B428" s="99" t="inlineStr">
        <is>
          <t>Shipping Corporation of India Ltd.</t>
        </is>
      </c>
      <c r="C428" s="99" t="inlineStr">
        <is>
          <t>Services</t>
        </is>
      </c>
      <c r="D428" s="99" t="inlineStr">
        <is>
          <t>NSE Smallcap</t>
        </is>
      </c>
      <c r="E428" s="99" t="n">
        <v>283.8</v>
      </c>
      <c r="F428" s="99" t="n">
        <v>3.16</v>
      </c>
      <c r="G428" s="99" t="n">
        <v>2204031</v>
      </c>
      <c r="H428" s="99" t="n">
        <v>1.19</v>
      </c>
      <c r="I428" s="99" t="n">
        <v>13219</v>
      </c>
      <c r="J428" s="99" t="inlineStr">
        <is>
          <t>Y</t>
        </is>
      </c>
      <c r="K428" s="99" t="inlineStr">
        <is>
          <t>N</t>
        </is>
      </c>
      <c r="L428" s="99" t="inlineStr">
        <is>
          <t>Y</t>
        </is>
      </c>
      <c r="M428" s="99" t="n">
        <v>44.8</v>
      </c>
      <c r="N428" s="99" t="inlineStr">
        <is>
          <t>N</t>
        </is>
      </c>
      <c r="O428" s="99" t="n">
        <v>9.67</v>
      </c>
      <c r="P428" s="99" t="inlineStr">
        <is>
          <t>N</t>
        </is>
      </c>
      <c r="Q428" s="99" t="inlineStr">
        <is>
          <t>N/A</t>
        </is>
      </c>
      <c r="R428" s="99" t="inlineStr">
        <is>
          <t>N</t>
        </is>
      </c>
      <c r="S428" s="99" t="n">
        <v>-8.699999999999999</v>
      </c>
      <c r="T428" s="99" t="n">
        <v>-6.4</v>
      </c>
      <c r="U428" s="99" t="inlineStr">
        <is>
          <t>N</t>
        </is>
      </c>
      <c r="V428" s="99" t="n">
        <v>9.5</v>
      </c>
      <c r="W428" s="99" t="inlineStr">
        <is>
          <t>N/A</t>
        </is>
      </c>
      <c r="X428" s="99" t="n">
        <v>29.45</v>
      </c>
      <c r="Y428" s="99" t="n">
        <v>-0.1</v>
      </c>
      <c r="Z428" s="99" t="n">
        <v>2</v>
      </c>
      <c r="AA428" s="94" t="inlineStr">
        <is>
          <t>AVOID</t>
        </is>
      </c>
    </row>
    <row r="429">
      <c r="A429" s="97" t="inlineStr">
        <is>
          <t>SAIL</t>
        </is>
      </c>
      <c r="B429" s="97" t="inlineStr">
        <is>
          <t>Steel Authority of India Ltd.</t>
        </is>
      </c>
      <c r="C429" s="97" t="inlineStr">
        <is>
          <t>Metals &amp; Mining</t>
        </is>
      </c>
      <c r="D429" s="97" t="inlineStr">
        <is>
          <t>Large/Midcap</t>
        </is>
      </c>
      <c r="E429" s="97" t="n">
        <v>162.62</v>
      </c>
      <c r="F429" s="97" t="n">
        <v>0.72</v>
      </c>
      <c r="G429" s="97" t="n">
        <v>13672214</v>
      </c>
      <c r="H429" s="97" t="n">
        <v>1.33</v>
      </c>
      <c r="I429" s="97" t="n">
        <v>67171</v>
      </c>
      <c r="J429" s="97" t="inlineStr">
        <is>
          <t>Y</t>
        </is>
      </c>
      <c r="K429" s="97" t="inlineStr">
        <is>
          <t>N</t>
        </is>
      </c>
      <c r="L429" s="97" t="inlineStr">
        <is>
          <t>Y</t>
        </is>
      </c>
      <c r="M429" s="97" t="n">
        <v>42.8</v>
      </c>
      <c r="N429" s="97" t="inlineStr">
        <is>
          <t>N</t>
        </is>
      </c>
      <c r="O429" s="97" t="n">
        <v>4.27</v>
      </c>
      <c r="P429" s="97" t="inlineStr">
        <is>
          <t>N</t>
        </is>
      </c>
      <c r="Q429" s="97" t="inlineStr">
        <is>
          <t>N/A</t>
        </is>
      </c>
      <c r="R429" s="97" t="inlineStr">
        <is>
          <t>N</t>
        </is>
      </c>
      <c r="S429" s="97" t="n">
        <v>-4.5</v>
      </c>
      <c r="T429" s="97" t="n">
        <v>-11.5</v>
      </c>
      <c r="U429" s="97" t="inlineStr">
        <is>
          <t>N</t>
        </is>
      </c>
      <c r="V429" s="97" t="n">
        <v>15.6</v>
      </c>
      <c r="W429" s="97" t="inlineStr">
        <is>
          <t>N/A</t>
        </is>
      </c>
      <c r="X429" s="97" t="n">
        <v>52.9</v>
      </c>
      <c r="Y429" s="97" t="n">
        <v>-10.4</v>
      </c>
      <c r="Z429" s="97" t="n">
        <v>2</v>
      </c>
      <c r="AA429" s="92" t="inlineStr">
        <is>
          <t>AVOID</t>
        </is>
      </c>
    </row>
    <row r="430">
      <c r="A430" s="99" t="inlineStr">
        <is>
          <t>SYNGENE</t>
        </is>
      </c>
      <c r="B430" s="99" t="inlineStr">
        <is>
          <t>Syngene International Ltd.</t>
        </is>
      </c>
      <c r="C430" s="99" t="inlineStr">
        <is>
          <t>Healthcare</t>
        </is>
      </c>
      <c r="D430" s="99" t="inlineStr">
        <is>
          <t>BSE Smallcap</t>
        </is>
      </c>
      <c r="E430" s="99" t="n">
        <v>413.85</v>
      </c>
      <c r="F430" s="99" t="n">
        <v>1.77</v>
      </c>
      <c r="G430" s="99" t="n">
        <v>530732</v>
      </c>
      <c r="H430" s="99" t="n">
        <v>0.6899999999999999</v>
      </c>
      <c r="I430" s="99" t="n">
        <v>16658</v>
      </c>
      <c r="J430" s="99" t="inlineStr">
        <is>
          <t>Y</t>
        </is>
      </c>
      <c r="K430" s="99" t="inlineStr">
        <is>
          <t>N</t>
        </is>
      </c>
      <c r="L430" s="99" t="inlineStr">
        <is>
          <t>N</t>
        </is>
      </c>
      <c r="M430" s="99" t="n">
        <v>41.1</v>
      </c>
      <c r="N430" s="99" t="inlineStr">
        <is>
          <t>N</t>
        </is>
      </c>
      <c r="O430" s="99" t="n">
        <v>10.6</v>
      </c>
      <c r="P430" s="99" t="inlineStr">
        <is>
          <t>N</t>
        </is>
      </c>
      <c r="Q430" s="99" t="inlineStr">
        <is>
          <t>N/A</t>
        </is>
      </c>
      <c r="R430" s="99" t="inlineStr">
        <is>
          <t>N</t>
        </is>
      </c>
      <c r="S430" s="99" t="n">
        <v>-4.9</v>
      </c>
      <c r="T430" s="99" t="n">
        <v>-10.9</v>
      </c>
      <c r="U430" s="99" t="inlineStr">
        <is>
          <t>N</t>
        </is>
      </c>
      <c r="V430" s="99" t="n">
        <v>51.5</v>
      </c>
      <c r="W430" s="99" t="n">
        <v>6.6</v>
      </c>
      <c r="X430" s="99" t="n">
        <v>9.470000000000001</v>
      </c>
      <c r="Y430" s="99" t="n">
        <v>886</v>
      </c>
      <c r="Z430" s="99" t="n">
        <v>2</v>
      </c>
      <c r="AA430" s="94" t="inlineStr">
        <is>
          <t>AVOID</t>
        </is>
      </c>
    </row>
    <row r="431">
      <c r="A431" s="97" t="inlineStr">
        <is>
          <t>SWANCORP</t>
        </is>
      </c>
      <c r="B431" s="97" t="inlineStr">
        <is>
          <t>Swan Corp Ltd.</t>
        </is>
      </c>
      <c r="C431" s="97" t="inlineStr">
        <is>
          <t>Chemicals</t>
        </is>
      </c>
      <c r="D431" s="97" t="inlineStr">
        <is>
          <t>BSE Smallcap</t>
        </is>
      </c>
      <c r="E431" s="97" t="n">
        <v>312.2</v>
      </c>
      <c r="F431" s="97" t="n">
        <v>0.61</v>
      </c>
      <c r="G431" s="97" t="n">
        <v>642483</v>
      </c>
      <c r="H431" s="97" t="n">
        <v>1.03</v>
      </c>
      <c r="I431" s="97" t="n">
        <v>9786</v>
      </c>
      <c r="J431" s="97" t="inlineStr">
        <is>
          <t>Y</t>
        </is>
      </c>
      <c r="K431" s="97" t="inlineStr">
        <is>
          <t>N</t>
        </is>
      </c>
      <c r="L431" s="97" t="inlineStr">
        <is>
          <t>N</t>
        </is>
      </c>
      <c r="M431" s="97" t="n">
        <v>29.4</v>
      </c>
      <c r="N431" s="97" t="inlineStr">
        <is>
          <t>N</t>
        </is>
      </c>
      <c r="O431" s="97" t="n">
        <v>7.86</v>
      </c>
      <c r="P431" s="97" t="inlineStr">
        <is>
          <t>N</t>
        </is>
      </c>
      <c r="Q431" s="97" t="inlineStr">
        <is>
          <t>N/A</t>
        </is>
      </c>
      <c r="R431" s="97" t="inlineStr">
        <is>
          <t>N</t>
        </is>
      </c>
      <c r="S431" s="97" t="n">
        <v>-1.7</v>
      </c>
      <c r="T431" s="97" t="n">
        <v>-6.3</v>
      </c>
      <c r="U431" s="97" t="inlineStr">
        <is>
          <t>N</t>
        </is>
      </c>
      <c r="V431" s="97" t="n">
        <v>35.8</v>
      </c>
      <c r="W431" s="97" t="n">
        <v>3</v>
      </c>
      <c r="X431" s="97" t="n">
        <v>24.52</v>
      </c>
      <c r="Y431" s="97" t="n">
        <v>2822.3</v>
      </c>
      <c r="Z431" s="97" t="n">
        <v>2</v>
      </c>
      <c r="AA431" s="92" t="inlineStr">
        <is>
          <t>AVOID</t>
        </is>
      </c>
    </row>
    <row r="432">
      <c r="A432" s="99" t="inlineStr">
        <is>
          <t>TATACONSUM</t>
        </is>
      </c>
      <c r="B432" s="99" t="inlineStr">
        <is>
          <t>Tata Consumer Products Ltd.</t>
        </is>
      </c>
      <c r="C432" s="99" t="inlineStr">
        <is>
          <t>Fast Moving Consumer Goods</t>
        </is>
      </c>
      <c r="D432" s="99" t="inlineStr">
        <is>
          <t>Large/Midcap</t>
        </is>
      </c>
      <c r="E432" s="99" t="n">
        <v>1088</v>
      </c>
      <c r="F432" s="99" t="n">
        <v>-1.78</v>
      </c>
      <c r="G432" s="99" t="n">
        <v>1644917</v>
      </c>
      <c r="H432" s="99" t="n">
        <v>1.04</v>
      </c>
      <c r="I432" s="99" t="n">
        <v>109594</v>
      </c>
      <c r="J432" s="99" t="inlineStr">
        <is>
          <t>Y</t>
        </is>
      </c>
      <c r="K432" s="99" t="inlineStr">
        <is>
          <t>N</t>
        </is>
      </c>
      <c r="L432" s="99" t="inlineStr">
        <is>
          <t>N</t>
        </is>
      </c>
      <c r="M432" s="99" t="n">
        <v>40.3</v>
      </c>
      <c r="N432" s="99" t="inlineStr">
        <is>
          <t>N</t>
        </is>
      </c>
      <c r="O432" s="99" t="n">
        <v>22.23</v>
      </c>
      <c r="P432" s="99" t="inlineStr">
        <is>
          <t>N</t>
        </is>
      </c>
      <c r="Q432" s="99" t="inlineStr">
        <is>
          <t>N/A</t>
        </is>
      </c>
      <c r="R432" s="99" t="inlineStr">
        <is>
          <t>N</t>
        </is>
      </c>
      <c r="S432" s="99" t="n">
        <v>-3.6</v>
      </c>
      <c r="T432" s="99" t="n">
        <v>-5.7</v>
      </c>
      <c r="U432" s="99" t="inlineStr">
        <is>
          <t>N</t>
        </is>
      </c>
      <c r="V432" s="99" t="n">
        <v>67</v>
      </c>
      <c r="W432" s="99" t="inlineStr">
        <is>
          <t>N/A</t>
        </is>
      </c>
      <c r="X432" s="99" t="n">
        <v>12.16</v>
      </c>
      <c r="Y432" s="99" t="n">
        <v>1.9</v>
      </c>
      <c r="Z432" s="99" t="n">
        <v>2</v>
      </c>
      <c r="AA432" s="94" t="inlineStr">
        <is>
          <t>AVOID</t>
        </is>
      </c>
    </row>
    <row r="433">
      <c r="A433" s="97" t="inlineStr">
        <is>
          <t>TATAELXSI</t>
        </is>
      </c>
      <c r="B433" s="97" t="inlineStr">
        <is>
          <t>Tata Elxsi Ltd.</t>
        </is>
      </c>
      <c r="C433" s="97" t="inlineStr">
        <is>
          <t>Information Technology</t>
        </is>
      </c>
      <c r="D433" s="97" t="inlineStr">
        <is>
          <t>Large/Midcap</t>
        </is>
      </c>
      <c r="E433" s="97" t="n">
        <v>3538</v>
      </c>
      <c r="F433" s="97" t="n">
        <v>4.44</v>
      </c>
      <c r="G433" s="97" t="n">
        <v>1304975</v>
      </c>
      <c r="H433" s="97" t="n">
        <v>3.15</v>
      </c>
      <c r="I433" s="97" t="n">
        <v>22144</v>
      </c>
      <c r="J433" s="97" t="inlineStr">
        <is>
          <t>Y</t>
        </is>
      </c>
      <c r="K433" s="97" t="inlineStr">
        <is>
          <t>N</t>
        </is>
      </c>
      <c r="L433" s="97" t="inlineStr">
        <is>
          <t>N</t>
        </is>
      </c>
      <c r="M433" s="97" t="n">
        <v>44.1</v>
      </c>
      <c r="N433" s="97" t="inlineStr">
        <is>
          <t>N</t>
        </is>
      </c>
      <c r="O433" s="97" t="n">
        <v>111.31</v>
      </c>
      <c r="P433" s="97" t="inlineStr">
        <is>
          <t>Y</t>
        </is>
      </c>
      <c r="Q433" s="97" t="inlineStr">
        <is>
          <t>N/A</t>
        </is>
      </c>
      <c r="R433" s="97" t="inlineStr">
        <is>
          <t>N</t>
        </is>
      </c>
      <c r="S433" s="97" t="n">
        <v>-11.9</v>
      </c>
      <c r="T433" s="97" t="n">
        <v>-12.8</v>
      </c>
      <c r="U433" s="97" t="inlineStr">
        <is>
          <t>N</t>
        </is>
      </c>
      <c r="V433" s="97" t="n">
        <v>33.8</v>
      </c>
      <c r="W433" s="97" t="inlineStr">
        <is>
          <t>N/A</t>
        </is>
      </c>
      <c r="X433" s="97" t="n">
        <v>5.34</v>
      </c>
      <c r="Y433" s="97" t="n">
        <v>-22.6</v>
      </c>
      <c r="Z433" s="97" t="n">
        <v>2</v>
      </c>
      <c r="AA433" s="92" t="inlineStr">
        <is>
          <t>AVOID</t>
        </is>
      </c>
    </row>
    <row r="434">
      <c r="A434" s="99" t="inlineStr">
        <is>
          <t>TMPV</t>
        </is>
      </c>
      <c r="B434" s="99" t="inlineStr">
        <is>
          <t>Tata Motors Passenger Vehicles Ltd.</t>
        </is>
      </c>
      <c r="C434" s="99" t="inlineStr">
        <is>
          <t>Automobile and Auto Components</t>
        </is>
      </c>
      <c r="D434" s="99" t="inlineStr">
        <is>
          <t>Large/Midcap</t>
        </is>
      </c>
      <c r="E434" s="99" t="n">
        <v>323.8</v>
      </c>
      <c r="F434" s="99" t="n">
        <v>-0.15</v>
      </c>
      <c r="G434" s="99" t="n">
        <v>7171058</v>
      </c>
      <c r="H434" s="99" t="n">
        <v>1</v>
      </c>
      <c r="I434" s="99" t="n">
        <v>120660</v>
      </c>
      <c r="J434" s="99" t="inlineStr">
        <is>
          <t>Y</t>
        </is>
      </c>
      <c r="K434" s="99" t="inlineStr">
        <is>
          <t>N</t>
        </is>
      </c>
      <c r="L434" s="99" t="inlineStr">
        <is>
          <t>N</t>
        </is>
      </c>
      <c r="M434" s="99" t="n">
        <v>28.5</v>
      </c>
      <c r="N434" s="99" t="inlineStr">
        <is>
          <t>N</t>
        </is>
      </c>
      <c r="O434" s="99" t="n">
        <v>7.2</v>
      </c>
      <c r="P434" s="99" t="inlineStr">
        <is>
          <t>N</t>
        </is>
      </c>
      <c r="Q434" s="99" t="inlineStr">
        <is>
          <t>N/A</t>
        </is>
      </c>
      <c r="R434" s="99" t="inlineStr">
        <is>
          <t>N</t>
        </is>
      </c>
      <c r="S434" s="99" t="n">
        <v>-8.1</v>
      </c>
      <c r="T434" s="99" t="n">
        <v>-7</v>
      </c>
      <c r="U434" s="99" t="inlineStr">
        <is>
          <t>N</t>
        </is>
      </c>
      <c r="V434" s="99" t="inlineStr">
        <is>
          <t>N/A</t>
        </is>
      </c>
      <c r="W434" s="99" t="n">
        <v>-1.1</v>
      </c>
      <c r="X434" s="99" t="n">
        <v>70.36</v>
      </c>
      <c r="Y434" s="99" t="n">
        <v>265.9</v>
      </c>
      <c r="Z434" s="99" t="n">
        <v>2</v>
      </c>
      <c r="AA434" s="94" t="inlineStr">
        <is>
          <t>AVOID</t>
        </is>
      </c>
    </row>
    <row r="435">
      <c r="A435" s="97" t="inlineStr">
        <is>
          <t>TEGA</t>
        </is>
      </c>
      <c r="B435" s="97" t="inlineStr">
        <is>
          <t>Tega Industries Ltd.</t>
        </is>
      </c>
      <c r="C435" s="97" t="inlineStr">
        <is>
          <t>Capital Goods</t>
        </is>
      </c>
      <c r="D435" s="97" t="inlineStr">
        <is>
          <t>NSE Smallcap</t>
        </is>
      </c>
      <c r="E435" s="97" t="n">
        <v>1510.5</v>
      </c>
      <c r="F435" s="97" t="n">
        <v>-3.19</v>
      </c>
      <c r="G435" s="97" t="n">
        <v>114630</v>
      </c>
      <c r="H435" s="97" t="n">
        <v>1.45</v>
      </c>
      <c r="I435" s="97" t="inlineStr">
        <is>
          <t>N/A</t>
        </is>
      </c>
      <c r="J435" s="97" t="inlineStr">
        <is>
          <t>Y</t>
        </is>
      </c>
      <c r="K435" s="97" t="inlineStr">
        <is>
          <t>N</t>
        </is>
      </c>
      <c r="L435" s="97" t="inlineStr">
        <is>
          <t>N</t>
        </is>
      </c>
      <c r="M435" s="97" t="n">
        <v>35</v>
      </c>
      <c r="N435" s="97" t="inlineStr">
        <is>
          <t>N</t>
        </is>
      </c>
      <c r="O435" s="97" t="n">
        <v>50.39</v>
      </c>
      <c r="P435" s="97" t="inlineStr">
        <is>
          <t>Y</t>
        </is>
      </c>
      <c r="Q435" s="97" t="inlineStr">
        <is>
          <t>N/A</t>
        </is>
      </c>
      <c r="R435" s="97" t="inlineStr">
        <is>
          <t>N</t>
        </is>
      </c>
      <c r="S435" s="97" t="n">
        <v>-12.4</v>
      </c>
      <c r="T435" s="97" t="n">
        <v>-8</v>
      </c>
      <c r="U435" s="97" t="inlineStr">
        <is>
          <t>N</t>
        </is>
      </c>
      <c r="V435" s="97" t="inlineStr">
        <is>
          <t>N/A</t>
        </is>
      </c>
      <c r="W435" s="97" t="inlineStr">
        <is>
          <t>N/A</t>
        </is>
      </c>
      <c r="X435" s="97" t="inlineStr">
        <is>
          <t>N/A</t>
        </is>
      </c>
      <c r="Y435" s="97" t="inlineStr">
        <is>
          <t>N/A</t>
        </is>
      </c>
      <c r="Z435" s="97" t="n">
        <v>2</v>
      </c>
      <c r="AA435" s="92" t="inlineStr">
        <is>
          <t>AVOID</t>
        </is>
      </c>
    </row>
    <row r="436">
      <c r="A436" s="99" t="inlineStr">
        <is>
          <t>TRIDENT</t>
        </is>
      </c>
      <c r="B436" s="99" t="inlineStr">
        <is>
          <t>Trident Ltd.</t>
        </is>
      </c>
      <c r="C436" s="99" t="inlineStr">
        <is>
          <t>Textiles</t>
        </is>
      </c>
      <c r="D436" s="99" t="inlineStr">
        <is>
          <t>BSE Smallcap</t>
        </is>
      </c>
      <c r="E436" s="99" t="n">
        <v>25.08</v>
      </c>
      <c r="F436" s="99" t="n">
        <v>-0.16</v>
      </c>
      <c r="G436" s="99" t="n">
        <v>3437030</v>
      </c>
      <c r="H436" s="99" t="n">
        <v>0.15</v>
      </c>
      <c r="I436" s="99" t="n">
        <v>12780</v>
      </c>
      <c r="J436" s="99" t="inlineStr">
        <is>
          <t>Y</t>
        </is>
      </c>
      <c r="K436" s="99" t="inlineStr">
        <is>
          <t>N</t>
        </is>
      </c>
      <c r="L436" s="99" t="inlineStr">
        <is>
          <t>N</t>
        </is>
      </c>
      <c r="M436" s="99" t="n">
        <v>35.9</v>
      </c>
      <c r="N436" s="99" t="inlineStr">
        <is>
          <t>N</t>
        </is>
      </c>
      <c r="O436" s="99" t="n">
        <v>0.65</v>
      </c>
      <c r="P436" s="99" t="inlineStr">
        <is>
          <t>N</t>
        </is>
      </c>
      <c r="Q436" s="99" t="inlineStr">
        <is>
          <t>N/A</t>
        </is>
      </c>
      <c r="R436" s="99" t="inlineStr">
        <is>
          <t>N</t>
        </is>
      </c>
      <c r="S436" s="99" t="n">
        <v>-4.9</v>
      </c>
      <c r="T436" s="99" t="n">
        <v>-1</v>
      </c>
      <c r="U436" s="99" t="inlineStr">
        <is>
          <t>N</t>
        </is>
      </c>
      <c r="V436" s="99" t="n">
        <v>32.2</v>
      </c>
      <c r="W436" s="99" t="inlineStr">
        <is>
          <t>N/A</t>
        </is>
      </c>
      <c r="X436" s="99" t="n">
        <v>38.32</v>
      </c>
      <c r="Y436" s="99" t="n">
        <v>55</v>
      </c>
      <c r="Z436" s="99" t="n">
        <v>2</v>
      </c>
      <c r="AA436" s="94" t="inlineStr">
        <is>
          <t>AVOID</t>
        </is>
      </c>
    </row>
    <row r="437">
      <c r="A437" s="97" t="inlineStr">
        <is>
          <t>TIINDIA</t>
        </is>
      </c>
      <c r="B437" s="97" t="inlineStr">
        <is>
          <t>Tube Investments of India Ltd.</t>
        </is>
      </c>
      <c r="C437" s="97" t="inlineStr">
        <is>
          <t>Automobile and Auto Components</t>
        </is>
      </c>
      <c r="D437" s="97" t="inlineStr">
        <is>
          <t>Large/Midcap</t>
        </is>
      </c>
      <c r="E437" s="97" t="n">
        <v>2849.3</v>
      </c>
      <c r="F437" s="97" t="n">
        <v>2.97</v>
      </c>
      <c r="G437" s="97" t="n">
        <v>262758</v>
      </c>
      <c r="H437" s="97" t="n">
        <v>0.97</v>
      </c>
      <c r="I437" s="97" t="n">
        <v>55153</v>
      </c>
      <c r="J437" s="97" t="inlineStr">
        <is>
          <t>Y</t>
        </is>
      </c>
      <c r="K437" s="97" t="inlineStr">
        <is>
          <t>N</t>
        </is>
      </c>
      <c r="L437" s="97" t="inlineStr">
        <is>
          <t>Y</t>
        </is>
      </c>
      <c r="M437" s="97" t="n">
        <v>37.2</v>
      </c>
      <c r="N437" s="97" t="inlineStr">
        <is>
          <t>N</t>
        </is>
      </c>
      <c r="O437" s="97" t="n">
        <v>81.78</v>
      </c>
      <c r="P437" s="97" t="inlineStr">
        <is>
          <t>N</t>
        </is>
      </c>
      <c r="Q437" s="97" t="inlineStr">
        <is>
          <t>N/A</t>
        </is>
      </c>
      <c r="R437" s="97" t="inlineStr">
        <is>
          <t>N</t>
        </is>
      </c>
      <c r="S437" s="97" t="n">
        <v>-6.5</v>
      </c>
      <c r="T437" s="97" t="n">
        <v>-2.9</v>
      </c>
      <c r="U437" s="97" t="inlineStr">
        <is>
          <t>N</t>
        </is>
      </c>
      <c r="V437" s="97" t="n">
        <v>84</v>
      </c>
      <c r="W437" s="97" t="inlineStr">
        <is>
          <t>N/A</t>
        </is>
      </c>
      <c r="X437" s="97" t="n">
        <v>27.72</v>
      </c>
      <c r="Y437" s="97" t="n">
        <v>-48.5</v>
      </c>
      <c r="Z437" s="97" t="n">
        <v>2</v>
      </c>
      <c r="AA437" s="92" t="inlineStr">
        <is>
          <t>AVOID</t>
        </is>
      </c>
    </row>
    <row r="438">
      <c r="A438" s="99" t="inlineStr">
        <is>
          <t>URBANCO</t>
        </is>
      </c>
      <c r="B438" s="99" t="inlineStr">
        <is>
          <t>Urban Company Ltd.</t>
        </is>
      </c>
      <c r="C438" s="99" t="inlineStr">
        <is>
          <t>Consumer Services</t>
        </is>
      </c>
      <c r="D438" s="99" t="inlineStr">
        <is>
          <t>BSE Smallcap</t>
        </is>
      </c>
      <c r="E438" s="99" t="n">
        <v>130.42</v>
      </c>
      <c r="F438" s="99" t="n">
        <v>0.51</v>
      </c>
      <c r="G438" s="99" t="n">
        <v>1019935</v>
      </c>
      <c r="H438" s="99" t="n">
        <v>0.8</v>
      </c>
      <c r="I438" s="99" t="n">
        <v>19070</v>
      </c>
      <c r="J438" s="99" t="inlineStr">
        <is>
          <t>Y</t>
        </is>
      </c>
      <c r="K438" s="99" t="inlineStr">
        <is>
          <t>Y</t>
        </is>
      </c>
      <c r="L438" s="99" t="inlineStr">
        <is>
          <t>N</t>
        </is>
      </c>
      <c r="M438" s="99" t="n">
        <v>36.4</v>
      </c>
      <c r="N438" s="99" t="inlineStr">
        <is>
          <t>N</t>
        </is>
      </c>
      <c r="O438" s="99" t="n">
        <v>4.42</v>
      </c>
      <c r="P438" s="99" t="inlineStr">
        <is>
          <t>N</t>
        </is>
      </c>
      <c r="Q438" s="99" t="inlineStr">
        <is>
          <t>N/A</t>
        </is>
      </c>
      <c r="R438" s="99" t="inlineStr">
        <is>
          <t>N</t>
        </is>
      </c>
      <c r="S438" s="99" t="n">
        <v>0.7</v>
      </c>
      <c r="T438" s="99" t="n">
        <v>-13.6</v>
      </c>
      <c r="U438" s="99" t="inlineStr">
        <is>
          <t>N</t>
        </is>
      </c>
      <c r="V438" s="99" t="inlineStr">
        <is>
          <t>N/A</t>
        </is>
      </c>
      <c r="W438" s="99" t="n">
        <v>-11.9</v>
      </c>
      <c r="X438" s="99" t="n">
        <v>6.33</v>
      </c>
      <c r="Y438" s="99" t="n">
        <v>-658</v>
      </c>
      <c r="Z438" s="99" t="n">
        <v>2</v>
      </c>
      <c r="AA438" s="94" t="inlineStr">
        <is>
          <t>AVOID</t>
        </is>
      </c>
    </row>
    <row r="439">
      <c r="A439" s="97" t="inlineStr">
        <is>
          <t>VMM</t>
        </is>
      </c>
      <c r="B439" s="97" t="inlineStr">
        <is>
          <t>Vishal Mega Mart Ltd.</t>
        </is>
      </c>
      <c r="C439" s="97" t="inlineStr">
        <is>
          <t>Consumer Services</t>
        </is>
      </c>
      <c r="D439" s="97" t="inlineStr">
        <is>
          <t>Large/Midcap</t>
        </is>
      </c>
      <c r="E439" s="97" t="n">
        <v>110.31</v>
      </c>
      <c r="F439" s="97" t="n">
        <v>2.1</v>
      </c>
      <c r="G439" s="97" t="n">
        <v>14442715</v>
      </c>
      <c r="H439" s="97" t="n">
        <v>0.8</v>
      </c>
      <c r="I439" s="97" t="n">
        <v>51673</v>
      </c>
      <c r="J439" s="97" t="inlineStr">
        <is>
          <t>Y</t>
        </is>
      </c>
      <c r="K439" s="97" t="inlineStr">
        <is>
          <t>N</t>
        </is>
      </c>
      <c r="L439" s="97" t="inlineStr">
        <is>
          <t>N</t>
        </is>
      </c>
      <c r="M439" s="97" t="n">
        <v>35.3</v>
      </c>
      <c r="N439" s="97" t="inlineStr">
        <is>
          <t>N</t>
        </is>
      </c>
      <c r="O439" s="97" t="n">
        <v>3.15</v>
      </c>
      <c r="P439" s="97" t="inlineStr">
        <is>
          <t>N</t>
        </is>
      </c>
      <c r="Q439" s="97" t="inlineStr">
        <is>
          <t>N/A</t>
        </is>
      </c>
      <c r="R439" s="97" t="inlineStr">
        <is>
          <t>N</t>
        </is>
      </c>
      <c r="S439" s="97" t="n">
        <v>-5</v>
      </c>
      <c r="T439" s="97" t="n">
        <v>-9.4</v>
      </c>
      <c r="U439" s="97" t="inlineStr">
        <is>
          <t>N</t>
        </is>
      </c>
      <c r="V439" s="97" t="n">
        <v>56.9</v>
      </c>
      <c r="W439" s="97" t="inlineStr">
        <is>
          <t>N/A</t>
        </is>
      </c>
      <c r="X439" s="97" t="n">
        <v>26.82</v>
      </c>
      <c r="Y439" s="97" t="n">
        <v>54.1</v>
      </c>
      <c r="Z439" s="97" t="n">
        <v>2</v>
      </c>
      <c r="AA439" s="92" t="inlineStr">
        <is>
          <t>AVOID</t>
        </is>
      </c>
    </row>
    <row r="440">
      <c r="A440" s="99" t="inlineStr">
        <is>
          <t>VBL</t>
        </is>
      </c>
      <c r="B440" s="99" t="inlineStr">
        <is>
          <t>Varun Beverages Ltd.</t>
        </is>
      </c>
      <c r="C440" s="99" t="inlineStr">
        <is>
          <t>Fast Moving Consumer Goods</t>
        </is>
      </c>
      <c r="D440" s="99" t="inlineStr">
        <is>
          <t>Large/Midcap</t>
        </is>
      </c>
      <c r="E440" s="99" t="n">
        <v>457.2</v>
      </c>
      <c r="F440" s="99" t="n">
        <v>-0.4</v>
      </c>
      <c r="G440" s="99" t="n">
        <v>2597541</v>
      </c>
      <c r="H440" s="99" t="n">
        <v>0.48</v>
      </c>
      <c r="I440" s="99" t="n">
        <v>157115</v>
      </c>
      <c r="J440" s="99" t="inlineStr">
        <is>
          <t>Y</t>
        </is>
      </c>
      <c r="K440" s="99" t="inlineStr">
        <is>
          <t>N</t>
        </is>
      </c>
      <c r="L440" s="99" t="inlineStr">
        <is>
          <t>N</t>
        </is>
      </c>
      <c r="M440" s="99" t="n">
        <v>22.8</v>
      </c>
      <c r="N440" s="99" t="inlineStr">
        <is>
          <t>N</t>
        </is>
      </c>
      <c r="O440" s="99" t="n">
        <v>10.47</v>
      </c>
      <c r="P440" s="99" t="inlineStr">
        <is>
          <t>N</t>
        </is>
      </c>
      <c r="Q440" s="99" t="inlineStr">
        <is>
          <t>N/A</t>
        </is>
      </c>
      <c r="R440" s="99" t="inlineStr">
        <is>
          <t>N</t>
        </is>
      </c>
      <c r="S440" s="99" t="n">
        <v>-9.699999999999999</v>
      </c>
      <c r="T440" s="99" t="n">
        <v>-12.1</v>
      </c>
      <c r="U440" s="99" t="inlineStr">
        <is>
          <t>N</t>
        </is>
      </c>
      <c r="V440" s="99" t="n">
        <v>49.3</v>
      </c>
      <c r="W440" s="99" t="inlineStr">
        <is>
          <t>N/A</t>
        </is>
      </c>
      <c r="X440" s="99" t="n">
        <v>12.71</v>
      </c>
      <c r="Y440" s="99" t="n">
        <v>246.5</v>
      </c>
      <c r="Z440" s="99" t="n">
        <v>2</v>
      </c>
      <c r="AA440" s="94" t="inlineStr">
        <is>
          <t>AVOID</t>
        </is>
      </c>
    </row>
    <row r="441">
      <c r="A441" s="97" t="inlineStr">
        <is>
          <t>WAAREEENER</t>
        </is>
      </c>
      <c r="B441" s="97" t="inlineStr">
        <is>
          <t>Waaree Energies Ltd.</t>
        </is>
      </c>
      <c r="C441" s="97" t="inlineStr">
        <is>
          <t>Capital Goods</t>
        </is>
      </c>
      <c r="D441" s="97" t="inlineStr">
        <is>
          <t>Large/Midcap</t>
        </is>
      </c>
      <c r="E441" s="97" t="n">
        <v>2741.4</v>
      </c>
      <c r="F441" s="97" t="n">
        <v>1.46</v>
      </c>
      <c r="G441" s="97" t="n">
        <v>710887</v>
      </c>
      <c r="H441" s="97" t="n">
        <v>0.9399999999999999</v>
      </c>
      <c r="I441" s="97" t="n">
        <v>78857</v>
      </c>
      <c r="J441" s="97" t="inlineStr">
        <is>
          <t>Y</t>
        </is>
      </c>
      <c r="K441" s="97" t="inlineStr">
        <is>
          <t>N</t>
        </is>
      </c>
      <c r="L441" s="97" t="inlineStr">
        <is>
          <t>N</t>
        </is>
      </c>
      <c r="M441" s="97" t="n">
        <v>39.2</v>
      </c>
      <c r="N441" s="97" t="inlineStr">
        <is>
          <t>N</t>
        </is>
      </c>
      <c r="O441" s="97" t="n">
        <v>66.13</v>
      </c>
      <c r="P441" s="97" t="inlineStr">
        <is>
          <t>N</t>
        </is>
      </c>
      <c r="Q441" s="97" t="inlineStr">
        <is>
          <t>N/A</t>
        </is>
      </c>
      <c r="R441" s="97" t="inlineStr">
        <is>
          <t>N</t>
        </is>
      </c>
      <c r="S441" s="97" t="n">
        <v>-8.699999999999999</v>
      </c>
      <c r="T441" s="97" t="n">
        <v>-11.7</v>
      </c>
      <c r="U441" s="97" t="inlineStr">
        <is>
          <t>N</t>
        </is>
      </c>
      <c r="V441" s="97" t="n">
        <v>21</v>
      </c>
      <c r="W441" s="97" t="n">
        <v>31.6</v>
      </c>
      <c r="X441" s="97" t="n">
        <v>21.4</v>
      </c>
      <c r="Y441" s="97" t="n">
        <v>-0.1</v>
      </c>
      <c r="Z441" s="97" t="n">
        <v>2</v>
      </c>
      <c r="AA441" s="92" t="inlineStr">
        <is>
          <t>AVOID</t>
        </is>
      </c>
    </row>
    <row r="442">
      <c r="A442" s="99" t="inlineStr">
        <is>
          <t>WHIRLPOOL</t>
        </is>
      </c>
      <c r="B442" s="99" t="inlineStr">
        <is>
          <t>Whirlpool of India Ltd.</t>
        </is>
      </c>
      <c r="C442" s="99" t="inlineStr">
        <is>
          <t>Consumer Durables</t>
        </is>
      </c>
      <c r="D442" s="99" t="inlineStr">
        <is>
          <t>BSE Smallcap</t>
        </is>
      </c>
      <c r="E442" s="99" t="n">
        <v>771.45</v>
      </c>
      <c r="F442" s="99" t="n">
        <v>0.09</v>
      </c>
      <c r="G442" s="99" t="n">
        <v>138135</v>
      </c>
      <c r="H442" s="99" t="n">
        <v>0.24</v>
      </c>
      <c r="I442" s="99" t="n">
        <v>10088</v>
      </c>
      <c r="J442" s="99" t="inlineStr">
        <is>
          <t>Y</t>
        </is>
      </c>
      <c r="K442" s="99" t="inlineStr">
        <is>
          <t>N</t>
        </is>
      </c>
      <c r="L442" s="99" t="inlineStr">
        <is>
          <t>N</t>
        </is>
      </c>
      <c r="M442" s="99" t="n">
        <v>34.4</v>
      </c>
      <c r="N442" s="99" t="inlineStr">
        <is>
          <t>N</t>
        </is>
      </c>
      <c r="O442" s="99" t="n">
        <v>17.49</v>
      </c>
      <c r="P442" s="99" t="inlineStr">
        <is>
          <t>N</t>
        </is>
      </c>
      <c r="Q442" s="99" t="inlineStr">
        <is>
          <t>N/A</t>
        </is>
      </c>
      <c r="R442" s="99" t="inlineStr">
        <is>
          <t>N</t>
        </is>
      </c>
      <c r="S442" s="99" t="n">
        <v>-3.7</v>
      </c>
      <c r="T442" s="99" t="n">
        <v>-22</v>
      </c>
      <c r="U442" s="99" t="inlineStr">
        <is>
          <t>N</t>
        </is>
      </c>
      <c r="V442" s="99" t="n">
        <v>34.3</v>
      </c>
      <c r="W442" s="99" t="n">
        <v>7.2</v>
      </c>
      <c r="X442" s="99" t="n">
        <v>8.619999999999999</v>
      </c>
      <c r="Y442" s="99" t="n">
        <v>202.8</v>
      </c>
      <c r="Z442" s="99" t="n">
        <v>2</v>
      </c>
      <c r="AA442" s="94" t="inlineStr">
        <is>
          <t>AVOID</t>
        </is>
      </c>
    </row>
    <row r="443">
      <c r="A443" s="97" t="inlineStr">
        <is>
          <t>JKLAKSHMI</t>
        </is>
      </c>
      <c r="B443" s="97" t="inlineStr">
        <is>
          <t>JK LAKSHMI CEMENT LTD.</t>
        </is>
      </c>
      <c r="C443" s="97" t="n"/>
      <c r="D443" s="97" t="inlineStr">
        <is>
          <t>BSE Smallcap</t>
        </is>
      </c>
      <c r="E443" s="97" t="n">
        <v>572.5</v>
      </c>
      <c r="F443" s="97" t="n">
        <v>-0.18</v>
      </c>
      <c r="G443" s="97" t="n">
        <v>65616</v>
      </c>
      <c r="H443" s="97" t="n">
        <v>0.8</v>
      </c>
      <c r="I443" s="97" t="n">
        <v>7128</v>
      </c>
      <c r="J443" s="97" t="inlineStr">
        <is>
          <t>Y</t>
        </is>
      </c>
      <c r="K443" s="97" t="inlineStr">
        <is>
          <t>N</t>
        </is>
      </c>
      <c r="L443" s="97" t="inlineStr">
        <is>
          <t>N</t>
        </is>
      </c>
      <c r="M443" s="97" t="n">
        <v>49.8</v>
      </c>
      <c r="N443" s="97" t="inlineStr">
        <is>
          <t>N</t>
        </is>
      </c>
      <c r="O443" s="97" t="n">
        <v>12.87</v>
      </c>
      <c r="P443" s="97" t="inlineStr">
        <is>
          <t>N</t>
        </is>
      </c>
      <c r="Q443" s="97" t="inlineStr">
        <is>
          <t>N/A</t>
        </is>
      </c>
      <c r="R443" s="97" t="inlineStr">
        <is>
          <t>N</t>
        </is>
      </c>
      <c r="S443" s="97" t="n">
        <v>-2.4</v>
      </c>
      <c r="T443" s="97" t="n">
        <v>-11.3</v>
      </c>
      <c r="U443" s="97" t="inlineStr">
        <is>
          <t>N</t>
        </is>
      </c>
      <c r="V443" s="97" t="n">
        <v>17.3</v>
      </c>
      <c r="W443" s="97" t="n">
        <v>11.1</v>
      </c>
      <c r="X443" s="97" t="n">
        <v>66.59</v>
      </c>
      <c r="Y443" s="97" t="n">
        <v>118</v>
      </c>
      <c r="Z443" s="97" t="n">
        <v>2</v>
      </c>
      <c r="AA443" s="92" t="inlineStr">
        <is>
          <t>AVOID</t>
        </is>
      </c>
    </row>
    <row r="444">
      <c r="A444" s="99" t="inlineStr">
        <is>
          <t>RCF</t>
        </is>
      </c>
      <c r="B444" s="99" t="inlineStr">
        <is>
          <t>RASHTRIYA CHEMICALS &amp; FERTILIZ</t>
        </is>
      </c>
      <c r="C444" s="99" t="n"/>
      <c r="D444" s="99" t="inlineStr">
        <is>
          <t>BSE Smallcap</t>
        </is>
      </c>
      <c r="E444" s="99" t="n">
        <v>124.22</v>
      </c>
      <c r="F444" s="99" t="n">
        <v>0.05</v>
      </c>
      <c r="G444" s="99" t="n">
        <v>654634</v>
      </c>
      <c r="H444" s="99" t="n">
        <v>1.28</v>
      </c>
      <c r="I444" s="99" t="n">
        <v>6966</v>
      </c>
      <c r="J444" s="99" t="inlineStr">
        <is>
          <t>Y</t>
        </is>
      </c>
      <c r="K444" s="99" t="inlineStr">
        <is>
          <t>N</t>
        </is>
      </c>
      <c r="L444" s="99" t="inlineStr">
        <is>
          <t>N</t>
        </is>
      </c>
      <c r="M444" s="99" t="n">
        <v>28.5</v>
      </c>
      <c r="N444" s="99" t="inlineStr">
        <is>
          <t>N</t>
        </is>
      </c>
      <c r="O444" s="99" t="n">
        <v>3.22</v>
      </c>
      <c r="P444" s="99" t="inlineStr">
        <is>
          <t>N</t>
        </is>
      </c>
      <c r="Q444" s="99" t="inlineStr">
        <is>
          <t>N/A</t>
        </is>
      </c>
      <c r="R444" s="99" t="inlineStr">
        <is>
          <t>N</t>
        </is>
      </c>
      <c r="S444" s="99" t="n">
        <v>-6.1</v>
      </c>
      <c r="T444" s="99" t="n">
        <v>-4.7</v>
      </c>
      <c r="U444" s="99" t="inlineStr">
        <is>
          <t>N</t>
        </is>
      </c>
      <c r="V444" s="99" t="n">
        <v>16.3</v>
      </c>
      <c r="W444" s="99" t="n">
        <v>8.699999999999999</v>
      </c>
      <c r="X444" s="99" t="n">
        <v>80.61</v>
      </c>
      <c r="Y444" s="99" t="n">
        <v>130.7</v>
      </c>
      <c r="Z444" s="99" t="n">
        <v>2</v>
      </c>
      <c r="AA444" s="94" t="inlineStr">
        <is>
          <t>AVOID</t>
        </is>
      </c>
    </row>
    <row r="445">
      <c r="A445" s="97" t="inlineStr">
        <is>
          <t>CELLO</t>
        </is>
      </c>
      <c r="B445" s="97" t="inlineStr">
        <is>
          <t>Cello World Limited</t>
        </is>
      </c>
      <c r="C445" s="97" t="n"/>
      <c r="D445" s="97" t="inlineStr">
        <is>
          <t>BSE Smallcap</t>
        </is>
      </c>
      <c r="E445" s="97" t="n">
        <v>345.05</v>
      </c>
      <c r="F445" s="97" t="n">
        <v>0.22</v>
      </c>
      <c r="G445" s="97" t="n">
        <v>140965</v>
      </c>
      <c r="H445" s="97" t="n">
        <v>0.45</v>
      </c>
      <c r="I445" s="97" t="n">
        <v>7622</v>
      </c>
      <c r="J445" s="97" t="inlineStr">
        <is>
          <t>Y</t>
        </is>
      </c>
      <c r="K445" s="97" t="inlineStr">
        <is>
          <t>N</t>
        </is>
      </c>
      <c r="L445" s="97" t="inlineStr">
        <is>
          <t>N</t>
        </is>
      </c>
      <c r="M445" s="97" t="n">
        <v>33.5</v>
      </c>
      <c r="N445" s="97" t="inlineStr">
        <is>
          <t>N</t>
        </is>
      </c>
      <c r="O445" s="97" t="n">
        <v>10.18</v>
      </c>
      <c r="P445" s="97" t="inlineStr">
        <is>
          <t>N</t>
        </is>
      </c>
      <c r="Q445" s="97" t="inlineStr">
        <is>
          <t>N/A</t>
        </is>
      </c>
      <c r="R445" s="97" t="inlineStr">
        <is>
          <t>N</t>
        </is>
      </c>
      <c r="S445" s="97" t="n">
        <v>-8.6</v>
      </c>
      <c r="T445" s="97" t="n">
        <v>-17.4</v>
      </c>
      <c r="U445" s="97" t="inlineStr">
        <is>
          <t>N</t>
        </is>
      </c>
      <c r="V445" s="97" t="n">
        <v>23.4</v>
      </c>
      <c r="W445" s="97" t="n">
        <v>13</v>
      </c>
      <c r="X445" s="97" t="n">
        <v>1.41</v>
      </c>
      <c r="Y445" s="97" t="n">
        <v>41.6</v>
      </c>
      <c r="Z445" s="97" t="n">
        <v>2</v>
      </c>
      <c r="AA445" s="92" t="inlineStr">
        <is>
          <t>AVOID</t>
        </is>
      </c>
    </row>
    <row r="446">
      <c r="A446" s="99" t="inlineStr">
        <is>
          <t>ALOKINDS</t>
        </is>
      </c>
      <c r="B446" s="99" t="inlineStr">
        <is>
          <t>ALOK INDUSTRIES LTD.</t>
        </is>
      </c>
      <c r="C446" s="99" t="n"/>
      <c r="D446" s="99" t="inlineStr">
        <is>
          <t>BSE Smallcap</t>
        </is>
      </c>
      <c r="E446" s="99" t="n">
        <v>12.07</v>
      </c>
      <c r="F446" s="99" t="n">
        <v>0.42</v>
      </c>
      <c r="G446" s="99" t="n">
        <v>2737970</v>
      </c>
      <c r="H446" s="99" t="n">
        <v>0.6</v>
      </c>
      <c r="I446" s="99" t="n">
        <v>5978</v>
      </c>
      <c r="J446" s="99" t="inlineStr">
        <is>
          <t>Y</t>
        </is>
      </c>
      <c r="K446" s="99" t="inlineStr">
        <is>
          <t>N</t>
        </is>
      </c>
      <c r="L446" s="99" t="inlineStr">
        <is>
          <t>N</t>
        </is>
      </c>
      <c r="M446" s="99" t="n">
        <v>27.6</v>
      </c>
      <c r="N446" s="99" t="inlineStr">
        <is>
          <t>N</t>
        </is>
      </c>
      <c r="O446" s="99" t="n">
        <v>0.34</v>
      </c>
      <c r="P446" s="99" t="inlineStr">
        <is>
          <t>N</t>
        </is>
      </c>
      <c r="Q446" s="99" t="inlineStr">
        <is>
          <t>N/A</t>
        </is>
      </c>
      <c r="R446" s="99" t="inlineStr">
        <is>
          <t>N</t>
        </is>
      </c>
      <c r="S446" s="99" t="n">
        <v>-5.7</v>
      </c>
      <c r="T446" s="99" t="n">
        <v>-12.5</v>
      </c>
      <c r="U446" s="99" t="inlineStr">
        <is>
          <t>N</t>
        </is>
      </c>
      <c r="V446" s="99" t="inlineStr">
        <is>
          <t>N/A</t>
        </is>
      </c>
      <c r="W446" s="99" t="inlineStr">
        <is>
          <t>N/A</t>
        </is>
      </c>
      <c r="X446" s="99" t="inlineStr">
        <is>
          <t>N/A</t>
        </is>
      </c>
      <c r="Y446" s="99" t="n">
        <v>28.2</v>
      </c>
      <c r="Z446" s="99" t="n">
        <v>2</v>
      </c>
      <c r="AA446" s="94" t="inlineStr">
        <is>
          <t>AVOID</t>
        </is>
      </c>
    </row>
    <row r="447">
      <c r="A447" s="97" t="inlineStr">
        <is>
          <t>EMBDL</t>
        </is>
      </c>
      <c r="B447" s="97" t="inlineStr">
        <is>
          <t>EMBASSY DEVELOPMENTS LIMITED</t>
        </is>
      </c>
      <c r="C447" s="97" t="n"/>
      <c r="D447" s="97" t="inlineStr">
        <is>
          <t>BSE Smallcap</t>
        </is>
      </c>
      <c r="E447" s="97" t="n">
        <v>61.21</v>
      </c>
      <c r="F447" s="97" t="n">
        <v>-0.36</v>
      </c>
      <c r="G447" s="97" t="n">
        <v>1775065</v>
      </c>
      <c r="H447" s="97" t="n">
        <v>1.08</v>
      </c>
      <c r="I447" s="97" t="n">
        <v>8642</v>
      </c>
      <c r="J447" s="97" t="inlineStr">
        <is>
          <t>Y</t>
        </is>
      </c>
      <c r="K447" s="97" t="inlineStr">
        <is>
          <t>N</t>
        </is>
      </c>
      <c r="L447" s="97" t="inlineStr">
        <is>
          <t>N</t>
        </is>
      </c>
      <c r="M447" s="97" t="n">
        <v>45.1</v>
      </c>
      <c r="N447" s="97" t="inlineStr">
        <is>
          <t>N</t>
        </is>
      </c>
      <c r="O447" s="97" t="n">
        <v>2.37</v>
      </c>
      <c r="P447" s="97" t="inlineStr">
        <is>
          <t>N</t>
        </is>
      </c>
      <c r="Q447" s="97" t="inlineStr">
        <is>
          <t>N/A</t>
        </is>
      </c>
      <c r="R447" s="97" t="inlineStr">
        <is>
          <t>N</t>
        </is>
      </c>
      <c r="S447" s="97" t="n">
        <v>-3.7</v>
      </c>
      <c r="T447" s="97" t="n">
        <v>32.7</v>
      </c>
      <c r="U447" s="97" t="inlineStr">
        <is>
          <t>Y</t>
        </is>
      </c>
      <c r="V447" s="97" t="inlineStr">
        <is>
          <t>N/A</t>
        </is>
      </c>
      <c r="W447" s="97" t="n">
        <v>-9</v>
      </c>
      <c r="X447" s="97" t="n">
        <v>53.41</v>
      </c>
      <c r="Y447" s="97" t="n">
        <v>-38.9</v>
      </c>
      <c r="Z447" s="97" t="n">
        <v>2</v>
      </c>
      <c r="AA447" s="92" t="inlineStr">
        <is>
          <t>AVOID</t>
        </is>
      </c>
    </row>
    <row r="448">
      <c r="A448" s="99" t="inlineStr">
        <is>
          <t>GUJENERGY</t>
        </is>
      </c>
      <c r="B448" s="99" t="inlineStr">
        <is>
          <t>Gujarat Energy Limited</t>
        </is>
      </c>
      <c r="C448" s="99" t="n"/>
      <c r="D448" s="99" t="inlineStr">
        <is>
          <t>BSE Smallcap</t>
        </is>
      </c>
      <c r="E448" s="99" t="n">
        <v>265.45</v>
      </c>
      <c r="F448" s="99" t="n">
        <v>0.87</v>
      </c>
      <c r="G448" s="99" t="n">
        <v>535428</v>
      </c>
      <c r="H448" s="99" t="n">
        <v>0.62</v>
      </c>
      <c r="I448" s="99" t="n">
        <v>24915</v>
      </c>
      <c r="J448" s="99" t="inlineStr">
        <is>
          <t>Y</t>
        </is>
      </c>
      <c r="K448" s="99" t="inlineStr">
        <is>
          <t>N</t>
        </is>
      </c>
      <c r="L448" s="99" t="inlineStr">
        <is>
          <t>N</t>
        </is>
      </c>
      <c r="M448" s="99" t="n">
        <v>19.9</v>
      </c>
      <c r="N448" s="99" t="inlineStr">
        <is>
          <t>N</t>
        </is>
      </c>
      <c r="O448" s="99" t="n">
        <v>8.960000000000001</v>
      </c>
      <c r="P448" s="99" t="inlineStr">
        <is>
          <t>N</t>
        </is>
      </c>
      <c r="Q448" s="99" t="inlineStr">
        <is>
          <t>N/A</t>
        </is>
      </c>
      <c r="R448" s="99" t="inlineStr">
        <is>
          <t>N</t>
        </is>
      </c>
      <c r="S448" s="99" t="n">
        <v>-22.6</v>
      </c>
      <c r="T448" s="99" t="n">
        <v>-31.7</v>
      </c>
      <c r="U448" s="99" t="inlineStr">
        <is>
          <t>N</t>
        </is>
      </c>
      <c r="V448" s="99" t="n">
        <v>829.8</v>
      </c>
      <c r="W448" s="99" t="n">
        <v>12.3</v>
      </c>
      <c r="X448" s="99" t="n">
        <v>118.64</v>
      </c>
      <c r="Y448" s="99" t="n">
        <v>31.6</v>
      </c>
      <c r="Z448" s="99" t="n">
        <v>2</v>
      </c>
      <c r="AA448" s="94" t="inlineStr">
        <is>
          <t>AVOID</t>
        </is>
      </c>
    </row>
    <row r="449">
      <c r="A449" s="97" t="inlineStr">
        <is>
          <t>FINPIPE</t>
        </is>
      </c>
      <c r="B449" s="97" t="inlineStr">
        <is>
          <t>FINOLEX INDUSTRIES LTD.</t>
        </is>
      </c>
      <c r="C449" s="97" t="n"/>
      <c r="D449" s="97" t="inlineStr">
        <is>
          <t>BSE Smallcap</t>
        </is>
      </c>
      <c r="E449" s="97" t="n">
        <v>163.67</v>
      </c>
      <c r="F449" s="97" t="n">
        <v>2.34</v>
      </c>
      <c r="G449" s="97" t="n">
        <v>746248</v>
      </c>
      <c r="H449" s="97" t="n">
        <v>1.76</v>
      </c>
      <c r="I449" s="97" t="n">
        <v>10130</v>
      </c>
      <c r="J449" s="97" t="inlineStr">
        <is>
          <t>Y</t>
        </is>
      </c>
      <c r="K449" s="97" t="inlineStr">
        <is>
          <t>N</t>
        </is>
      </c>
      <c r="L449" s="97" t="inlineStr">
        <is>
          <t>N</t>
        </is>
      </c>
      <c r="M449" s="97" t="n">
        <v>33.3</v>
      </c>
      <c r="N449" s="97" t="inlineStr">
        <is>
          <t>N</t>
        </is>
      </c>
      <c r="O449" s="97" t="n">
        <v>3.93</v>
      </c>
      <c r="P449" s="97" t="inlineStr">
        <is>
          <t>N</t>
        </is>
      </c>
      <c r="Q449" s="97" t="inlineStr">
        <is>
          <t>N/A</t>
        </is>
      </c>
      <c r="R449" s="97" t="inlineStr">
        <is>
          <t>N</t>
        </is>
      </c>
      <c r="S449" s="97" t="n">
        <v>-6.9</v>
      </c>
      <c r="T449" s="97" t="n">
        <v>-6.5</v>
      </c>
      <c r="U449" s="97" t="inlineStr">
        <is>
          <t>N</t>
        </is>
      </c>
      <c r="V449" s="97" t="n">
        <v>16.9</v>
      </c>
      <c r="W449" s="97" t="n">
        <v>9.699999999999999</v>
      </c>
      <c r="X449" s="97" t="n">
        <v>7.17</v>
      </c>
      <c r="Y449" s="97" t="n">
        <v>125.1</v>
      </c>
      <c r="Z449" s="97" t="n">
        <v>2</v>
      </c>
      <c r="AA449" s="92" t="inlineStr">
        <is>
          <t>AVOID</t>
        </is>
      </c>
    </row>
    <row r="450">
      <c r="A450" s="99" t="inlineStr">
        <is>
          <t>AFCONS</t>
        </is>
      </c>
      <c r="B450" s="99" t="inlineStr">
        <is>
          <t>Afcons Infrastructure Ltd.</t>
        </is>
      </c>
      <c r="C450" s="99" t="inlineStr">
        <is>
          <t>Construction</t>
        </is>
      </c>
      <c r="D450" s="99" t="inlineStr">
        <is>
          <t>BSE Smallcap</t>
        </is>
      </c>
      <c r="E450" s="99" t="n">
        <v>284.25</v>
      </c>
      <c r="F450" s="99" t="n">
        <v>-0.59</v>
      </c>
      <c r="G450" s="99" t="n">
        <v>271429</v>
      </c>
      <c r="H450" s="99" t="n">
        <v>0.25</v>
      </c>
      <c r="I450" s="99" t="n">
        <v>10454</v>
      </c>
      <c r="J450" s="99" t="inlineStr">
        <is>
          <t>Y</t>
        </is>
      </c>
      <c r="K450" s="99" t="inlineStr">
        <is>
          <t>N</t>
        </is>
      </c>
      <c r="L450" s="99" t="inlineStr">
        <is>
          <t>N</t>
        </is>
      </c>
      <c r="M450" s="99" t="n">
        <v>29.4</v>
      </c>
      <c r="N450" s="99" t="inlineStr">
        <is>
          <t>N</t>
        </is>
      </c>
      <c r="O450" s="99" t="n">
        <v>8.75</v>
      </c>
      <c r="P450" s="99" t="inlineStr">
        <is>
          <t>N</t>
        </is>
      </c>
      <c r="Q450" s="99" t="inlineStr">
        <is>
          <t>N/A</t>
        </is>
      </c>
      <c r="R450" s="99" t="inlineStr">
        <is>
          <t>N</t>
        </is>
      </c>
      <c r="S450" s="99" t="n">
        <v>-10.1</v>
      </c>
      <c r="T450" s="99" t="n">
        <v>-15.3</v>
      </c>
      <c r="U450" s="99" t="inlineStr">
        <is>
          <t>N</t>
        </is>
      </c>
      <c r="V450" s="99" t="n">
        <v>41.9</v>
      </c>
      <c r="W450" s="99" t="n">
        <v>4.7</v>
      </c>
      <c r="X450" s="99" t="n">
        <v>66.54000000000001</v>
      </c>
      <c r="Y450" s="99" t="n">
        <v>-191</v>
      </c>
      <c r="Z450" s="99" t="n">
        <v>1</v>
      </c>
      <c r="AA450" s="94" t="inlineStr">
        <is>
          <t>AVOID</t>
        </is>
      </c>
    </row>
    <row r="451">
      <c r="A451" s="97" t="inlineStr">
        <is>
          <t>BALKRISIND</t>
        </is>
      </c>
      <c r="B451" s="97" t="inlineStr">
        <is>
          <t>Balkrishna Industries Ltd.</t>
        </is>
      </c>
      <c r="C451" s="97" t="inlineStr">
        <is>
          <t>Automobile and Auto Components</t>
        </is>
      </c>
      <c r="D451" s="97" t="inlineStr">
        <is>
          <t>Large/Midcap</t>
        </is>
      </c>
      <c r="E451" s="97" t="n">
        <v>2013.5</v>
      </c>
      <c r="F451" s="97" t="n">
        <v>0.1</v>
      </c>
      <c r="G451" s="97" t="n">
        <v>64236</v>
      </c>
      <c r="H451" s="97" t="n">
        <v>0.33</v>
      </c>
      <c r="I451" s="97" t="n">
        <v>39151</v>
      </c>
      <c r="J451" s="97" t="inlineStr">
        <is>
          <t>Y</t>
        </is>
      </c>
      <c r="K451" s="97" t="inlineStr">
        <is>
          <t>N</t>
        </is>
      </c>
      <c r="L451" s="97" t="inlineStr">
        <is>
          <t>N</t>
        </is>
      </c>
      <c r="M451" s="97" t="n">
        <v>30.1</v>
      </c>
      <c r="N451" s="97" t="inlineStr">
        <is>
          <t>N</t>
        </is>
      </c>
      <c r="O451" s="97" t="n">
        <v>66.38</v>
      </c>
      <c r="P451" s="97" t="inlineStr">
        <is>
          <t>N</t>
        </is>
      </c>
      <c r="Q451" s="97" t="inlineStr">
        <is>
          <t>N/A</t>
        </is>
      </c>
      <c r="R451" s="97" t="inlineStr">
        <is>
          <t>N</t>
        </is>
      </c>
      <c r="S451" s="97" t="n">
        <v>-9.4</v>
      </c>
      <c r="T451" s="97" t="n">
        <v>-7.5</v>
      </c>
      <c r="U451" s="97" t="inlineStr">
        <is>
          <t>N</t>
        </is>
      </c>
      <c r="V451" s="97" t="n">
        <v>31.5</v>
      </c>
      <c r="W451" s="97" t="inlineStr">
        <is>
          <t>N/A</t>
        </is>
      </c>
      <c r="X451" s="97" t="n">
        <v>35.27</v>
      </c>
      <c r="Y451" s="97" t="n">
        <v>-21.6</v>
      </c>
      <c r="Z451" s="97" t="n">
        <v>1</v>
      </c>
      <c r="AA451" s="92" t="inlineStr">
        <is>
          <t>AVOID</t>
        </is>
      </c>
    </row>
    <row r="452">
      <c r="A452" s="99" t="inlineStr">
        <is>
          <t>BANKBARODA</t>
        </is>
      </c>
      <c r="B452" s="99" t="inlineStr">
        <is>
          <t>Bank of Baroda</t>
        </is>
      </c>
      <c r="C452" s="99" t="inlineStr">
        <is>
          <t>Financial Services</t>
        </is>
      </c>
      <c r="D452" s="99" t="inlineStr">
        <is>
          <t>Large/Midcap</t>
        </is>
      </c>
      <c r="E452" s="99" t="n">
        <v>244</v>
      </c>
      <c r="F452" s="99" t="n">
        <v>-0.99</v>
      </c>
      <c r="G452" s="99" t="n">
        <v>14707217</v>
      </c>
      <c r="H452" s="99" t="n">
        <v>1.94</v>
      </c>
      <c r="I452" s="99" t="n">
        <v>126181</v>
      </c>
      <c r="J452" s="99" t="inlineStr">
        <is>
          <t>Y</t>
        </is>
      </c>
      <c r="K452" s="99" t="inlineStr">
        <is>
          <t>N</t>
        </is>
      </c>
      <c r="L452" s="99" t="inlineStr">
        <is>
          <t>N</t>
        </is>
      </c>
      <c r="M452" s="99" t="n">
        <v>46.2</v>
      </c>
      <c r="N452" s="99" t="inlineStr">
        <is>
          <t>N</t>
        </is>
      </c>
      <c r="O452" s="99" t="n">
        <v>6.16</v>
      </c>
      <c r="P452" s="99" t="inlineStr">
        <is>
          <t>N</t>
        </is>
      </c>
      <c r="Q452" s="99" t="inlineStr">
        <is>
          <t>N/A</t>
        </is>
      </c>
      <c r="R452" s="99" t="inlineStr">
        <is>
          <t>N</t>
        </is>
      </c>
      <c r="S452" s="99" t="n">
        <v>-12.3</v>
      </c>
      <c r="T452" s="99" t="n">
        <v>-4</v>
      </c>
      <c r="U452" s="99" t="inlineStr">
        <is>
          <t>N</t>
        </is>
      </c>
      <c r="V452" s="99" t="n">
        <v>6.9</v>
      </c>
      <c r="W452" s="99" t="n">
        <v>11.3</v>
      </c>
      <c r="X452" s="99" t="inlineStr">
        <is>
          <t>N/A</t>
        </is>
      </c>
      <c r="Y452" s="99" t="n">
        <v>-69.3</v>
      </c>
      <c r="Z452" s="99" t="n">
        <v>1</v>
      </c>
      <c r="AA452" s="94" t="inlineStr">
        <is>
          <t>AVOID</t>
        </is>
      </c>
    </row>
    <row r="453">
      <c r="A453" s="97" t="inlineStr">
        <is>
          <t>BANDHANBNK</t>
        </is>
      </c>
      <c r="B453" s="97" t="inlineStr">
        <is>
          <t>Bandhan Bank Ltd.</t>
        </is>
      </c>
      <c r="C453" s="97" t="inlineStr">
        <is>
          <t>Financial Services</t>
        </is>
      </c>
      <c r="D453" s="97" t="inlineStr">
        <is>
          <t>BSE Smallcap</t>
        </is>
      </c>
      <c r="E453" s="97" t="n">
        <v>169.43</v>
      </c>
      <c r="F453" s="97" t="n">
        <v>2.11</v>
      </c>
      <c r="G453" s="97" t="n">
        <v>13639409</v>
      </c>
      <c r="H453" s="97" t="n">
        <v>0.18</v>
      </c>
      <c r="I453" s="97" t="n">
        <v>27296</v>
      </c>
      <c r="J453" s="97" t="inlineStr">
        <is>
          <t>Y</t>
        </is>
      </c>
      <c r="K453" s="97" t="inlineStr">
        <is>
          <t>N</t>
        </is>
      </c>
      <c r="L453" s="97" t="inlineStr">
        <is>
          <t>N</t>
        </is>
      </c>
      <c r="M453" s="97" t="n">
        <v>31.1</v>
      </c>
      <c r="N453" s="97" t="inlineStr">
        <is>
          <t>N</t>
        </is>
      </c>
      <c r="O453" s="97" t="n">
        <v>9.83</v>
      </c>
      <c r="P453" s="97" t="inlineStr">
        <is>
          <t>N</t>
        </is>
      </c>
      <c r="Q453" s="97" t="inlineStr">
        <is>
          <t>N/A</t>
        </is>
      </c>
      <c r="R453" s="97" t="inlineStr">
        <is>
          <t>N</t>
        </is>
      </c>
      <c r="S453" s="97" t="n">
        <v>-15.8</v>
      </c>
      <c r="T453" s="97" t="n">
        <v>-14.8</v>
      </c>
      <c r="U453" s="97" t="inlineStr">
        <is>
          <t>N</t>
        </is>
      </c>
      <c r="V453" s="97" t="n">
        <v>19.8</v>
      </c>
      <c r="W453" s="97" t="inlineStr">
        <is>
          <t>N/A</t>
        </is>
      </c>
      <c r="X453" s="97" t="inlineStr">
        <is>
          <t>N/A</t>
        </is>
      </c>
      <c r="Y453" s="97" t="n">
        <v>-6.1</v>
      </c>
      <c r="Z453" s="97" t="n">
        <v>1</v>
      </c>
      <c r="AA453" s="92" t="inlineStr">
        <is>
          <t>AVOID</t>
        </is>
      </c>
    </row>
    <row r="454">
      <c r="A454" s="99" t="inlineStr">
        <is>
          <t>FIRSTCRY</t>
        </is>
      </c>
      <c r="B454" s="99" t="inlineStr">
        <is>
          <t>Brainbees Solutions Ltd.</t>
        </is>
      </c>
      <c r="C454" s="99" t="inlineStr">
        <is>
          <t>Consumer Services</t>
        </is>
      </c>
      <c r="D454" s="99" t="inlineStr">
        <is>
          <t>BSE Smallcap</t>
        </is>
      </c>
      <c r="E454" s="99" t="n">
        <v>208.3</v>
      </c>
      <c r="F454" s="99" t="n">
        <v>-0.5</v>
      </c>
      <c r="G454" s="99" t="n">
        <v>348144</v>
      </c>
      <c r="H454" s="99" t="n">
        <v>0.7</v>
      </c>
      <c r="I454" s="99" t="n">
        <v>10363</v>
      </c>
      <c r="J454" s="99" t="inlineStr">
        <is>
          <t>Y</t>
        </is>
      </c>
      <c r="K454" s="99" t="inlineStr">
        <is>
          <t>N</t>
        </is>
      </c>
      <c r="L454" s="99" t="inlineStr">
        <is>
          <t>N</t>
        </is>
      </c>
      <c r="M454" s="99" t="n">
        <v>39.7</v>
      </c>
      <c r="N454" s="99" t="inlineStr">
        <is>
          <t>N</t>
        </is>
      </c>
      <c r="O454" s="99" t="n">
        <v>6.19</v>
      </c>
      <c r="P454" s="99" t="inlineStr">
        <is>
          <t>N</t>
        </is>
      </c>
      <c r="Q454" s="99" t="inlineStr">
        <is>
          <t>N/A</t>
        </is>
      </c>
      <c r="R454" s="99" t="inlineStr">
        <is>
          <t>N</t>
        </is>
      </c>
      <c r="S454" s="99" t="n">
        <v>-6.3</v>
      </c>
      <c r="T454" s="99" t="n">
        <v>-13.2</v>
      </c>
      <c r="U454" s="99" t="inlineStr">
        <is>
          <t>N</t>
        </is>
      </c>
      <c r="V454" s="99" t="inlineStr">
        <is>
          <t>N/A</t>
        </is>
      </c>
      <c r="W454" s="99" t="n">
        <v>-3.8</v>
      </c>
      <c r="X454" s="99" t="n">
        <v>29.76</v>
      </c>
      <c r="Y454" s="99" t="n">
        <v>-6.6</v>
      </c>
      <c r="Z454" s="99" t="n">
        <v>1</v>
      </c>
      <c r="AA454" s="94" t="inlineStr">
        <is>
          <t>AVOID</t>
        </is>
      </c>
    </row>
    <row r="455">
      <c r="A455" s="97" t="inlineStr">
        <is>
          <t>CANFINHOME</t>
        </is>
      </c>
      <c r="B455" s="97" t="inlineStr">
        <is>
          <t>Can Fin Homes Ltd.</t>
        </is>
      </c>
      <c r="C455" s="97" t="inlineStr">
        <is>
          <t>Financial Services</t>
        </is>
      </c>
      <c r="D455" s="97" t="inlineStr">
        <is>
          <t>BSE Smallcap</t>
        </is>
      </c>
      <c r="E455" s="97" t="n">
        <v>813.9</v>
      </c>
      <c r="F455" s="97" t="n">
        <v>-0.57</v>
      </c>
      <c r="G455" s="97" t="n">
        <v>317704</v>
      </c>
      <c r="H455" s="97" t="n">
        <v>0.8100000000000001</v>
      </c>
      <c r="I455" s="97" t="n">
        <v>10823</v>
      </c>
      <c r="J455" s="97" t="inlineStr">
        <is>
          <t>Y</t>
        </is>
      </c>
      <c r="K455" s="97" t="inlineStr">
        <is>
          <t>N</t>
        </is>
      </c>
      <c r="L455" s="97" t="inlineStr">
        <is>
          <t>N</t>
        </is>
      </c>
      <c r="M455" s="97" t="n">
        <v>23.8</v>
      </c>
      <c r="N455" s="97" t="inlineStr">
        <is>
          <t>N</t>
        </is>
      </c>
      <c r="O455" s="97" t="n">
        <v>27.45</v>
      </c>
      <c r="P455" s="97" t="inlineStr">
        <is>
          <t>N</t>
        </is>
      </c>
      <c r="Q455" s="97" t="inlineStr">
        <is>
          <t>N/A</t>
        </is>
      </c>
      <c r="R455" s="97" t="inlineStr">
        <is>
          <t>N</t>
        </is>
      </c>
      <c r="S455" s="97" t="n">
        <v>-7.1</v>
      </c>
      <c r="T455" s="97" t="n">
        <v>-5.4</v>
      </c>
      <c r="U455" s="97" t="inlineStr">
        <is>
          <t>N</t>
        </is>
      </c>
      <c r="V455" s="97" t="n">
        <v>9.6</v>
      </c>
      <c r="W455" s="97" t="inlineStr">
        <is>
          <t>N/A</t>
        </is>
      </c>
      <c r="X455" s="97" t="n">
        <v>636.59</v>
      </c>
      <c r="Y455" s="97" t="n">
        <v>-22.5</v>
      </c>
      <c r="Z455" s="97" t="n">
        <v>1</v>
      </c>
      <c r="AA455" s="92" t="inlineStr">
        <is>
          <t>AVOID</t>
        </is>
      </c>
    </row>
    <row r="456">
      <c r="A456" s="99" t="inlineStr">
        <is>
          <t>CEATLTD</t>
        </is>
      </c>
      <c r="B456" s="99" t="inlineStr">
        <is>
          <t>Ceat Ltd.</t>
        </is>
      </c>
      <c r="C456" s="99" t="inlineStr">
        <is>
          <t>Automobile and Auto Components</t>
        </is>
      </c>
      <c r="D456" s="99" t="inlineStr">
        <is>
          <t>BSE Smallcap</t>
        </is>
      </c>
      <c r="E456" s="99" t="n">
        <v>3328.6</v>
      </c>
      <c r="F456" s="99" t="n">
        <v>-0.48</v>
      </c>
      <c r="G456" s="99" t="n">
        <v>116666</v>
      </c>
      <c r="H456" s="99" t="n">
        <v>1.02</v>
      </c>
      <c r="I456" s="99" t="n">
        <v>13630</v>
      </c>
      <c r="J456" s="99" t="inlineStr">
        <is>
          <t>Y</t>
        </is>
      </c>
      <c r="K456" s="99" t="inlineStr">
        <is>
          <t>N</t>
        </is>
      </c>
      <c r="L456" s="99" t="inlineStr">
        <is>
          <t>N</t>
        </is>
      </c>
      <c r="M456" s="99" t="n">
        <v>26.7</v>
      </c>
      <c r="N456" s="99" t="inlineStr">
        <is>
          <t>N</t>
        </is>
      </c>
      <c r="O456" s="99" t="n">
        <v>136.34</v>
      </c>
      <c r="P456" s="99" t="inlineStr">
        <is>
          <t>N</t>
        </is>
      </c>
      <c r="Q456" s="99" t="inlineStr">
        <is>
          <t>N/A</t>
        </is>
      </c>
      <c r="R456" s="99" t="inlineStr">
        <is>
          <t>N</t>
        </is>
      </c>
      <c r="S456" s="99" t="n">
        <v>-4.4</v>
      </c>
      <c r="T456" s="99" t="n">
        <v>-7.8</v>
      </c>
      <c r="U456" s="99" t="inlineStr">
        <is>
          <t>N</t>
        </is>
      </c>
      <c r="V456" s="99" t="n">
        <v>23.1</v>
      </c>
      <c r="W456" s="99" t="inlineStr">
        <is>
          <t>N/A</t>
        </is>
      </c>
      <c r="X456" s="99" t="n">
        <v>64.73999999999999</v>
      </c>
      <c r="Y456" s="99" t="n">
        <v>-98.40000000000001</v>
      </c>
      <c r="Z456" s="99" t="n">
        <v>1</v>
      </c>
      <c r="AA456" s="94" t="inlineStr">
        <is>
          <t>AVOID</t>
        </is>
      </c>
    </row>
    <row r="457">
      <c r="A457" s="97" t="inlineStr">
        <is>
          <t>COHANCE</t>
        </is>
      </c>
      <c r="B457" s="97" t="inlineStr">
        <is>
          <t>Cohance Lifesciences Ltd.</t>
        </is>
      </c>
      <c r="C457" s="97" t="inlineStr">
        <is>
          <t>Healthcare</t>
        </is>
      </c>
      <c r="D457" s="97" t="inlineStr">
        <is>
          <t>BSE Smallcap</t>
        </is>
      </c>
      <c r="E457" s="97" t="n">
        <v>417.1</v>
      </c>
      <c r="F457" s="97" t="n">
        <v>-1.18</v>
      </c>
      <c r="G457" s="97" t="n">
        <v>224345</v>
      </c>
      <c r="H457" s="97" t="n">
        <v>0.46</v>
      </c>
      <c r="I457" s="97" t="n">
        <v>16375</v>
      </c>
      <c r="J457" s="97" t="inlineStr">
        <is>
          <t>Y</t>
        </is>
      </c>
      <c r="K457" s="97" t="inlineStr">
        <is>
          <t>N</t>
        </is>
      </c>
      <c r="L457" s="97" t="inlineStr">
        <is>
          <t>N</t>
        </is>
      </c>
      <c r="M457" s="97" t="n">
        <v>33.7</v>
      </c>
      <c r="N457" s="97" t="inlineStr">
        <is>
          <t>N</t>
        </is>
      </c>
      <c r="O457" s="97" t="n">
        <v>18.57</v>
      </c>
      <c r="P457" s="97" t="inlineStr">
        <is>
          <t>N</t>
        </is>
      </c>
      <c r="Q457" s="97" t="inlineStr">
        <is>
          <t>N/A</t>
        </is>
      </c>
      <c r="R457" s="97" t="inlineStr">
        <is>
          <t>N</t>
        </is>
      </c>
      <c r="S457" s="97" t="n">
        <v>-8.699999999999999</v>
      </c>
      <c r="T457" s="97" t="n">
        <v>-10.4</v>
      </c>
      <c r="U457" s="97" t="inlineStr">
        <is>
          <t>N</t>
        </is>
      </c>
      <c r="V457" s="97" t="n">
        <v>91.59999999999999</v>
      </c>
      <c r="W457" s="97" t="n">
        <v>3.8</v>
      </c>
      <c r="X457" s="97" t="n">
        <v>9.93</v>
      </c>
      <c r="Y457" s="97" t="n">
        <v>-46.8</v>
      </c>
      <c r="Z457" s="97" t="n">
        <v>1</v>
      </c>
      <c r="AA457" s="92" t="inlineStr">
        <is>
          <t>AVOID</t>
        </is>
      </c>
    </row>
    <row r="458">
      <c r="A458" s="99" t="inlineStr">
        <is>
          <t>ICICIGI</t>
        </is>
      </c>
      <c r="B458" s="99" t="inlineStr">
        <is>
          <t>ICICI Lombard General Insurance Company Ltd.</t>
        </is>
      </c>
      <c r="C458" s="99" t="inlineStr">
        <is>
          <t>Financial Services</t>
        </is>
      </c>
      <c r="D458" s="99" t="inlineStr">
        <is>
          <t>Large/Midcap</t>
        </is>
      </c>
      <c r="E458" s="99" t="n">
        <v>1661.8</v>
      </c>
      <c r="F458" s="99" t="n">
        <v>2.64</v>
      </c>
      <c r="G458" s="99" t="n">
        <v>1693997</v>
      </c>
      <c r="H458" s="99" t="n">
        <v>1.61</v>
      </c>
      <c r="I458" s="99" t="n">
        <v>83942</v>
      </c>
      <c r="J458" s="99" t="inlineStr">
        <is>
          <t>Y</t>
        </is>
      </c>
      <c r="K458" s="99" t="inlineStr">
        <is>
          <t>N</t>
        </is>
      </c>
      <c r="L458" s="99" t="inlineStr">
        <is>
          <t>N</t>
        </is>
      </c>
      <c r="M458" s="99" t="n">
        <v>36.5</v>
      </c>
      <c r="N458" s="99" t="inlineStr">
        <is>
          <t>N</t>
        </is>
      </c>
      <c r="O458" s="99" t="n">
        <v>61.42</v>
      </c>
      <c r="P458" s="99" t="inlineStr">
        <is>
          <t>N</t>
        </is>
      </c>
      <c r="Q458" s="99" t="inlineStr">
        <is>
          <t>N/A</t>
        </is>
      </c>
      <c r="R458" s="99" t="inlineStr">
        <is>
          <t>N</t>
        </is>
      </c>
      <c r="S458" s="99" t="n">
        <v>-8.1</v>
      </c>
      <c r="T458" s="99" t="n">
        <v>-5.4</v>
      </c>
      <c r="U458" s="99" t="inlineStr">
        <is>
          <t>N</t>
        </is>
      </c>
      <c r="V458" s="99" t="n">
        <v>34.8</v>
      </c>
      <c r="W458" s="99" t="n">
        <v>14.6</v>
      </c>
      <c r="X458" s="99" t="inlineStr">
        <is>
          <t>N/A</t>
        </is>
      </c>
      <c r="Y458" s="99" t="n">
        <v>-26.2</v>
      </c>
      <c r="Z458" s="99" t="n">
        <v>1</v>
      </c>
      <c r="AA458" s="94" t="inlineStr">
        <is>
          <t>AVOID</t>
        </is>
      </c>
    </row>
    <row r="459">
      <c r="A459" s="97" t="inlineStr">
        <is>
          <t>INDGN</t>
        </is>
      </c>
      <c r="B459" s="97" t="inlineStr">
        <is>
          <t>Indegene Ltd.</t>
        </is>
      </c>
      <c r="C459" s="97" t="inlineStr">
        <is>
          <t>Healthcare</t>
        </is>
      </c>
      <c r="D459" s="97" t="inlineStr">
        <is>
          <t>BSE Smallcap</t>
        </is>
      </c>
      <c r="E459" s="97" t="n">
        <v>492.65</v>
      </c>
      <c r="F459" s="97" t="n">
        <v>0.85</v>
      </c>
      <c r="G459" s="97" t="n">
        <v>84358</v>
      </c>
      <c r="H459" s="97" t="n">
        <v>0.86</v>
      </c>
      <c r="I459" s="97" t="n">
        <v>12220</v>
      </c>
      <c r="J459" s="97" t="inlineStr">
        <is>
          <t>Y</t>
        </is>
      </c>
      <c r="K459" s="97" t="inlineStr">
        <is>
          <t>N</t>
        </is>
      </c>
      <c r="L459" s="97" t="inlineStr">
        <is>
          <t>N</t>
        </is>
      </c>
      <c r="M459" s="97" t="n">
        <v>48.7</v>
      </c>
      <c r="N459" s="97" t="inlineStr">
        <is>
          <t>N</t>
        </is>
      </c>
      <c r="O459" s="97" t="n">
        <v>13.09</v>
      </c>
      <c r="P459" s="97" t="inlineStr">
        <is>
          <t>N</t>
        </is>
      </c>
      <c r="Q459" s="97" t="inlineStr">
        <is>
          <t>N/A</t>
        </is>
      </c>
      <c r="R459" s="97" t="inlineStr">
        <is>
          <t>N</t>
        </is>
      </c>
      <c r="S459" s="97" t="n">
        <v>-4.7</v>
      </c>
      <c r="T459" s="97" t="n">
        <v>-0.2</v>
      </c>
      <c r="U459" s="97" t="inlineStr">
        <is>
          <t>N</t>
        </is>
      </c>
      <c r="V459" s="97" t="n">
        <v>30.6</v>
      </c>
      <c r="W459" s="97" t="n">
        <v>13.9</v>
      </c>
      <c r="X459" s="97" t="n">
        <v>5.04</v>
      </c>
      <c r="Y459" s="97" t="n">
        <v>-22.5</v>
      </c>
      <c r="Z459" s="97" t="n">
        <v>1</v>
      </c>
      <c r="AA459" s="92" t="inlineStr">
        <is>
          <t>AVOID</t>
        </is>
      </c>
    </row>
    <row r="460">
      <c r="A460" s="99" t="inlineStr">
        <is>
          <t>IRFC</t>
        </is>
      </c>
      <c r="B460" s="99" t="inlineStr">
        <is>
          <t>Indian Railway Finance Corporation Ltd.</t>
        </is>
      </c>
      <c r="C460" s="99" t="inlineStr">
        <is>
          <t>Financial Services</t>
        </is>
      </c>
      <c r="D460" s="99" t="inlineStr">
        <is>
          <t>Large/Midcap</t>
        </is>
      </c>
      <c r="E460" s="99" t="n">
        <v>88.13</v>
      </c>
      <c r="F460" s="99" t="n">
        <v>0.58</v>
      </c>
      <c r="G460" s="99" t="n">
        <v>5143354</v>
      </c>
      <c r="H460" s="99" t="n">
        <v>0.84</v>
      </c>
      <c r="I460" s="99" t="n">
        <v>115173</v>
      </c>
      <c r="J460" s="99" t="inlineStr">
        <is>
          <t>Y</t>
        </is>
      </c>
      <c r="K460" s="99" t="inlineStr">
        <is>
          <t>N</t>
        </is>
      </c>
      <c r="L460" s="99" t="inlineStr">
        <is>
          <t>N</t>
        </is>
      </c>
      <c r="M460" s="99" t="n">
        <v>40.8</v>
      </c>
      <c r="N460" s="99" t="inlineStr">
        <is>
          <t>N</t>
        </is>
      </c>
      <c r="O460" s="99" t="n">
        <v>1.41</v>
      </c>
      <c r="P460" s="99" t="inlineStr">
        <is>
          <t>N</t>
        </is>
      </c>
      <c r="Q460" s="99" t="inlineStr">
        <is>
          <t>N/A</t>
        </is>
      </c>
      <c r="R460" s="99" t="inlineStr">
        <is>
          <t>N</t>
        </is>
      </c>
      <c r="S460" s="99" t="n">
        <v>-3.7</v>
      </c>
      <c r="T460" s="99" t="n">
        <v>-15</v>
      </c>
      <c r="U460" s="99" t="inlineStr">
        <is>
          <t>N</t>
        </is>
      </c>
      <c r="V460" s="99" t="n">
        <v>16.4</v>
      </c>
      <c r="W460" s="99" t="n">
        <v>12.8</v>
      </c>
      <c r="X460" s="99" t="n">
        <v>773.35</v>
      </c>
      <c r="Y460" s="99" t="n">
        <v>-6.5</v>
      </c>
      <c r="Z460" s="99" t="n">
        <v>1</v>
      </c>
      <c r="AA460" s="94" t="inlineStr">
        <is>
          <t>AVOID</t>
        </is>
      </c>
    </row>
    <row r="461">
      <c r="A461" s="97" t="inlineStr">
        <is>
          <t>IGL</t>
        </is>
      </c>
      <c r="B461" s="97" t="inlineStr">
        <is>
          <t>Indraprastha Gas Ltd.</t>
        </is>
      </c>
      <c r="C461" s="97" t="inlineStr">
        <is>
          <t>Oil Gas &amp; Consumable Fuels</t>
        </is>
      </c>
      <c r="D461" s="97" t="inlineStr">
        <is>
          <t>BSE Smallcap</t>
        </is>
      </c>
      <c r="E461" s="97" t="n">
        <v>150.27</v>
      </c>
      <c r="F461" s="97" t="n">
        <v>0.63</v>
      </c>
      <c r="G461" s="97" t="n">
        <v>1779530</v>
      </c>
      <c r="H461" s="97" t="n">
        <v>1.33</v>
      </c>
      <c r="I461" s="97" t="n">
        <v>21038</v>
      </c>
      <c r="J461" s="97" t="inlineStr">
        <is>
          <t>Y</t>
        </is>
      </c>
      <c r="K461" s="97" t="inlineStr">
        <is>
          <t>N</t>
        </is>
      </c>
      <c r="L461" s="97" t="inlineStr">
        <is>
          <t>N</t>
        </is>
      </c>
      <c r="M461" s="97" t="n">
        <v>44.9</v>
      </c>
      <c r="N461" s="97" t="inlineStr">
        <is>
          <t>N</t>
        </is>
      </c>
      <c r="O461" s="97" t="n">
        <v>3.13</v>
      </c>
      <c r="P461" s="97" t="inlineStr">
        <is>
          <t>N</t>
        </is>
      </c>
      <c r="Q461" s="97" t="inlineStr">
        <is>
          <t>N/A</t>
        </is>
      </c>
      <c r="R461" s="97" t="inlineStr">
        <is>
          <t>N</t>
        </is>
      </c>
      <c r="S461" s="97" t="n">
        <v>-11.6</v>
      </c>
      <c r="T461" s="97" t="n">
        <v>-9.1</v>
      </c>
      <c r="U461" s="97" t="inlineStr">
        <is>
          <t>N</t>
        </is>
      </c>
      <c r="V461" s="97" t="n">
        <v>13.5</v>
      </c>
      <c r="W461" s="97" t="n">
        <v>13.9</v>
      </c>
      <c r="X461" s="97" t="n">
        <v>0.85</v>
      </c>
      <c r="Y461" s="97" t="n">
        <v>-13.5</v>
      </c>
      <c r="Z461" s="97" t="n">
        <v>1</v>
      </c>
      <c r="AA461" s="92" t="inlineStr">
        <is>
          <t>AVOID</t>
        </is>
      </c>
    </row>
    <row r="462">
      <c r="A462" s="99" t="inlineStr">
        <is>
          <t>IREDA</t>
        </is>
      </c>
      <c r="B462" s="99" t="inlineStr">
        <is>
          <t>Indian Renewable Energy Development Agency Ltd.</t>
        </is>
      </c>
      <c r="C462" s="99" t="inlineStr">
        <is>
          <t>Financial Services</t>
        </is>
      </c>
      <c r="D462" s="99" t="inlineStr">
        <is>
          <t>Large/Midcap</t>
        </is>
      </c>
      <c r="E462" s="99" t="n">
        <v>120.29</v>
      </c>
      <c r="F462" s="99" t="n">
        <v>-0.16</v>
      </c>
      <c r="G462" s="99" t="n">
        <v>4198411</v>
      </c>
      <c r="H462" s="99" t="n">
        <v>1.12</v>
      </c>
      <c r="I462" s="99" t="n">
        <v>33792</v>
      </c>
      <c r="J462" s="99" t="inlineStr">
        <is>
          <t>Y</t>
        </is>
      </c>
      <c r="K462" s="99" t="inlineStr">
        <is>
          <t>N</t>
        </is>
      </c>
      <c r="L462" s="99" t="inlineStr">
        <is>
          <t>N</t>
        </is>
      </c>
      <c r="M462" s="99" t="n">
        <v>37.3</v>
      </c>
      <c r="N462" s="99" t="inlineStr">
        <is>
          <t>N</t>
        </is>
      </c>
      <c r="O462" s="99" t="n">
        <v>2.63</v>
      </c>
      <c r="P462" s="99" t="inlineStr">
        <is>
          <t>N</t>
        </is>
      </c>
      <c r="Q462" s="99" t="inlineStr">
        <is>
          <t>N/A</t>
        </is>
      </c>
      <c r="R462" s="99" t="inlineStr">
        <is>
          <t>N</t>
        </is>
      </c>
      <c r="S462" s="99" t="n">
        <v>-5.4</v>
      </c>
      <c r="T462" s="99" t="n">
        <v>-10.6</v>
      </c>
      <c r="U462" s="99" t="inlineStr">
        <is>
          <t>N</t>
        </is>
      </c>
      <c r="V462" s="99" t="n">
        <v>17.9</v>
      </c>
      <c r="W462" s="99" t="inlineStr">
        <is>
          <t>N/A</t>
        </is>
      </c>
      <c r="X462" s="99" t="n">
        <v>565.67</v>
      </c>
      <c r="Y462" s="99" t="n">
        <v>-15.8</v>
      </c>
      <c r="Z462" s="99" t="n">
        <v>1</v>
      </c>
      <c r="AA462" s="94" t="inlineStr">
        <is>
          <t>AVOID</t>
        </is>
      </c>
    </row>
    <row r="463">
      <c r="A463" s="97" t="inlineStr">
        <is>
          <t>IGIL</t>
        </is>
      </c>
      <c r="B463" s="97" t="inlineStr">
        <is>
          <t>International Gemological Institute Ltd.</t>
        </is>
      </c>
      <c r="C463" s="97" t="inlineStr">
        <is>
          <t>Services</t>
        </is>
      </c>
      <c r="D463" s="97" t="inlineStr">
        <is>
          <t>BSE Smallcap</t>
        </is>
      </c>
      <c r="E463" s="97" t="n">
        <v>329.7</v>
      </c>
      <c r="F463" s="97" t="n">
        <v>-2.5</v>
      </c>
      <c r="G463" s="97" t="n">
        <v>714283</v>
      </c>
      <c r="H463" s="97" t="n">
        <v>0.5</v>
      </c>
      <c r="I463" s="97" t="n">
        <v>14248</v>
      </c>
      <c r="J463" s="97" t="inlineStr">
        <is>
          <t>Y</t>
        </is>
      </c>
      <c r="K463" s="97" t="inlineStr">
        <is>
          <t>N</t>
        </is>
      </c>
      <c r="L463" s="97" t="inlineStr">
        <is>
          <t>N</t>
        </is>
      </c>
      <c r="M463" s="97" t="n">
        <v>35.7</v>
      </c>
      <c r="N463" s="97" t="inlineStr">
        <is>
          <t>N</t>
        </is>
      </c>
      <c r="O463" s="97" t="n">
        <v>10.77</v>
      </c>
      <c r="P463" s="97" t="inlineStr">
        <is>
          <t>N</t>
        </is>
      </c>
      <c r="Q463" s="97" t="inlineStr">
        <is>
          <t>N/A</t>
        </is>
      </c>
      <c r="R463" s="97" t="inlineStr">
        <is>
          <t>N</t>
        </is>
      </c>
      <c r="S463" s="97" t="n">
        <v>-8.1</v>
      </c>
      <c r="T463" s="97" t="n">
        <v>-4.3</v>
      </c>
      <c r="U463" s="97" t="inlineStr">
        <is>
          <t>N</t>
        </is>
      </c>
      <c r="V463" s="97" t="n">
        <v>28.6</v>
      </c>
      <c r="W463" s="97" t="inlineStr">
        <is>
          <t>N/A</t>
        </is>
      </c>
      <c r="X463" s="97" t="n">
        <v>9.59</v>
      </c>
      <c r="Y463" s="97" t="n">
        <v>-7.7</v>
      </c>
      <c r="Z463" s="97" t="n">
        <v>1</v>
      </c>
      <c r="AA463" s="92" t="inlineStr">
        <is>
          <t>AVOID</t>
        </is>
      </c>
    </row>
    <row r="464">
      <c r="A464" s="99" t="inlineStr">
        <is>
          <t>INOXWIND</t>
        </is>
      </c>
      <c r="B464" s="99" t="inlineStr">
        <is>
          <t>Inox Wind Ltd.</t>
        </is>
      </c>
      <c r="C464" s="99" t="inlineStr">
        <is>
          <t>Capital Goods</t>
        </is>
      </c>
      <c r="D464" s="99" t="inlineStr">
        <is>
          <t>BSE Smallcap</t>
        </is>
      </c>
      <c r="E464" s="99" t="n">
        <v>78.23</v>
      </c>
      <c r="F464" s="99" t="n">
        <v>1.64</v>
      </c>
      <c r="G464" s="99" t="n">
        <v>7107792</v>
      </c>
      <c r="H464" s="99" t="n">
        <v>0.9</v>
      </c>
      <c r="I464" s="99" t="n">
        <v>13520</v>
      </c>
      <c r="J464" s="99" t="inlineStr">
        <is>
          <t>Y</t>
        </is>
      </c>
      <c r="K464" s="99" t="inlineStr">
        <is>
          <t>N</t>
        </is>
      </c>
      <c r="L464" s="99" t="inlineStr">
        <is>
          <t>N</t>
        </is>
      </c>
      <c r="M464" s="99" t="n">
        <v>27</v>
      </c>
      <c r="N464" s="99" t="inlineStr">
        <is>
          <t>N</t>
        </is>
      </c>
      <c r="O464" s="99" t="n">
        <v>2.13</v>
      </c>
      <c r="P464" s="99" t="inlineStr">
        <is>
          <t>N</t>
        </is>
      </c>
      <c r="Q464" s="99" t="inlineStr">
        <is>
          <t>N/A</t>
        </is>
      </c>
      <c r="R464" s="99" t="inlineStr">
        <is>
          <t>N</t>
        </is>
      </c>
      <c r="S464" s="99" t="n">
        <v>-12.4</v>
      </c>
      <c r="T464" s="99" t="n">
        <v>-22.1</v>
      </c>
      <c r="U464" s="99" t="inlineStr">
        <is>
          <t>N</t>
        </is>
      </c>
      <c r="V464" s="99" t="n">
        <v>29.1</v>
      </c>
      <c r="W464" s="99" t="n">
        <v>6.8</v>
      </c>
      <c r="X464" s="99" t="n">
        <v>20.63</v>
      </c>
      <c r="Y464" s="99" t="n">
        <v>-22.3</v>
      </c>
      <c r="Z464" s="99" t="n">
        <v>1</v>
      </c>
      <c r="AA464" s="94" t="inlineStr">
        <is>
          <t>AVOID</t>
        </is>
      </c>
    </row>
    <row r="465">
      <c r="A465" s="97" t="inlineStr">
        <is>
          <t>JMFINANCIL</t>
        </is>
      </c>
      <c r="B465" s="97" t="inlineStr">
        <is>
          <t>JM Financial Ltd.</t>
        </is>
      </c>
      <c r="C465" s="97" t="inlineStr">
        <is>
          <t>Financial Services</t>
        </is>
      </c>
      <c r="D465" s="97" t="inlineStr">
        <is>
          <t>BSE Smallcap</t>
        </is>
      </c>
      <c r="E465" s="97" t="n">
        <v>122.05</v>
      </c>
      <c r="F465" s="97" t="n">
        <v>-0.11</v>
      </c>
      <c r="G465" s="97" t="n">
        <v>1845468</v>
      </c>
      <c r="H465" s="97" t="n">
        <v>0.91</v>
      </c>
      <c r="I465" s="97" t="n">
        <v>11901</v>
      </c>
      <c r="J465" s="97" t="inlineStr">
        <is>
          <t>Y</t>
        </is>
      </c>
      <c r="K465" s="97" t="inlineStr">
        <is>
          <t>N</t>
        </is>
      </c>
      <c r="L465" s="97" t="inlineStr">
        <is>
          <t>N</t>
        </is>
      </c>
      <c r="M465" s="97" t="n">
        <v>27.8</v>
      </c>
      <c r="N465" s="97" t="inlineStr">
        <is>
          <t>N</t>
        </is>
      </c>
      <c r="O465" s="97" t="n">
        <v>3.73</v>
      </c>
      <c r="P465" s="97" t="inlineStr">
        <is>
          <t>N</t>
        </is>
      </c>
      <c r="Q465" s="97" t="inlineStr">
        <is>
          <t>N/A</t>
        </is>
      </c>
      <c r="R465" s="97" t="inlineStr">
        <is>
          <t>N</t>
        </is>
      </c>
      <c r="S465" s="97" t="n">
        <v>-2.7</v>
      </c>
      <c r="T465" s="97" t="n">
        <v>-9</v>
      </c>
      <c r="U465" s="97" t="inlineStr">
        <is>
          <t>N</t>
        </is>
      </c>
      <c r="V465" s="97" t="n">
        <v>9.9</v>
      </c>
      <c r="W465" s="97" t="n">
        <v>11.1</v>
      </c>
      <c r="X465" s="97" t="n">
        <v>102.44</v>
      </c>
      <c r="Y465" s="97" t="n">
        <v>-47.1</v>
      </c>
      <c r="Z465" s="97" t="n">
        <v>1</v>
      </c>
      <c r="AA465" s="92" t="inlineStr">
        <is>
          <t>AVOID</t>
        </is>
      </c>
    </row>
    <row r="466">
      <c r="A466" s="99" t="inlineStr">
        <is>
          <t>JKTYRE</t>
        </is>
      </c>
      <c r="B466" s="99" t="inlineStr">
        <is>
          <t>JK Tyre &amp; Industries Ltd.</t>
        </is>
      </c>
      <c r="C466" s="99" t="inlineStr">
        <is>
          <t>Automobile and Auto Components</t>
        </is>
      </c>
      <c r="D466" s="99" t="inlineStr">
        <is>
          <t>NSE Smallcap</t>
        </is>
      </c>
      <c r="E466" s="99" t="n">
        <v>390.6</v>
      </c>
      <c r="F466" s="99" t="n">
        <v>0.97</v>
      </c>
      <c r="G466" s="99" t="n">
        <v>576399</v>
      </c>
      <c r="H466" s="99" t="n">
        <v>0.86</v>
      </c>
      <c r="I466" s="99" t="n">
        <v>11520</v>
      </c>
      <c r="J466" s="99" t="inlineStr">
        <is>
          <t>Y</t>
        </is>
      </c>
      <c r="K466" s="99" t="inlineStr">
        <is>
          <t>N</t>
        </is>
      </c>
      <c r="L466" s="99" t="inlineStr">
        <is>
          <t>N</t>
        </is>
      </c>
      <c r="M466" s="99" t="n">
        <v>40.4</v>
      </c>
      <c r="N466" s="99" t="inlineStr">
        <is>
          <t>N</t>
        </is>
      </c>
      <c r="O466" s="99" t="n">
        <v>11.73</v>
      </c>
      <c r="P466" s="99" t="inlineStr">
        <is>
          <t>N</t>
        </is>
      </c>
      <c r="Q466" s="99" t="inlineStr">
        <is>
          <t>N/A</t>
        </is>
      </c>
      <c r="R466" s="99" t="inlineStr">
        <is>
          <t>N</t>
        </is>
      </c>
      <c r="S466" s="99" t="n">
        <v>-1.4</v>
      </c>
      <c r="T466" s="99" t="n">
        <v>-3.6</v>
      </c>
      <c r="U466" s="99" t="inlineStr">
        <is>
          <t>N</t>
        </is>
      </c>
      <c r="V466" s="99" t="n">
        <v>14.7</v>
      </c>
      <c r="W466" s="99" t="n">
        <v>14.1</v>
      </c>
      <c r="X466" s="99" t="n">
        <v>80.55</v>
      </c>
      <c r="Y466" s="99" t="n">
        <v>-14.3</v>
      </c>
      <c r="Z466" s="99" t="n">
        <v>1</v>
      </c>
      <c r="AA466" s="94" t="inlineStr">
        <is>
          <t>AVOID</t>
        </is>
      </c>
    </row>
    <row r="467">
      <c r="A467" s="97" t="inlineStr">
        <is>
          <t>JWL</t>
        </is>
      </c>
      <c r="B467" s="97" t="inlineStr">
        <is>
          <t>Jupiter Wagons Ltd.</t>
        </is>
      </c>
      <c r="C467" s="97" t="inlineStr">
        <is>
          <t>Capital Goods</t>
        </is>
      </c>
      <c r="D467" s="97" t="inlineStr">
        <is>
          <t>BSE Smallcap</t>
        </is>
      </c>
      <c r="E467" s="97" t="n">
        <v>246.55</v>
      </c>
      <c r="F467" s="97" t="n">
        <v>0.37</v>
      </c>
      <c r="G467" s="97" t="n">
        <v>477720</v>
      </c>
      <c r="H467" s="97" t="n">
        <v>0.99</v>
      </c>
      <c r="I467" s="97" t="n">
        <v>10582</v>
      </c>
      <c r="J467" s="97" t="inlineStr">
        <is>
          <t>Y</t>
        </is>
      </c>
      <c r="K467" s="97" t="inlineStr">
        <is>
          <t>N</t>
        </is>
      </c>
      <c r="L467" s="97" t="inlineStr">
        <is>
          <t>N</t>
        </is>
      </c>
      <c r="M467" s="97" t="n">
        <v>33.9</v>
      </c>
      <c r="N467" s="97" t="inlineStr">
        <is>
          <t>N</t>
        </is>
      </c>
      <c r="O467" s="97" t="n">
        <v>6.2</v>
      </c>
      <c r="P467" s="97" t="inlineStr">
        <is>
          <t>N</t>
        </is>
      </c>
      <c r="Q467" s="97" t="inlineStr">
        <is>
          <t>N/A</t>
        </is>
      </c>
      <c r="R467" s="97" t="inlineStr">
        <is>
          <t>N</t>
        </is>
      </c>
      <c r="S467" s="97" t="n">
        <v>-6</v>
      </c>
      <c r="T467" s="97" t="n">
        <v>-13.8</v>
      </c>
      <c r="U467" s="97" t="inlineStr">
        <is>
          <t>N</t>
        </is>
      </c>
      <c r="V467" s="97" t="n">
        <v>61.6</v>
      </c>
      <c r="W467" s="97" t="n">
        <v>5.8</v>
      </c>
      <c r="X467" s="97" t="n">
        <v>33.37</v>
      </c>
      <c r="Y467" s="97" t="n">
        <v>-54.2</v>
      </c>
      <c r="Z467" s="97" t="n">
        <v>1</v>
      </c>
      <c r="AA467" s="92" t="inlineStr">
        <is>
          <t>AVOID</t>
        </is>
      </c>
    </row>
    <row r="468">
      <c r="A468" s="99" t="inlineStr">
        <is>
          <t>LTFOODS</t>
        </is>
      </c>
      <c r="B468" s="99" t="inlineStr">
        <is>
          <t>LT Foods Ltd.</t>
        </is>
      </c>
      <c r="C468" s="99" t="inlineStr">
        <is>
          <t>Fast Moving Consumer Goods</t>
        </is>
      </c>
      <c r="D468" s="99" t="inlineStr">
        <is>
          <t>BSE Smallcap</t>
        </is>
      </c>
      <c r="E468" s="99" t="n">
        <v>375.6</v>
      </c>
      <c r="F468" s="99" t="n">
        <v>0.63</v>
      </c>
      <c r="G468" s="99" t="n">
        <v>220480</v>
      </c>
      <c r="H468" s="99" t="n">
        <v>0.82</v>
      </c>
      <c r="I468" s="99" t="n">
        <v>13071</v>
      </c>
      <c r="J468" s="99" t="inlineStr">
        <is>
          <t>Y</t>
        </is>
      </c>
      <c r="K468" s="99" t="inlineStr">
        <is>
          <t>N</t>
        </is>
      </c>
      <c r="L468" s="99" t="inlineStr">
        <is>
          <t>N</t>
        </is>
      </c>
      <c r="M468" s="99" t="n">
        <v>46.3</v>
      </c>
      <c r="N468" s="99" t="inlineStr">
        <is>
          <t>N</t>
        </is>
      </c>
      <c r="O468" s="99" t="n">
        <v>9.49</v>
      </c>
      <c r="P468" s="99" t="inlineStr">
        <is>
          <t>N</t>
        </is>
      </c>
      <c r="Q468" s="99" t="inlineStr">
        <is>
          <t>N/A</t>
        </is>
      </c>
      <c r="R468" s="99" t="inlineStr">
        <is>
          <t>N</t>
        </is>
      </c>
      <c r="S468" s="99" t="n">
        <v>-2.3</v>
      </c>
      <c r="T468" s="99" t="n">
        <v>-11.2</v>
      </c>
      <c r="U468" s="99" t="inlineStr">
        <is>
          <t>N</t>
        </is>
      </c>
      <c r="V468" s="99" t="n">
        <v>20.9</v>
      </c>
      <c r="W468" s="99" t="n">
        <v>14.9</v>
      </c>
      <c r="X468" s="99" t="n">
        <v>28.49</v>
      </c>
      <c r="Y468" s="99" t="n">
        <v>-13.8</v>
      </c>
      <c r="Z468" s="99" t="n">
        <v>1</v>
      </c>
      <c r="AA468" s="94" t="inlineStr">
        <is>
          <t>AVOID</t>
        </is>
      </c>
    </row>
    <row r="469">
      <c r="A469" s="97" t="inlineStr">
        <is>
          <t>MGL</t>
        </is>
      </c>
      <c r="B469" s="97" t="inlineStr">
        <is>
          <t>Mahanagar Gas Ltd.</t>
        </is>
      </c>
      <c r="C469" s="97" t="inlineStr">
        <is>
          <t>Oil Gas &amp; Consumable Fuels</t>
        </is>
      </c>
      <c r="D469" s="97" t="inlineStr">
        <is>
          <t>BSE Smallcap</t>
        </is>
      </c>
      <c r="E469" s="97" t="n">
        <v>1077</v>
      </c>
      <c r="F469" s="97" t="n">
        <v>0.9</v>
      </c>
      <c r="G469" s="97" t="n">
        <v>87747</v>
      </c>
      <c r="H469" s="97" t="n">
        <v>0.89</v>
      </c>
      <c r="I469" s="97" t="n">
        <v>10846</v>
      </c>
      <c r="J469" s="97" t="inlineStr">
        <is>
          <t>Y</t>
        </is>
      </c>
      <c r="K469" s="97" t="inlineStr">
        <is>
          <t>N</t>
        </is>
      </c>
      <c r="L469" s="97" t="inlineStr">
        <is>
          <t>N</t>
        </is>
      </c>
      <c r="M469" s="97" t="n">
        <v>36.5</v>
      </c>
      <c r="N469" s="97" t="inlineStr">
        <is>
          <t>N</t>
        </is>
      </c>
      <c r="O469" s="97" t="n">
        <v>25.54</v>
      </c>
      <c r="P469" s="97" t="inlineStr">
        <is>
          <t>N</t>
        </is>
      </c>
      <c r="Q469" s="97" t="inlineStr">
        <is>
          <t>N/A</t>
        </is>
      </c>
      <c r="R469" s="97" t="inlineStr">
        <is>
          <t>N</t>
        </is>
      </c>
      <c r="S469" s="97" t="n">
        <v>-8.1</v>
      </c>
      <c r="T469" s="97" t="n">
        <v>-4.5</v>
      </c>
      <c r="U469" s="97" t="inlineStr">
        <is>
          <t>N</t>
        </is>
      </c>
      <c r="V469" s="97" t="n">
        <v>12.9</v>
      </c>
      <c r="W469" s="97" t="n">
        <v>13.6</v>
      </c>
      <c r="X469" s="97" t="n">
        <v>3.46</v>
      </c>
      <c r="Y469" s="97" t="n">
        <v>-35.4</v>
      </c>
      <c r="Z469" s="97" t="n">
        <v>1</v>
      </c>
      <c r="AA469" s="92" t="inlineStr">
        <is>
          <t>AVOID</t>
        </is>
      </c>
    </row>
    <row r="470">
      <c r="A470" s="99" t="inlineStr">
        <is>
          <t>MFSL</t>
        </is>
      </c>
      <c r="B470" s="99" t="inlineStr">
        <is>
          <t>Max Financial Services Ltd.</t>
        </is>
      </c>
      <c r="C470" s="99" t="inlineStr">
        <is>
          <t>Financial Services</t>
        </is>
      </c>
      <c r="D470" s="99" t="inlineStr">
        <is>
          <t>Large/Midcap</t>
        </is>
      </c>
      <c r="E470" s="99" t="n">
        <v>1515.5</v>
      </c>
      <c r="F470" s="99" t="n">
        <v>0.77</v>
      </c>
      <c r="G470" s="99" t="n">
        <v>1113093</v>
      </c>
      <c r="H470" s="99" t="n">
        <v>2.6</v>
      </c>
      <c r="I470" s="99" t="n">
        <v>51898</v>
      </c>
      <c r="J470" s="99" t="inlineStr">
        <is>
          <t>Y</t>
        </is>
      </c>
      <c r="K470" s="99" t="inlineStr">
        <is>
          <t>N</t>
        </is>
      </c>
      <c r="L470" s="99" t="inlineStr">
        <is>
          <t>N</t>
        </is>
      </c>
      <c r="M470" s="99" t="n">
        <v>39</v>
      </c>
      <c r="N470" s="99" t="inlineStr">
        <is>
          <t>N</t>
        </is>
      </c>
      <c r="O470" s="99" t="n">
        <v>43.63</v>
      </c>
      <c r="P470" s="99" t="inlineStr">
        <is>
          <t>N</t>
        </is>
      </c>
      <c r="Q470" s="99" t="inlineStr">
        <is>
          <t>N/A</t>
        </is>
      </c>
      <c r="R470" s="99" t="inlineStr">
        <is>
          <t>N</t>
        </is>
      </c>
      <c r="S470" s="99" t="n">
        <v>-5.7</v>
      </c>
      <c r="T470" s="99" t="n">
        <v>-5.5</v>
      </c>
      <c r="U470" s="99" t="inlineStr">
        <is>
          <t>N</t>
        </is>
      </c>
      <c r="V470" s="99" t="n">
        <v>624.4</v>
      </c>
      <c r="W470" s="99" t="n">
        <v>1.6</v>
      </c>
      <c r="X470" s="99" t="n">
        <v>12.67</v>
      </c>
      <c r="Y470" s="99" t="n">
        <v>-172.1</v>
      </c>
      <c r="Z470" s="99" t="n">
        <v>1</v>
      </c>
      <c r="AA470" s="94" t="inlineStr">
        <is>
          <t>AVOID</t>
        </is>
      </c>
    </row>
    <row r="471">
      <c r="A471" s="97" t="inlineStr">
        <is>
          <t>NTPC</t>
        </is>
      </c>
      <c r="B471" s="97" t="inlineStr">
        <is>
          <t>NTPC Ltd.</t>
        </is>
      </c>
      <c r="C471" s="97" t="inlineStr">
        <is>
          <t>Power</t>
        </is>
      </c>
      <c r="D471" s="97" t="inlineStr">
        <is>
          <t>Large/Midcap</t>
        </is>
      </c>
      <c r="E471" s="97" t="n">
        <v>350.8</v>
      </c>
      <c r="F471" s="97" t="n">
        <v>1.04</v>
      </c>
      <c r="G471" s="97" t="n">
        <v>12350753</v>
      </c>
      <c r="H471" s="97" t="n">
        <v>1.83</v>
      </c>
      <c r="I471" s="97" t="n">
        <v>340159</v>
      </c>
      <c r="J471" s="97" t="inlineStr">
        <is>
          <t>Y</t>
        </is>
      </c>
      <c r="K471" s="97" t="inlineStr">
        <is>
          <t>N</t>
        </is>
      </c>
      <c r="L471" s="97" t="inlineStr">
        <is>
          <t>N</t>
        </is>
      </c>
      <c r="M471" s="97" t="n">
        <v>46.1</v>
      </c>
      <c r="N471" s="97" t="inlineStr">
        <is>
          <t>N</t>
        </is>
      </c>
      <c r="O471" s="97" t="n">
        <v>5.97</v>
      </c>
      <c r="P471" s="97" t="inlineStr">
        <is>
          <t>N</t>
        </is>
      </c>
      <c r="Q471" s="97" t="inlineStr">
        <is>
          <t>N/A</t>
        </is>
      </c>
      <c r="R471" s="97" t="inlineStr">
        <is>
          <t>N</t>
        </is>
      </c>
      <c r="S471" s="97" t="n">
        <v>-0.1</v>
      </c>
      <c r="T471" s="97" t="n">
        <v>-11.7</v>
      </c>
      <c r="U471" s="97" t="inlineStr">
        <is>
          <t>N</t>
        </is>
      </c>
      <c r="V471" s="97" t="n">
        <v>10.6</v>
      </c>
      <c r="W471" s="97" t="inlineStr">
        <is>
          <t>N/A</t>
        </is>
      </c>
      <c r="X471" s="97" t="n">
        <v>118.13</v>
      </c>
      <c r="Y471" s="97" t="n">
        <v>-35.9</v>
      </c>
      <c r="Z471" s="97" t="n">
        <v>1</v>
      </c>
      <c r="AA471" s="92" t="inlineStr">
        <is>
          <t>AVOID</t>
        </is>
      </c>
    </row>
    <row r="472">
      <c r="A472" s="99" t="inlineStr">
        <is>
          <t>NAVA</t>
        </is>
      </c>
      <c r="B472" s="99" t="inlineStr">
        <is>
          <t>Nava Ltd.</t>
        </is>
      </c>
      <c r="C472" s="99" t="inlineStr">
        <is>
          <t>Power</t>
        </is>
      </c>
      <c r="D472" s="99" t="inlineStr">
        <is>
          <t>BSE Smallcap</t>
        </is>
      </c>
      <c r="E472" s="99" t="n">
        <v>554.8</v>
      </c>
      <c r="F472" s="99" t="n">
        <v>-0.14</v>
      </c>
      <c r="G472" s="99" t="n">
        <v>266730</v>
      </c>
      <c r="H472" s="99" t="n">
        <v>1.06</v>
      </c>
      <c r="I472" s="99" t="n">
        <v>15994</v>
      </c>
      <c r="J472" s="99" t="inlineStr">
        <is>
          <t>Y</t>
        </is>
      </c>
      <c r="K472" s="99" t="inlineStr">
        <is>
          <t>N</t>
        </is>
      </c>
      <c r="L472" s="99" t="inlineStr">
        <is>
          <t>N</t>
        </is>
      </c>
      <c r="M472" s="99" t="n">
        <v>19</v>
      </c>
      <c r="N472" s="99" t="inlineStr">
        <is>
          <t>N</t>
        </is>
      </c>
      <c r="O472" s="99" t="n">
        <v>15.32</v>
      </c>
      <c r="P472" s="99" t="inlineStr">
        <is>
          <t>N</t>
        </is>
      </c>
      <c r="Q472" s="99" t="inlineStr">
        <is>
          <t>N/A</t>
        </is>
      </c>
      <c r="R472" s="99" t="inlineStr">
        <is>
          <t>N</t>
        </is>
      </c>
      <c r="S472" s="99" t="n">
        <v>-8.4</v>
      </c>
      <c r="T472" s="99" t="n">
        <v>-16.3</v>
      </c>
      <c r="U472" s="99" t="inlineStr">
        <is>
          <t>N</t>
        </is>
      </c>
      <c r="V472" s="99" t="n">
        <v>20.3</v>
      </c>
      <c r="W472" s="99" t="n">
        <v>10.3</v>
      </c>
      <c r="X472" s="99" t="n">
        <v>20.68</v>
      </c>
      <c r="Y472" s="99" t="n">
        <v>-42.7</v>
      </c>
      <c r="Z472" s="99" t="n">
        <v>1</v>
      </c>
      <c r="AA472" s="94" t="inlineStr">
        <is>
          <t>AVOID</t>
        </is>
      </c>
    </row>
    <row r="473">
      <c r="A473" s="97" t="inlineStr">
        <is>
          <t>PATANJALI</t>
        </is>
      </c>
      <c r="B473" s="97" t="inlineStr">
        <is>
          <t>Patanjali Foods Ltd.</t>
        </is>
      </c>
      <c r="C473" s="97" t="inlineStr">
        <is>
          <t>Fast Moving Consumer Goods</t>
        </is>
      </c>
      <c r="D473" s="97" t="inlineStr">
        <is>
          <t>Large/Midcap</t>
        </is>
      </c>
      <c r="E473" s="97" t="n">
        <v>346.85</v>
      </c>
      <c r="F473" s="97" t="n">
        <v>1.73</v>
      </c>
      <c r="G473" s="97" t="n">
        <v>6854453</v>
      </c>
      <c r="H473" s="97" t="n">
        <v>1.6</v>
      </c>
      <c r="I473" s="97" t="n">
        <v>37733</v>
      </c>
      <c r="J473" s="97" t="inlineStr">
        <is>
          <t>Y</t>
        </is>
      </c>
      <c r="K473" s="97" t="inlineStr">
        <is>
          <t>N</t>
        </is>
      </c>
      <c r="L473" s="97" t="inlineStr">
        <is>
          <t>N</t>
        </is>
      </c>
      <c r="M473" s="97" t="n">
        <v>17.2</v>
      </c>
      <c r="N473" s="97" t="inlineStr">
        <is>
          <t>N</t>
        </is>
      </c>
      <c r="O473" s="97" t="n">
        <v>13.7</v>
      </c>
      <c r="P473" s="97" t="inlineStr">
        <is>
          <t>N</t>
        </is>
      </c>
      <c r="Q473" s="97" t="inlineStr">
        <is>
          <t>N/A</t>
        </is>
      </c>
      <c r="R473" s="97" t="inlineStr">
        <is>
          <t>N</t>
        </is>
      </c>
      <c r="S473" s="97" t="n">
        <v>-15.7</v>
      </c>
      <c r="T473" s="97" t="n">
        <v>-24.1</v>
      </c>
      <c r="U473" s="97" t="inlineStr">
        <is>
          <t>N</t>
        </is>
      </c>
      <c r="V473" s="97" t="n">
        <v>20.5</v>
      </c>
      <c r="W473" s="97" t="n">
        <v>14.8</v>
      </c>
      <c r="X473" s="97" t="n">
        <v>21.3</v>
      </c>
      <c r="Y473" s="97" t="n">
        <v>-11.7</v>
      </c>
      <c r="Z473" s="97" t="n">
        <v>1</v>
      </c>
      <c r="AA473" s="92" t="inlineStr">
        <is>
          <t>AVOID</t>
        </is>
      </c>
    </row>
    <row r="474">
      <c r="A474" s="99" t="inlineStr">
        <is>
          <t>RVNL</t>
        </is>
      </c>
      <c r="B474" s="99" t="inlineStr">
        <is>
          <t>Rail Vikas Nigam Ltd.</t>
        </is>
      </c>
      <c r="C474" s="99" t="inlineStr">
        <is>
          <t>Construction</t>
        </is>
      </c>
      <c r="D474" s="99" t="inlineStr">
        <is>
          <t>Large/Midcap</t>
        </is>
      </c>
      <c r="E474" s="99" t="n">
        <v>223.95</v>
      </c>
      <c r="F474" s="99" t="n">
        <v>-0.26</v>
      </c>
      <c r="G474" s="99" t="n">
        <v>3968892</v>
      </c>
      <c r="H474" s="99" t="n">
        <v>0.98</v>
      </c>
      <c r="I474" s="99" t="n">
        <v>46694</v>
      </c>
      <c r="J474" s="99" t="inlineStr">
        <is>
          <t>Y</t>
        </is>
      </c>
      <c r="K474" s="99" t="inlineStr">
        <is>
          <t>N</t>
        </is>
      </c>
      <c r="L474" s="99" t="inlineStr">
        <is>
          <t>N</t>
        </is>
      </c>
      <c r="M474" s="99" t="n">
        <v>35.6</v>
      </c>
      <c r="N474" s="99" t="inlineStr">
        <is>
          <t>N</t>
        </is>
      </c>
      <c r="O474" s="99" t="n">
        <v>5.23</v>
      </c>
      <c r="P474" s="99" t="inlineStr">
        <is>
          <t>N</t>
        </is>
      </c>
      <c r="Q474" s="99" t="inlineStr">
        <is>
          <t>N/A</t>
        </is>
      </c>
      <c r="R474" s="99" t="inlineStr">
        <is>
          <t>N</t>
        </is>
      </c>
      <c r="S474" s="99" t="n">
        <v>-6.8</v>
      </c>
      <c r="T474" s="99" t="n">
        <v>-24.4</v>
      </c>
      <c r="U474" s="99" t="inlineStr">
        <is>
          <t>N</t>
        </is>
      </c>
      <c r="V474" s="99" t="n">
        <v>53.4</v>
      </c>
      <c r="W474" s="99" t="n">
        <v>9</v>
      </c>
      <c r="X474" s="99" t="n">
        <v>49.08</v>
      </c>
      <c r="Y474" s="99" t="n">
        <v>-42.1</v>
      </c>
      <c r="Z474" s="99" t="n">
        <v>1</v>
      </c>
      <c r="AA474" s="94" t="inlineStr">
        <is>
          <t>AVOID</t>
        </is>
      </c>
    </row>
    <row r="475">
      <c r="A475" s="97" t="inlineStr">
        <is>
          <t>RPOWER</t>
        </is>
      </c>
      <c r="B475" s="97" t="inlineStr">
        <is>
          <t>Reliance Power Ltd.</t>
        </is>
      </c>
      <c r="C475" s="97" t="inlineStr">
        <is>
          <t>Power</t>
        </is>
      </c>
      <c r="D475" s="97" t="inlineStr">
        <is>
          <t>BSE Smallcap</t>
        </is>
      </c>
      <c r="E475" s="97" t="n">
        <v>23.76</v>
      </c>
      <c r="F475" s="97" t="n">
        <v>-1.25</v>
      </c>
      <c r="G475" s="97" t="n">
        <v>18164482</v>
      </c>
      <c r="H475" s="97" t="n">
        <v>0.99</v>
      </c>
      <c r="I475" s="97" t="n">
        <v>9827</v>
      </c>
      <c r="J475" s="97" t="inlineStr">
        <is>
          <t>Y</t>
        </is>
      </c>
      <c r="K475" s="97" t="inlineStr">
        <is>
          <t>N</t>
        </is>
      </c>
      <c r="L475" s="97" t="inlineStr">
        <is>
          <t>N</t>
        </is>
      </c>
      <c r="M475" s="97" t="n">
        <v>34.8</v>
      </c>
      <c r="N475" s="97" t="inlineStr">
        <is>
          <t>N</t>
        </is>
      </c>
      <c r="O475" s="97" t="n">
        <v>0.73</v>
      </c>
      <c r="P475" s="97" t="inlineStr">
        <is>
          <t>N</t>
        </is>
      </c>
      <c r="Q475" s="97" t="inlineStr">
        <is>
          <t>N/A</t>
        </is>
      </c>
      <c r="R475" s="97" t="inlineStr">
        <is>
          <t>N</t>
        </is>
      </c>
      <c r="S475" s="97" t="n">
        <v>-4.3</v>
      </c>
      <c r="T475" s="97" t="n">
        <v>-16.6</v>
      </c>
      <c r="U475" s="97" t="inlineStr">
        <is>
          <t>N</t>
        </is>
      </c>
      <c r="V475" s="97" t="inlineStr">
        <is>
          <t>N/A</t>
        </is>
      </c>
      <c r="W475" s="97" t="n">
        <v>-2.1</v>
      </c>
      <c r="X475" s="97" t="n">
        <v>92.34999999999999</v>
      </c>
      <c r="Y475" s="97" t="n">
        <v>-2067.3</v>
      </c>
      <c r="Z475" s="97" t="n">
        <v>1</v>
      </c>
      <c r="AA475" s="92" t="inlineStr">
        <is>
          <t>AVOID</t>
        </is>
      </c>
    </row>
    <row r="476">
      <c r="A476" s="99" t="inlineStr">
        <is>
          <t>SJVN</t>
        </is>
      </c>
      <c r="B476" s="99" t="inlineStr">
        <is>
          <t>SJVN Ltd.</t>
        </is>
      </c>
      <c r="C476" s="99" t="inlineStr">
        <is>
          <t>Power</t>
        </is>
      </c>
      <c r="D476" s="99" t="inlineStr">
        <is>
          <t>Large/Midcap</t>
        </is>
      </c>
      <c r="E476" s="99" t="n">
        <v>67.58</v>
      </c>
      <c r="F476" s="99" t="n">
        <v>-0.15</v>
      </c>
      <c r="G476" s="99" t="n">
        <v>1605432</v>
      </c>
      <c r="H476" s="99" t="n">
        <v>0.72</v>
      </c>
      <c r="I476" s="99" t="n">
        <v>26738</v>
      </c>
      <c r="J476" s="99" t="inlineStr">
        <is>
          <t>Y</t>
        </is>
      </c>
      <c r="K476" s="99" t="inlineStr">
        <is>
          <t>N</t>
        </is>
      </c>
      <c r="L476" s="99" t="inlineStr">
        <is>
          <t>N</t>
        </is>
      </c>
      <c r="M476" s="99" t="n">
        <v>15</v>
      </c>
      <c r="N476" s="99" t="inlineStr">
        <is>
          <t>N</t>
        </is>
      </c>
      <c r="O476" s="99" t="n">
        <v>1.14</v>
      </c>
      <c r="P476" s="99" t="inlineStr">
        <is>
          <t>N</t>
        </is>
      </c>
      <c r="Q476" s="99" t="inlineStr">
        <is>
          <t>N/A</t>
        </is>
      </c>
      <c r="R476" s="99" t="inlineStr">
        <is>
          <t>N</t>
        </is>
      </c>
      <c r="S476" s="99" t="n">
        <v>-6</v>
      </c>
      <c r="T476" s="99" t="n">
        <v>-15.8</v>
      </c>
      <c r="U476" s="99" t="inlineStr">
        <is>
          <t>N</t>
        </is>
      </c>
      <c r="V476" s="99" t="n">
        <v>41.7</v>
      </c>
      <c r="W476" s="99" t="n">
        <v>4.5</v>
      </c>
      <c r="X476" s="99" t="n">
        <v>226.53</v>
      </c>
      <c r="Y476" s="99" t="n">
        <v>-152.6</v>
      </c>
      <c r="Z476" s="99" t="n">
        <v>1</v>
      </c>
      <c r="AA476" s="94" t="inlineStr">
        <is>
          <t>AVOID</t>
        </is>
      </c>
    </row>
    <row r="477">
      <c r="A477" s="97" t="inlineStr">
        <is>
          <t>SOBHA</t>
        </is>
      </c>
      <c r="B477" s="97" t="inlineStr">
        <is>
          <t>Sobha Ltd.</t>
        </is>
      </c>
      <c r="C477" s="97" t="inlineStr">
        <is>
          <t>Realty</t>
        </is>
      </c>
      <c r="D477" s="97" t="inlineStr">
        <is>
          <t>BSE Smallcap</t>
        </is>
      </c>
      <c r="E477" s="97" t="n">
        <v>1362.3</v>
      </c>
      <c r="F477" s="97" t="n">
        <v>-1</v>
      </c>
      <c r="G477" s="97" t="n">
        <v>295336</v>
      </c>
      <c r="H477" s="97" t="n">
        <v>0.28</v>
      </c>
      <c r="I477" s="97" t="n">
        <v>14559</v>
      </c>
      <c r="J477" s="97" t="inlineStr">
        <is>
          <t>Y</t>
        </is>
      </c>
      <c r="K477" s="97" t="inlineStr">
        <is>
          <t>N</t>
        </is>
      </c>
      <c r="L477" s="97" t="inlineStr">
        <is>
          <t>N</t>
        </is>
      </c>
      <c r="M477" s="97" t="n">
        <v>31.5</v>
      </c>
      <c r="N477" s="97" t="inlineStr">
        <is>
          <t>N</t>
        </is>
      </c>
      <c r="O477" s="97" t="n">
        <v>51.53</v>
      </c>
      <c r="P477" s="97" t="inlineStr">
        <is>
          <t>N</t>
        </is>
      </c>
      <c r="Q477" s="97" t="inlineStr">
        <is>
          <t>N/A</t>
        </is>
      </c>
      <c r="R477" s="97" t="inlineStr">
        <is>
          <t>N</t>
        </is>
      </c>
      <c r="S477" s="97" t="n">
        <v>-2.6</v>
      </c>
      <c r="T477" s="97" t="n">
        <v>-5.2</v>
      </c>
      <c r="U477" s="97" t="inlineStr">
        <is>
          <t>N</t>
        </is>
      </c>
      <c r="V477" s="97" t="n">
        <v>63.3</v>
      </c>
      <c r="W477" s="97" t="inlineStr">
        <is>
          <t>N/A</t>
        </is>
      </c>
      <c r="X477" s="97" t="n">
        <v>24.62</v>
      </c>
      <c r="Y477" s="97" t="n">
        <v>-44.6</v>
      </c>
      <c r="Z477" s="97" t="n">
        <v>1</v>
      </c>
      <c r="AA477" s="92" t="inlineStr">
        <is>
          <t>AVOID</t>
        </is>
      </c>
    </row>
    <row r="478">
      <c r="A478" s="99" t="inlineStr">
        <is>
          <t>SUNTV</t>
        </is>
      </c>
      <c r="B478" s="99" t="inlineStr">
        <is>
          <t>Sun TV Network Ltd.</t>
        </is>
      </c>
      <c r="C478" s="99" t="inlineStr">
        <is>
          <t>Media Entertainment &amp; Publication</t>
        </is>
      </c>
      <c r="D478" s="99" t="inlineStr">
        <is>
          <t>BSE Smallcap</t>
        </is>
      </c>
      <c r="E478" s="99" t="n">
        <v>486.9</v>
      </c>
      <c r="F478" s="99" t="n">
        <v>-0.36</v>
      </c>
      <c r="G478" s="99" t="n">
        <v>136971</v>
      </c>
      <c r="H478" s="99" t="n">
        <v>1.71</v>
      </c>
      <c r="I478" s="99" t="n">
        <v>19259</v>
      </c>
      <c r="J478" s="99" t="inlineStr">
        <is>
          <t>Y</t>
        </is>
      </c>
      <c r="K478" s="99" t="inlineStr">
        <is>
          <t>N</t>
        </is>
      </c>
      <c r="L478" s="99" t="inlineStr">
        <is>
          <t>N</t>
        </is>
      </c>
      <c r="M478" s="99" t="n">
        <v>26.1</v>
      </c>
      <c r="N478" s="99" t="inlineStr">
        <is>
          <t>N</t>
        </is>
      </c>
      <c r="O478" s="99" t="n">
        <v>10.18</v>
      </c>
      <c r="P478" s="99" t="inlineStr">
        <is>
          <t>N</t>
        </is>
      </c>
      <c r="Q478" s="99" t="inlineStr">
        <is>
          <t>N/A</t>
        </is>
      </c>
      <c r="R478" s="99" t="inlineStr">
        <is>
          <t>N</t>
        </is>
      </c>
      <c r="S478" s="99" t="n">
        <v>-4.9</v>
      </c>
      <c r="T478" s="99" t="n">
        <v>-16.5</v>
      </c>
      <c r="U478" s="99" t="inlineStr">
        <is>
          <t>N</t>
        </is>
      </c>
      <c r="V478" s="99" t="n">
        <v>13.4</v>
      </c>
      <c r="W478" s="99" t="n">
        <v>11.8</v>
      </c>
      <c r="X478" s="99" t="n">
        <v>0.84</v>
      </c>
      <c r="Y478" s="99" t="n">
        <v>-28.4</v>
      </c>
      <c r="Z478" s="99" t="n">
        <v>1</v>
      </c>
      <c r="AA478" s="94" t="inlineStr">
        <is>
          <t>AVOID</t>
        </is>
      </c>
    </row>
    <row r="479">
      <c r="A479" s="97" t="inlineStr">
        <is>
          <t>TATACHEM</t>
        </is>
      </c>
      <c r="B479" s="97" t="inlineStr">
        <is>
          <t>Tata Chemicals Ltd.</t>
        </is>
      </c>
      <c r="C479" s="97" t="inlineStr">
        <is>
          <t>Chemicals</t>
        </is>
      </c>
      <c r="D479" s="97" t="inlineStr">
        <is>
          <t>BSE Smallcap</t>
        </is>
      </c>
      <c r="E479" s="97" t="n">
        <v>685.35</v>
      </c>
      <c r="F479" s="97" t="n">
        <v>0.88</v>
      </c>
      <c r="G479" s="97" t="n">
        <v>264678</v>
      </c>
      <c r="H479" s="97" t="n">
        <v>0.79</v>
      </c>
      <c r="I479" s="97" t="n">
        <v>17805</v>
      </c>
      <c r="J479" s="97" t="inlineStr">
        <is>
          <t>Y</t>
        </is>
      </c>
      <c r="K479" s="97" t="inlineStr">
        <is>
          <t>N</t>
        </is>
      </c>
      <c r="L479" s="97" t="inlineStr">
        <is>
          <t>N</t>
        </is>
      </c>
      <c r="M479" s="97" t="n">
        <v>44.5</v>
      </c>
      <c r="N479" s="97" t="inlineStr">
        <is>
          <t>N</t>
        </is>
      </c>
      <c r="O479" s="97" t="n">
        <v>15.04</v>
      </c>
      <c r="P479" s="97" t="inlineStr">
        <is>
          <t>N</t>
        </is>
      </c>
      <c r="Q479" s="97" t="inlineStr">
        <is>
          <t>N/A</t>
        </is>
      </c>
      <c r="R479" s="97" t="inlineStr">
        <is>
          <t>N</t>
        </is>
      </c>
      <c r="S479" s="97" t="n">
        <v>-7.9</v>
      </c>
      <c r="T479" s="97" t="n">
        <v>-12.6</v>
      </c>
      <c r="U479" s="97" t="inlineStr">
        <is>
          <t>N</t>
        </is>
      </c>
      <c r="V479" s="97" t="inlineStr">
        <is>
          <t>N/A</t>
        </is>
      </c>
      <c r="W479" s="97" t="n">
        <v>-7.7</v>
      </c>
      <c r="X479" s="97" t="n">
        <v>36.08</v>
      </c>
      <c r="Y479" s="97" t="n">
        <v>-2192.5</v>
      </c>
      <c r="Z479" s="97" t="n">
        <v>1</v>
      </c>
      <c r="AA479" s="92" t="inlineStr">
        <is>
          <t>AVOID</t>
        </is>
      </c>
    </row>
    <row r="480">
      <c r="A480" s="99" t="inlineStr">
        <is>
          <t>TATAINVEST</t>
        </is>
      </c>
      <c r="B480" s="99" t="inlineStr">
        <is>
          <t>Tata Investment Corporation Ltd.</t>
        </is>
      </c>
      <c r="C480" s="99" t="inlineStr">
        <is>
          <t>Financial Services</t>
        </is>
      </c>
      <c r="D480" s="99" t="inlineStr">
        <is>
          <t>BSE Smallcap</t>
        </is>
      </c>
      <c r="E480" s="99" t="n">
        <v>630.75</v>
      </c>
      <c r="F480" s="99" t="n">
        <v>-0.23</v>
      </c>
      <c r="G480" s="99" t="n">
        <v>141003</v>
      </c>
      <c r="H480" s="99" t="n">
        <v>0.9</v>
      </c>
      <c r="I480" s="99" t="n">
        <v>32884</v>
      </c>
      <c r="J480" s="99" t="inlineStr">
        <is>
          <t>Y</t>
        </is>
      </c>
      <c r="K480" s="99" t="inlineStr">
        <is>
          <t>N</t>
        </is>
      </c>
      <c r="L480" s="99" t="inlineStr">
        <is>
          <t>N</t>
        </is>
      </c>
      <c r="M480" s="99" t="n">
        <v>34.8</v>
      </c>
      <c r="N480" s="99" t="inlineStr">
        <is>
          <t>N</t>
        </is>
      </c>
      <c r="O480" s="99" t="n">
        <v>14.88</v>
      </c>
      <c r="P480" s="99" t="inlineStr">
        <is>
          <t>N</t>
        </is>
      </c>
      <c r="Q480" s="99" t="inlineStr">
        <is>
          <t>N/A</t>
        </is>
      </c>
      <c r="R480" s="99" t="inlineStr">
        <is>
          <t>N</t>
        </is>
      </c>
      <c r="S480" s="99" t="n">
        <v>-6.8</v>
      </c>
      <c r="T480" s="99" t="n">
        <v>-11.2</v>
      </c>
      <c r="U480" s="99" t="inlineStr">
        <is>
          <t>N</t>
        </is>
      </c>
      <c r="V480" s="99" t="n">
        <v>75.8</v>
      </c>
      <c r="W480" s="99" t="n">
        <v>1.4</v>
      </c>
      <c r="X480" s="99" t="n">
        <v>0.01</v>
      </c>
      <c r="Y480" s="99" t="n">
        <v>-15.3</v>
      </c>
      <c r="Z480" s="99" t="n">
        <v>1</v>
      </c>
      <c r="AA480" s="94" t="inlineStr">
        <is>
          <t>AVOID</t>
        </is>
      </c>
    </row>
    <row r="481">
      <c r="A481" s="97" t="inlineStr">
        <is>
          <t>TTML</t>
        </is>
      </c>
      <c r="B481" s="97" t="inlineStr">
        <is>
          <t>Tata Teleservices (Maharashtra) Ltd.</t>
        </is>
      </c>
      <c r="C481" s="97" t="inlineStr">
        <is>
          <t>Telecommunication</t>
        </is>
      </c>
      <c r="D481" s="97" t="inlineStr">
        <is>
          <t>NSE Smallcap</t>
        </is>
      </c>
      <c r="E481" s="97" t="n">
        <v>39.48</v>
      </c>
      <c r="F481" s="97" t="n">
        <v>0.25</v>
      </c>
      <c r="G481" s="97" t="n">
        <v>1352435</v>
      </c>
      <c r="H481" s="97" t="n">
        <v>0.21</v>
      </c>
      <c r="I481" s="97" t="n">
        <v>7718</v>
      </c>
      <c r="J481" s="97" t="inlineStr">
        <is>
          <t>Y</t>
        </is>
      </c>
      <c r="K481" s="97" t="inlineStr">
        <is>
          <t>N</t>
        </is>
      </c>
      <c r="L481" s="97" t="inlineStr">
        <is>
          <t>N</t>
        </is>
      </c>
      <c r="M481" s="97" t="n">
        <v>29.9</v>
      </c>
      <c r="N481" s="97" t="inlineStr">
        <is>
          <t>N</t>
        </is>
      </c>
      <c r="O481" s="97" t="n">
        <v>1.36</v>
      </c>
      <c r="P481" s="97" t="inlineStr">
        <is>
          <t>N</t>
        </is>
      </c>
      <c r="Q481" s="97" t="inlineStr">
        <is>
          <t>N/A</t>
        </is>
      </c>
      <c r="R481" s="97" t="inlineStr">
        <is>
          <t>N</t>
        </is>
      </c>
      <c r="S481" s="97" t="n">
        <v>-7.5</v>
      </c>
      <c r="T481" s="97" t="n">
        <v>-7.6</v>
      </c>
      <c r="U481" s="97" t="inlineStr">
        <is>
          <t>N</t>
        </is>
      </c>
      <c r="V481" s="97" t="n">
        <v>207.8</v>
      </c>
      <c r="W481" s="97" t="inlineStr">
        <is>
          <t>N/A</t>
        </is>
      </c>
      <c r="X481" s="97" t="inlineStr">
        <is>
          <t>N/A</t>
        </is>
      </c>
      <c r="Y481" s="97" t="n">
        <v>-112.4</v>
      </c>
      <c r="Z481" s="97" t="n">
        <v>1</v>
      </c>
      <c r="AA481" s="92" t="inlineStr">
        <is>
          <t>AVOID</t>
        </is>
      </c>
    </row>
    <row r="482">
      <c r="A482" s="99" t="inlineStr">
        <is>
          <t>TECHNOE</t>
        </is>
      </c>
      <c r="B482" s="99" t="inlineStr">
        <is>
          <t>Techno Electric &amp; Engineering Company Ltd.</t>
        </is>
      </c>
      <c r="C482" s="99" t="inlineStr">
        <is>
          <t>Construction</t>
        </is>
      </c>
      <c r="D482" s="99" t="inlineStr">
        <is>
          <t>BSE Smallcap</t>
        </is>
      </c>
      <c r="E482" s="99" t="n">
        <v>991.8</v>
      </c>
      <c r="F482" s="99" t="n">
        <v>-0.34</v>
      </c>
      <c r="G482" s="99" t="n">
        <v>102586</v>
      </c>
      <c r="H482" s="99" t="n">
        <v>0.85</v>
      </c>
      <c r="I482" s="99" t="n">
        <v>11597</v>
      </c>
      <c r="J482" s="99" t="inlineStr">
        <is>
          <t>Y</t>
        </is>
      </c>
      <c r="K482" s="99" t="inlineStr">
        <is>
          <t>N</t>
        </is>
      </c>
      <c r="L482" s="99" t="inlineStr">
        <is>
          <t>N</t>
        </is>
      </c>
      <c r="M482" s="99" t="n">
        <v>25.2</v>
      </c>
      <c r="N482" s="99" t="inlineStr">
        <is>
          <t>N</t>
        </is>
      </c>
      <c r="O482" s="99" t="n">
        <v>24.42</v>
      </c>
      <c r="P482" s="99" t="inlineStr">
        <is>
          <t>N</t>
        </is>
      </c>
      <c r="Q482" s="99" t="inlineStr">
        <is>
          <t>N/A</t>
        </is>
      </c>
      <c r="R482" s="99" t="inlineStr">
        <is>
          <t>N</t>
        </is>
      </c>
      <c r="S482" s="99" t="n">
        <v>-8.5</v>
      </c>
      <c r="T482" s="99" t="n">
        <v>-23.2</v>
      </c>
      <c r="U482" s="99" t="inlineStr">
        <is>
          <t>N</t>
        </is>
      </c>
      <c r="V482" s="99" t="n">
        <v>25.8</v>
      </c>
      <c r="W482" s="99" t="n">
        <v>11.4</v>
      </c>
      <c r="X482" s="99" t="n">
        <v>1.74</v>
      </c>
      <c r="Y482" s="99" t="inlineStr">
        <is>
          <t>N/A</t>
        </is>
      </c>
      <c r="Z482" s="99" t="n">
        <v>1</v>
      </c>
      <c r="AA482" s="94" t="inlineStr">
        <is>
          <t>AVOID</t>
        </is>
      </c>
    </row>
    <row r="483">
      <c r="A483" s="97" t="inlineStr">
        <is>
          <t>TATASTEEL</t>
        </is>
      </c>
      <c r="B483" s="97" t="inlineStr">
        <is>
          <t>Tata Steel Ltd.</t>
        </is>
      </c>
      <c r="C483" s="97" t="inlineStr">
        <is>
          <t>Metals &amp; Mining</t>
        </is>
      </c>
      <c r="D483" s="97" t="inlineStr">
        <is>
          <t>Large/Midcap</t>
        </is>
      </c>
      <c r="E483" s="97" t="n">
        <v>184.25</v>
      </c>
      <c r="F483" s="97" t="n">
        <v>0.86</v>
      </c>
      <c r="G483" s="97" t="n">
        <v>11857396</v>
      </c>
      <c r="H483" s="97" t="n">
        <v>0.67</v>
      </c>
      <c r="I483" s="97" t="n">
        <v>229794</v>
      </c>
      <c r="J483" s="97" t="inlineStr">
        <is>
          <t>Y</t>
        </is>
      </c>
      <c r="K483" s="97" t="inlineStr">
        <is>
          <t>N</t>
        </is>
      </c>
      <c r="L483" s="97" t="inlineStr">
        <is>
          <t>N</t>
        </is>
      </c>
      <c r="M483" s="97" t="n">
        <v>37.1</v>
      </c>
      <c r="N483" s="97" t="inlineStr">
        <is>
          <t>N</t>
        </is>
      </c>
      <c r="O483" s="97" t="n">
        <v>3.36</v>
      </c>
      <c r="P483" s="97" t="inlineStr">
        <is>
          <t>N</t>
        </is>
      </c>
      <c r="Q483" s="97" t="inlineStr">
        <is>
          <t>N/A</t>
        </is>
      </c>
      <c r="R483" s="97" t="inlineStr">
        <is>
          <t>N</t>
        </is>
      </c>
      <c r="S483" s="97" t="n">
        <v>-2.1</v>
      </c>
      <c r="T483" s="97" t="n">
        <v>-10.6</v>
      </c>
      <c r="U483" s="97" t="inlineStr">
        <is>
          <t>N</t>
        </is>
      </c>
      <c r="V483" s="97" t="n">
        <v>21.1</v>
      </c>
      <c r="W483" s="97" t="n">
        <v>11.2</v>
      </c>
      <c r="X483" s="97" t="n">
        <v>89.02</v>
      </c>
      <c r="Y483" s="97" t="inlineStr">
        <is>
          <t>N/A</t>
        </is>
      </c>
      <c r="Z483" s="97" t="n">
        <v>1</v>
      </c>
      <c r="AA483" s="92" t="inlineStr">
        <is>
          <t>AVOID</t>
        </is>
      </c>
    </row>
    <row r="484">
      <c r="A484" s="99" t="inlineStr">
        <is>
          <t>TARIL</t>
        </is>
      </c>
      <c r="B484" s="99" t="inlineStr">
        <is>
          <t>Transformers And Rectifiers (India) Ltd.</t>
        </is>
      </c>
      <c r="C484" s="99" t="inlineStr">
        <is>
          <t>Capital Goods</t>
        </is>
      </c>
      <c r="D484" s="99" t="inlineStr">
        <is>
          <t>BSE Smallcap</t>
        </is>
      </c>
      <c r="E484" s="99" t="n">
        <v>295</v>
      </c>
      <c r="F484" s="99" t="n">
        <v>0.44</v>
      </c>
      <c r="G484" s="99" t="n">
        <v>2073057</v>
      </c>
      <c r="H484" s="99" t="n">
        <v>0.62</v>
      </c>
      <c r="I484" s="99" t="n">
        <v>9080</v>
      </c>
      <c r="J484" s="99" t="inlineStr">
        <is>
          <t>Y</t>
        </is>
      </c>
      <c r="K484" s="99" t="inlineStr">
        <is>
          <t>N</t>
        </is>
      </c>
      <c r="L484" s="99" t="inlineStr">
        <is>
          <t>N</t>
        </is>
      </c>
      <c r="M484" s="99" t="n">
        <v>27.2</v>
      </c>
      <c r="N484" s="99" t="inlineStr">
        <is>
          <t>N</t>
        </is>
      </c>
      <c r="O484" s="99" t="n">
        <v>13.12</v>
      </c>
      <c r="P484" s="99" t="inlineStr">
        <is>
          <t>N</t>
        </is>
      </c>
      <c r="Q484" s="99" t="inlineStr">
        <is>
          <t>N/A</t>
        </is>
      </c>
      <c r="R484" s="99" t="inlineStr">
        <is>
          <t>N</t>
        </is>
      </c>
      <c r="S484" s="99" t="n">
        <v>-11.5</v>
      </c>
      <c r="T484" s="99" t="n">
        <v>-8.4</v>
      </c>
      <c r="U484" s="99" t="inlineStr">
        <is>
          <t>N</t>
        </is>
      </c>
      <c r="V484" s="99" t="n">
        <v>35.1</v>
      </c>
      <c r="W484" s="99" t="inlineStr">
        <is>
          <t>N/A</t>
        </is>
      </c>
      <c r="X484" s="99" t="n">
        <v>29.59</v>
      </c>
      <c r="Y484" s="99" t="n">
        <v>-31.1</v>
      </c>
      <c r="Z484" s="99" t="n">
        <v>1</v>
      </c>
      <c r="AA484" s="94" t="inlineStr">
        <is>
          <t>AVOID</t>
        </is>
      </c>
    </row>
    <row r="485">
      <c r="A485" s="97" t="inlineStr">
        <is>
          <t>ZFCVINDIA</t>
        </is>
      </c>
      <c r="B485" s="97" t="inlineStr">
        <is>
          <t>ZF Commercial Vehicle Control Systems India Ltd.</t>
        </is>
      </c>
      <c r="C485" s="97" t="inlineStr">
        <is>
          <t>Automobile and Auto Components</t>
        </is>
      </c>
      <c r="D485" s="97" t="inlineStr">
        <is>
          <t>BSE Smallcap</t>
        </is>
      </c>
      <c r="E485" s="97" t="n">
        <v>2299.1</v>
      </c>
      <c r="F485" s="97" t="n">
        <v>-0.93</v>
      </c>
      <c r="G485" s="97" t="n">
        <v>160091</v>
      </c>
      <c r="H485" s="97" t="n">
        <v>0.68</v>
      </c>
      <c r="I485" s="97" t="n">
        <v>26165</v>
      </c>
      <c r="J485" s="97" t="inlineStr">
        <is>
          <t>Y</t>
        </is>
      </c>
      <c r="K485" s="97" t="inlineStr">
        <is>
          <t>N</t>
        </is>
      </c>
      <c r="L485" s="97" t="inlineStr">
        <is>
          <t>N</t>
        </is>
      </c>
      <c r="M485" s="97" t="n">
        <v>42.3</v>
      </c>
      <c r="N485" s="97" t="inlineStr">
        <is>
          <t>N</t>
        </is>
      </c>
      <c r="O485" s="97" t="n">
        <v>90.56</v>
      </c>
      <c r="P485" s="97" t="inlineStr">
        <is>
          <t>N</t>
        </is>
      </c>
      <c r="Q485" s="97" t="inlineStr">
        <is>
          <t>N/A</t>
        </is>
      </c>
      <c r="R485" s="97" t="inlineStr">
        <is>
          <t>N</t>
        </is>
      </c>
      <c r="S485" s="97" t="n">
        <v>-11.7</v>
      </c>
      <c r="T485" s="97" t="n">
        <v>-5.6</v>
      </c>
      <c r="U485" s="97" t="inlineStr">
        <is>
          <t>N</t>
        </is>
      </c>
      <c r="V485" s="97" t="n">
        <v>2.6</v>
      </c>
      <c r="W485" s="97" t="inlineStr">
        <is>
          <t>N/A</t>
        </is>
      </c>
      <c r="X485" s="97" t="inlineStr">
        <is>
          <t>N/A</t>
        </is>
      </c>
      <c r="Y485" s="97" t="n">
        <v>-28.6</v>
      </c>
      <c r="Z485" s="97" t="n">
        <v>1</v>
      </c>
      <c r="AA485" s="92" t="inlineStr">
        <is>
          <t>AVOID</t>
        </is>
      </c>
    </row>
    <row r="486">
      <c r="A486" s="99" t="inlineStr">
        <is>
          <t>MEDPLUS</t>
        </is>
      </c>
      <c r="B486" s="99" t="inlineStr">
        <is>
          <t>Medplus Health Services Limite</t>
        </is>
      </c>
      <c r="C486" s="99" t="n"/>
      <c r="D486" s="99" t="inlineStr">
        <is>
          <t>BSE Smallcap</t>
        </is>
      </c>
      <c r="E486" s="99" t="n">
        <v>720.55</v>
      </c>
      <c r="F486" s="99" t="n">
        <v>0.75</v>
      </c>
      <c r="G486" s="99" t="n">
        <v>176996</v>
      </c>
      <c r="H486" s="99" t="n">
        <v>0.15</v>
      </c>
      <c r="I486" s="99" t="n">
        <v>8609</v>
      </c>
      <c r="J486" s="99" t="inlineStr">
        <is>
          <t>Y</t>
        </is>
      </c>
      <c r="K486" s="99" t="inlineStr">
        <is>
          <t>N</t>
        </is>
      </c>
      <c r="L486" s="99" t="inlineStr">
        <is>
          <t>N</t>
        </is>
      </c>
      <c r="M486" s="99" t="n">
        <v>22.7</v>
      </c>
      <c r="N486" s="99" t="inlineStr">
        <is>
          <t>N</t>
        </is>
      </c>
      <c r="O486" s="99" t="n">
        <v>26.55</v>
      </c>
      <c r="P486" s="99" t="inlineStr">
        <is>
          <t>N</t>
        </is>
      </c>
      <c r="Q486" s="99" t="inlineStr">
        <is>
          <t>N/A</t>
        </is>
      </c>
      <c r="R486" s="99" t="inlineStr">
        <is>
          <t>N</t>
        </is>
      </c>
      <c r="S486" s="99" t="n">
        <v>-13.5</v>
      </c>
      <c r="T486" s="99" t="n">
        <v>-17.3</v>
      </c>
      <c r="U486" s="99" t="inlineStr">
        <is>
          <t>N</t>
        </is>
      </c>
      <c r="V486" s="99" t="n">
        <v>40.9</v>
      </c>
      <c r="W486" s="99" t="inlineStr">
        <is>
          <t>N/A</t>
        </is>
      </c>
      <c r="X486" s="99" t="n">
        <v>72.13</v>
      </c>
      <c r="Y486" s="99" t="n">
        <v>-48.1</v>
      </c>
      <c r="Z486" s="99" t="n">
        <v>1</v>
      </c>
      <c r="AA486" s="94" t="inlineStr">
        <is>
          <t>AVOID</t>
        </is>
      </c>
    </row>
    <row r="487">
      <c r="A487" s="97" t="inlineStr">
        <is>
          <t>KANSAINER</t>
        </is>
      </c>
      <c r="B487" s="97" t="inlineStr">
        <is>
          <t>KANSAI NEROLAC PAINTS LTD.</t>
        </is>
      </c>
      <c r="C487" s="97" t="n"/>
      <c r="D487" s="97" t="inlineStr">
        <is>
          <t>BSE Smallcap</t>
        </is>
      </c>
      <c r="E487" s="97" t="n">
        <v>193.19</v>
      </c>
      <c r="F487" s="97" t="n">
        <v>-0.53</v>
      </c>
      <c r="G487" s="97" t="n">
        <v>250885</v>
      </c>
      <c r="H487" s="97" t="n">
        <v>1.65</v>
      </c>
      <c r="I487" s="97" t="n">
        <v>16489</v>
      </c>
      <c r="J487" s="97" t="inlineStr">
        <is>
          <t>Y</t>
        </is>
      </c>
      <c r="K487" s="97" t="inlineStr">
        <is>
          <t>N</t>
        </is>
      </c>
      <c r="L487" s="97" t="inlineStr">
        <is>
          <t>N</t>
        </is>
      </c>
      <c r="M487" s="97" t="n">
        <v>25.1</v>
      </c>
      <c r="N487" s="97" t="inlineStr">
        <is>
          <t>N</t>
        </is>
      </c>
      <c r="O487" s="97" t="n">
        <v>5.06</v>
      </c>
      <c r="P487" s="97" t="inlineStr">
        <is>
          <t>N</t>
        </is>
      </c>
      <c r="Q487" s="97" t="inlineStr">
        <is>
          <t>N/A</t>
        </is>
      </c>
      <c r="R487" s="97" t="inlineStr">
        <is>
          <t>N</t>
        </is>
      </c>
      <c r="S487" s="97" t="n">
        <v>-7.7</v>
      </c>
      <c r="T487" s="97" t="n">
        <v>-1.6</v>
      </c>
      <c r="U487" s="97" t="inlineStr">
        <is>
          <t>N</t>
        </is>
      </c>
      <c r="V487" s="97" t="n">
        <v>28</v>
      </c>
      <c r="W487" s="97" t="n">
        <v>8.800000000000001</v>
      </c>
      <c r="X487" s="97" t="n">
        <v>4.53</v>
      </c>
      <c r="Y487" s="97" t="n">
        <v>-7.5</v>
      </c>
      <c r="Z487" s="97" t="n">
        <v>1</v>
      </c>
      <c r="AA487" s="92" t="inlineStr">
        <is>
          <t>AVOID</t>
        </is>
      </c>
    </row>
    <row r="488">
      <c r="A488" s="99" t="inlineStr">
        <is>
          <t>MANYAVAR</t>
        </is>
      </c>
      <c r="B488" s="99" t="inlineStr">
        <is>
          <t>Vedant Fashions Limited</t>
        </is>
      </c>
      <c r="C488" s="99" t="n"/>
      <c r="D488" s="99" t="inlineStr">
        <is>
          <t>BSE Smallcap</t>
        </is>
      </c>
      <c r="E488" s="99" t="n">
        <v>402.3</v>
      </c>
      <c r="F488" s="99" t="n">
        <v>0.04</v>
      </c>
      <c r="G488" s="99" t="n">
        <v>99319</v>
      </c>
      <c r="H488" s="99" t="n">
        <v>0.25</v>
      </c>
      <c r="I488" s="99" t="n">
        <v>9969</v>
      </c>
      <c r="J488" s="99" t="inlineStr">
        <is>
          <t>Y</t>
        </is>
      </c>
      <c r="K488" s="99" t="inlineStr">
        <is>
          <t>N</t>
        </is>
      </c>
      <c r="L488" s="99" t="inlineStr">
        <is>
          <t>N</t>
        </is>
      </c>
      <c r="M488" s="99" t="n">
        <v>49.9</v>
      </c>
      <c r="N488" s="99" t="inlineStr">
        <is>
          <t>N</t>
        </is>
      </c>
      <c r="O488" s="99" t="n">
        <v>12.36</v>
      </c>
      <c r="P488" s="99" t="inlineStr">
        <is>
          <t>N</t>
        </is>
      </c>
      <c r="Q488" s="99" t="inlineStr">
        <is>
          <t>N/A</t>
        </is>
      </c>
      <c r="R488" s="99" t="inlineStr">
        <is>
          <t>N</t>
        </is>
      </c>
      <c r="S488" s="99" t="n">
        <v>-2.2</v>
      </c>
      <c r="T488" s="99" t="n">
        <v>-8</v>
      </c>
      <c r="U488" s="99" t="inlineStr">
        <is>
          <t>N</t>
        </is>
      </c>
      <c r="V488" s="99" t="n">
        <v>26.6</v>
      </c>
      <c r="W488" s="99" t="inlineStr">
        <is>
          <t>N/A</t>
        </is>
      </c>
      <c r="X488" s="99" t="n">
        <v>23.3</v>
      </c>
      <c r="Y488" s="99" t="n">
        <v>-15.3</v>
      </c>
      <c r="Z488" s="99" t="n">
        <v>1</v>
      </c>
      <c r="AA488" s="94" t="inlineStr">
        <is>
          <t>AVOID</t>
        </is>
      </c>
    </row>
    <row r="489">
      <c r="A489" s="97" t="inlineStr">
        <is>
          <t>GSFC</t>
        </is>
      </c>
      <c r="B489" s="97" t="inlineStr">
        <is>
          <t>GUJARAT STATE FERTILIZERS &amp; CH</t>
        </is>
      </c>
      <c r="C489" s="97" t="n"/>
      <c r="D489" s="97" t="inlineStr">
        <is>
          <t>BSE Smallcap</t>
        </is>
      </c>
      <c r="E489" s="97" t="n">
        <v>154.56</v>
      </c>
      <c r="F489" s="97" t="n">
        <v>-0.03</v>
      </c>
      <c r="G489" s="97" t="n">
        <v>482121</v>
      </c>
      <c r="H489" s="97" t="n">
        <v>1.15</v>
      </c>
      <c r="I489" s="97" t="n">
        <v>6379</v>
      </c>
      <c r="J489" s="97" t="inlineStr">
        <is>
          <t>Y</t>
        </is>
      </c>
      <c r="K489" s="97" t="inlineStr">
        <is>
          <t>N</t>
        </is>
      </c>
      <c r="L489" s="97" t="inlineStr">
        <is>
          <t>N</t>
        </is>
      </c>
      <c r="M489" s="97" t="n">
        <v>26.8</v>
      </c>
      <c r="N489" s="97" t="inlineStr">
        <is>
          <t>N</t>
        </is>
      </c>
      <c r="O489" s="97" t="n">
        <v>2.79</v>
      </c>
      <c r="P489" s="97" t="inlineStr">
        <is>
          <t>N</t>
        </is>
      </c>
      <c r="Q489" s="97" t="inlineStr">
        <is>
          <t>N/A</t>
        </is>
      </c>
      <c r="R489" s="97" t="inlineStr">
        <is>
          <t>N</t>
        </is>
      </c>
      <c r="S489" s="97" t="n">
        <v>-5</v>
      </c>
      <c r="T489" s="97" t="n">
        <v>-10</v>
      </c>
      <c r="U489" s="97" t="inlineStr">
        <is>
          <t>N</t>
        </is>
      </c>
      <c r="V489" s="97" t="n">
        <v>9.5</v>
      </c>
      <c r="W489" s="97" t="n">
        <v>5.5</v>
      </c>
      <c r="X489" s="97" t="n">
        <v>0.22</v>
      </c>
      <c r="Y489" s="97" t="n">
        <v>-67</v>
      </c>
      <c r="Z489" s="97" t="n">
        <v>1</v>
      </c>
      <c r="AA489" s="92" t="inlineStr">
        <is>
          <t>AVOID</t>
        </is>
      </c>
    </row>
    <row r="491">
      <c r="A491" s="89" t="inlineStr">
        <is>
          <t>EARLY MOMENTUM WATCHLIST (RSI 40-50) — 139 stocks turning up, not yet extended</t>
        </is>
      </c>
    </row>
    <row r="492" ht="32" customHeight="1" s="45">
      <c r="A492" s="90" t="inlineStr">
        <is>
          <t>Symbol</t>
        </is>
      </c>
      <c r="B492" s="90" t="inlineStr">
        <is>
          <t>Name</t>
        </is>
      </c>
      <c r="C492" s="90" t="inlineStr">
        <is>
          <t>Sector</t>
        </is>
      </c>
      <c r="D492" s="90" t="inlineStr">
        <is>
          <t>Cap Segment</t>
        </is>
      </c>
      <c r="E492" s="90" t="inlineStr">
        <is>
          <t>Close</t>
        </is>
      </c>
      <c r="F492" s="90" t="inlineStr">
        <is>
          <t>% Chg</t>
        </is>
      </c>
      <c r="G492" s="90" t="inlineStr">
        <is>
          <t>Volume</t>
        </is>
      </c>
      <c r="H492" s="90" t="inlineStr">
        <is>
          <t>Vol Ratio (vs 3d avg)</t>
        </is>
      </c>
      <c r="I492" s="90" t="inlineStr">
        <is>
          <t>Mkt Cap (Cr)</t>
        </is>
      </c>
      <c r="J492" s="90" t="inlineStr">
        <is>
          <t>Liquidity OK?</t>
        </is>
      </c>
      <c r="K492" s="90" t="inlineStr">
        <is>
          <t>Above 50DMA?</t>
        </is>
      </c>
      <c r="L492" s="90" t="inlineStr">
        <is>
          <t>Above 200DMA?</t>
        </is>
      </c>
      <c r="M492" s="90" t="inlineStr">
        <is>
          <t>RSI(14)</t>
        </is>
      </c>
      <c r="N492" s="90" t="inlineStr">
        <is>
          <t>RSI Healthy?</t>
        </is>
      </c>
      <c r="O492" s="90" t="inlineStr">
        <is>
          <t>ATR(14)</t>
        </is>
      </c>
      <c r="P492" s="90" t="inlineStr">
        <is>
          <t>Vol Spike?</t>
        </is>
      </c>
      <c r="Q492" s="90" t="inlineStr">
        <is>
          <t>% Down from 52wH</t>
        </is>
      </c>
      <c r="R492" s="90" t="inlineStr">
        <is>
          <t>Near 52wH?</t>
        </is>
      </c>
      <c r="S492" s="90" t="inlineStr">
        <is>
          <t>RS vs Nifty 1M %</t>
        </is>
      </c>
      <c r="T492" s="90" t="inlineStr">
        <is>
          <t>RS vs Nifty 3M %</t>
        </is>
      </c>
      <c r="U492" s="90" t="inlineStr">
        <is>
          <t>RS Positive?</t>
        </is>
      </c>
      <c r="V492" s="90" t="inlineStr">
        <is>
          <t>P/E</t>
        </is>
      </c>
      <c r="W492" s="90" t="inlineStr">
        <is>
          <t>ROE %</t>
        </is>
      </c>
      <c r="X492" s="90" t="inlineStr">
        <is>
          <t>Debt/Equity</t>
        </is>
      </c>
      <c r="Y492" s="90" t="inlineStr">
        <is>
          <t>QoQ Profit Gr %</t>
        </is>
      </c>
      <c r="Z492" s="90" t="inlineStr">
        <is>
          <t>Score (0-9)</t>
        </is>
      </c>
      <c r="AA492" s="90" t="inlineStr">
        <is>
          <t>Verdict</t>
        </is>
      </c>
    </row>
    <row r="493">
      <c r="A493" s="97" t="inlineStr">
        <is>
          <t>AEGISLOG</t>
        </is>
      </c>
      <c r="B493" s="97" t="inlineStr">
        <is>
          <t>Aegis Logistics Ltd.</t>
        </is>
      </c>
      <c r="C493" s="97" t="inlineStr">
        <is>
          <t>Oil Gas &amp; Consumable Fuels</t>
        </is>
      </c>
      <c r="D493" s="97" t="inlineStr">
        <is>
          <t>BSE Smallcap</t>
        </is>
      </c>
      <c r="E493" s="97" t="n">
        <v>1291.3</v>
      </c>
      <c r="F493" s="97" t="n">
        <v>-4.32</v>
      </c>
      <c r="G493" s="97" t="n">
        <v>1130343</v>
      </c>
      <c r="H493" s="97" t="n">
        <v>0.77</v>
      </c>
      <c r="I493" s="97" t="n">
        <v>45325</v>
      </c>
      <c r="J493" s="97" t="inlineStr">
        <is>
          <t>Y</t>
        </is>
      </c>
      <c r="K493" s="97" t="inlineStr">
        <is>
          <t>Y</t>
        </is>
      </c>
      <c r="L493" s="97" t="inlineStr">
        <is>
          <t>Y</t>
        </is>
      </c>
      <c r="M493" s="97" t="n">
        <v>43.9</v>
      </c>
      <c r="N493" s="97" t="inlineStr">
        <is>
          <t>N</t>
        </is>
      </c>
      <c r="O493" s="97" t="n">
        <v>90.12</v>
      </c>
      <c r="P493" s="97" t="inlineStr">
        <is>
          <t>N</t>
        </is>
      </c>
      <c r="Q493" s="97" t="inlineStr">
        <is>
          <t>N/A</t>
        </is>
      </c>
      <c r="R493" s="97" t="inlineStr">
        <is>
          <t>N</t>
        </is>
      </c>
      <c r="S493" s="97" t="n">
        <v>14.1</v>
      </c>
      <c r="T493" s="97" t="n">
        <v>85.59999999999999</v>
      </c>
      <c r="U493" s="97" t="inlineStr">
        <is>
          <t>Y</t>
        </is>
      </c>
      <c r="V493" s="97" t="n">
        <v>52.6</v>
      </c>
      <c r="W493" s="97" t="n">
        <v>15.3</v>
      </c>
      <c r="X493" s="97" t="n">
        <v>47.24</v>
      </c>
      <c r="Y493" s="97" t="n">
        <v>132.1</v>
      </c>
      <c r="Z493" s="97" t="n">
        <v>6</v>
      </c>
      <c r="AA493" s="92" t="inlineStr">
        <is>
          <t>WATCHLIST</t>
        </is>
      </c>
    </row>
    <row r="494">
      <c r="A494" s="99" t="inlineStr">
        <is>
          <t>CARTRADE</t>
        </is>
      </c>
      <c r="B494" s="99" t="inlineStr">
        <is>
          <t>Cartrade Tech Ltd.</t>
        </is>
      </c>
      <c r="C494" s="99" t="inlineStr">
        <is>
          <t>Consumer Services</t>
        </is>
      </c>
      <c r="D494" s="99" t="inlineStr">
        <is>
          <t>NSE Smallcap</t>
        </is>
      </c>
      <c r="E494" s="99" t="n">
        <v>2656.4</v>
      </c>
      <c r="F494" s="99" t="n">
        <v>-1.33</v>
      </c>
      <c r="G494" s="99" t="n">
        <v>376776</v>
      </c>
      <c r="H494" s="99" t="n">
        <v>1.25</v>
      </c>
      <c r="I494" s="99" t="n">
        <v>14394</v>
      </c>
      <c r="J494" s="99" t="inlineStr">
        <is>
          <t>Y</t>
        </is>
      </c>
      <c r="K494" s="99" t="inlineStr">
        <is>
          <t>Y</t>
        </is>
      </c>
      <c r="L494" s="99" t="inlineStr">
        <is>
          <t>Y</t>
        </is>
      </c>
      <c r="M494" s="99" t="n">
        <v>41.2</v>
      </c>
      <c r="N494" s="99" t="inlineStr">
        <is>
          <t>N</t>
        </is>
      </c>
      <c r="O494" s="99" t="n">
        <v>124.89</v>
      </c>
      <c r="P494" s="99" t="inlineStr">
        <is>
          <t>N</t>
        </is>
      </c>
      <c r="Q494" s="99" t="inlineStr">
        <is>
          <t>N/A</t>
        </is>
      </c>
      <c r="R494" s="99" t="inlineStr">
        <is>
          <t>N</t>
        </is>
      </c>
      <c r="S494" s="99" t="n">
        <v>-1.2</v>
      </c>
      <c r="T494" s="99" t="n">
        <v>61.8</v>
      </c>
      <c r="U494" s="99" t="inlineStr">
        <is>
          <t>Y</t>
        </is>
      </c>
      <c r="V494" s="99" t="n">
        <v>66.7</v>
      </c>
      <c r="W494" s="99" t="n">
        <v>9.800000000000001</v>
      </c>
      <c r="X494" s="99" t="n">
        <v>5.36</v>
      </c>
      <c r="Y494" s="99" t="n">
        <v>15.7</v>
      </c>
      <c r="Z494" s="99" t="n">
        <v>5</v>
      </c>
      <c r="AA494" s="94" t="inlineStr">
        <is>
          <t>WATCHLIST</t>
        </is>
      </c>
    </row>
    <row r="495">
      <c r="A495" s="97" t="inlineStr">
        <is>
          <t>NUVAMA</t>
        </is>
      </c>
      <c r="B495" s="97" t="inlineStr">
        <is>
          <t>Nuvama Wealth Management Ltd.</t>
        </is>
      </c>
      <c r="C495" s="97" t="inlineStr">
        <is>
          <t>Financial Services</t>
        </is>
      </c>
      <c r="D495" s="97" t="inlineStr">
        <is>
          <t>BSE Smallcap</t>
        </is>
      </c>
      <c r="E495" s="97" t="n">
        <v>1916.6</v>
      </c>
      <c r="F495" s="97" t="n">
        <v>-3.21</v>
      </c>
      <c r="G495" s="97" t="n">
        <v>475623</v>
      </c>
      <c r="H495" s="97" t="n">
        <v>0.31</v>
      </c>
      <c r="I495" s="97" t="n">
        <v>34983</v>
      </c>
      <c r="J495" s="97" t="inlineStr">
        <is>
          <t>Y</t>
        </is>
      </c>
      <c r="K495" s="97" t="inlineStr">
        <is>
          <t>Y</t>
        </is>
      </c>
      <c r="L495" s="97" t="inlineStr">
        <is>
          <t>Y</t>
        </is>
      </c>
      <c r="M495" s="97" t="n">
        <v>50</v>
      </c>
      <c r="N495" s="97" t="inlineStr">
        <is>
          <t>N</t>
        </is>
      </c>
      <c r="O495" s="97" t="n">
        <v>79.04000000000001</v>
      </c>
      <c r="P495" s="97" t="inlineStr">
        <is>
          <t>N</t>
        </is>
      </c>
      <c r="Q495" s="97" t="inlineStr">
        <is>
          <t>N/A</t>
        </is>
      </c>
      <c r="R495" s="97" t="inlineStr">
        <is>
          <t>N</t>
        </is>
      </c>
      <c r="S495" s="97" t="n">
        <v>9.9</v>
      </c>
      <c r="T495" s="97" t="n">
        <v>46.3</v>
      </c>
      <c r="U495" s="97" t="inlineStr">
        <is>
          <t>Y</t>
        </is>
      </c>
      <c r="V495" s="97" t="n">
        <v>34.2</v>
      </c>
      <c r="W495" s="97" t="n">
        <v>27.3</v>
      </c>
      <c r="X495" s="97" t="n">
        <v>282.32</v>
      </c>
      <c r="Y495" s="97" t="n">
        <v>6</v>
      </c>
      <c r="Z495" s="97" t="n">
        <v>6</v>
      </c>
      <c r="AA495" s="92" t="inlineStr">
        <is>
          <t>WATCHLIST</t>
        </is>
      </c>
    </row>
    <row r="496">
      <c r="A496" s="99" t="inlineStr">
        <is>
          <t>WOCKPHARMA</t>
        </is>
      </c>
      <c r="B496" s="99" t="inlineStr">
        <is>
          <t>Wockhardt Ltd.</t>
        </is>
      </c>
      <c r="C496" s="99" t="inlineStr">
        <is>
          <t>Healthcare</t>
        </is>
      </c>
      <c r="D496" s="99" t="inlineStr">
        <is>
          <t>BSE Smallcap</t>
        </is>
      </c>
      <c r="E496" s="99" t="n">
        <v>1849.2</v>
      </c>
      <c r="F496" s="99" t="n">
        <v>-0.03</v>
      </c>
      <c r="G496" s="99" t="n">
        <v>330095</v>
      </c>
      <c r="H496" s="99" t="n">
        <v>0.62</v>
      </c>
      <c r="I496" s="99" t="n">
        <v>30308</v>
      </c>
      <c r="J496" s="99" t="inlineStr">
        <is>
          <t>Y</t>
        </is>
      </c>
      <c r="K496" s="99" t="inlineStr">
        <is>
          <t>N</t>
        </is>
      </c>
      <c r="L496" s="99" t="inlineStr">
        <is>
          <t>Y</t>
        </is>
      </c>
      <c r="M496" s="99" t="n">
        <v>40.3</v>
      </c>
      <c r="N496" s="99" t="inlineStr">
        <is>
          <t>N</t>
        </is>
      </c>
      <c r="O496" s="99" t="n">
        <v>61.09</v>
      </c>
      <c r="P496" s="99" t="inlineStr">
        <is>
          <t>N</t>
        </is>
      </c>
      <c r="Q496" s="99" t="inlineStr">
        <is>
          <t>N/A</t>
        </is>
      </c>
      <c r="R496" s="99" t="inlineStr">
        <is>
          <t>N</t>
        </is>
      </c>
      <c r="S496" s="99" t="n">
        <v>-5.7</v>
      </c>
      <c r="T496" s="99" t="n">
        <v>33.3</v>
      </c>
      <c r="U496" s="99" t="inlineStr">
        <is>
          <t>Y</t>
        </is>
      </c>
      <c r="V496" s="99" t="n">
        <v>142.1</v>
      </c>
      <c r="W496" s="99" t="n">
        <v>4</v>
      </c>
      <c r="X496" s="99" t="n">
        <v>42.28</v>
      </c>
      <c r="Y496" s="99" t="n">
        <v>181.4</v>
      </c>
      <c r="Z496" s="99" t="n">
        <v>4</v>
      </c>
      <c r="AA496" s="94" t="inlineStr">
        <is>
          <t>AVOID</t>
        </is>
      </c>
    </row>
    <row r="497">
      <c r="A497" s="97" t="inlineStr">
        <is>
          <t>EMBDL</t>
        </is>
      </c>
      <c r="B497" s="97" t="inlineStr">
        <is>
          <t>EMBASSY DEVELOPMENTS LIMITED</t>
        </is>
      </c>
      <c r="C497" s="97" t="n"/>
      <c r="D497" s="97" t="inlineStr">
        <is>
          <t>BSE Smallcap</t>
        </is>
      </c>
      <c r="E497" s="97" t="n">
        <v>61.21</v>
      </c>
      <c r="F497" s="97" t="n">
        <v>-0.36</v>
      </c>
      <c r="G497" s="97" t="n">
        <v>1775065</v>
      </c>
      <c r="H497" s="97" t="n">
        <v>1.08</v>
      </c>
      <c r="I497" s="97" t="n">
        <v>8642</v>
      </c>
      <c r="J497" s="97" t="inlineStr">
        <is>
          <t>Y</t>
        </is>
      </c>
      <c r="K497" s="97" t="inlineStr">
        <is>
          <t>N</t>
        </is>
      </c>
      <c r="L497" s="97" t="inlineStr">
        <is>
          <t>N</t>
        </is>
      </c>
      <c r="M497" s="97" t="n">
        <v>45.1</v>
      </c>
      <c r="N497" s="97" t="inlineStr">
        <is>
          <t>N</t>
        </is>
      </c>
      <c r="O497" s="97" t="n">
        <v>2.37</v>
      </c>
      <c r="P497" s="97" t="inlineStr">
        <is>
          <t>N</t>
        </is>
      </c>
      <c r="Q497" s="97" t="inlineStr">
        <is>
          <t>N/A</t>
        </is>
      </c>
      <c r="R497" s="97" t="inlineStr">
        <is>
          <t>N</t>
        </is>
      </c>
      <c r="S497" s="97" t="n">
        <v>-3.7</v>
      </c>
      <c r="T497" s="97" t="n">
        <v>32.7</v>
      </c>
      <c r="U497" s="97" t="inlineStr">
        <is>
          <t>Y</t>
        </is>
      </c>
      <c r="V497" s="97" t="inlineStr">
        <is>
          <t>N/A</t>
        </is>
      </c>
      <c r="W497" s="97" t="n">
        <v>-9</v>
      </c>
      <c r="X497" s="97" t="n">
        <v>53.41</v>
      </c>
      <c r="Y497" s="97" t="n">
        <v>-38.9</v>
      </c>
      <c r="Z497" s="97" t="n">
        <v>2</v>
      </c>
      <c r="AA497" s="92" t="inlineStr">
        <is>
          <t>AVOID</t>
        </is>
      </c>
    </row>
    <row r="498">
      <c r="A498" s="99" t="inlineStr">
        <is>
          <t>MINDACORP</t>
        </is>
      </c>
      <c r="B498" s="99" t="inlineStr">
        <is>
          <t>Minda Corporation Ltd.</t>
        </is>
      </c>
      <c r="C498" s="99" t="inlineStr">
        <is>
          <t>Automobile and Auto Components</t>
        </is>
      </c>
      <c r="D498" s="99" t="inlineStr">
        <is>
          <t>BSE Smallcap</t>
        </is>
      </c>
      <c r="E498" s="99" t="n">
        <v>676.45</v>
      </c>
      <c r="F498" s="99" t="n">
        <v>2.84</v>
      </c>
      <c r="G498" s="99" t="n">
        <v>192716</v>
      </c>
      <c r="H498" s="99" t="n">
        <v>1.29</v>
      </c>
      <c r="I498" s="99" t="n">
        <v>16300</v>
      </c>
      <c r="J498" s="99" t="inlineStr">
        <is>
          <t>Y</t>
        </is>
      </c>
      <c r="K498" s="99" t="inlineStr">
        <is>
          <t>Y</t>
        </is>
      </c>
      <c r="L498" s="99" t="inlineStr">
        <is>
          <t>Y</t>
        </is>
      </c>
      <c r="M498" s="99" t="n">
        <v>42.6</v>
      </c>
      <c r="N498" s="99" t="inlineStr">
        <is>
          <t>N</t>
        </is>
      </c>
      <c r="O498" s="99" t="n">
        <v>20.44</v>
      </c>
      <c r="P498" s="99" t="inlineStr">
        <is>
          <t>N</t>
        </is>
      </c>
      <c r="Q498" s="99" t="inlineStr">
        <is>
          <t>N/A</t>
        </is>
      </c>
      <c r="R498" s="99" t="inlineStr">
        <is>
          <t>N</t>
        </is>
      </c>
      <c r="S498" s="99" t="n">
        <v>1.1</v>
      </c>
      <c r="T498" s="99" t="n">
        <v>30.5</v>
      </c>
      <c r="U498" s="99" t="inlineStr">
        <is>
          <t>Y</t>
        </is>
      </c>
      <c r="V498" s="99" t="n">
        <v>45.9</v>
      </c>
      <c r="W498" s="99" t="n">
        <v>14.7</v>
      </c>
      <c r="X498" s="99" t="n">
        <v>55.35</v>
      </c>
      <c r="Y498" s="99" t="n">
        <v>45.4</v>
      </c>
      <c r="Z498" s="99" t="n">
        <v>5</v>
      </c>
      <c r="AA498" s="94" t="inlineStr">
        <is>
          <t>WATCHLIST</t>
        </is>
      </c>
    </row>
    <row r="499">
      <c r="A499" s="97" t="inlineStr">
        <is>
          <t>ACUTAAS</t>
        </is>
      </c>
      <c r="B499" s="97" t="inlineStr">
        <is>
          <t>Acutaas Chemicals Ltd.</t>
        </is>
      </c>
      <c r="C499" s="97" t="inlineStr">
        <is>
          <t>Healthcare</t>
        </is>
      </c>
      <c r="D499" s="97" t="inlineStr">
        <is>
          <t>BSE Smallcap</t>
        </is>
      </c>
      <c r="E499" s="97" t="n">
        <v>3367.8</v>
      </c>
      <c r="F499" s="97" t="n">
        <v>3.32</v>
      </c>
      <c r="G499" s="97" t="n">
        <v>526067</v>
      </c>
      <c r="H499" s="97" t="n">
        <v>0.88</v>
      </c>
      <c r="I499" s="97" t="n">
        <v>27573</v>
      </c>
      <c r="J499" s="97" t="inlineStr">
        <is>
          <t>Y</t>
        </is>
      </c>
      <c r="K499" s="97" t="inlineStr">
        <is>
          <t>Y</t>
        </is>
      </c>
      <c r="L499" s="97" t="inlineStr">
        <is>
          <t>Y</t>
        </is>
      </c>
      <c r="M499" s="97" t="n">
        <v>48.8</v>
      </c>
      <c r="N499" s="97" t="inlineStr">
        <is>
          <t>N</t>
        </is>
      </c>
      <c r="O499" s="97" t="n">
        <v>140.79</v>
      </c>
      <c r="P499" s="97" t="inlineStr">
        <is>
          <t>N</t>
        </is>
      </c>
      <c r="Q499" s="97" t="inlineStr">
        <is>
          <t>N/A</t>
        </is>
      </c>
      <c r="R499" s="97" t="inlineStr">
        <is>
          <t>N</t>
        </is>
      </c>
      <c r="S499" s="97" t="n">
        <v>2.3</v>
      </c>
      <c r="T499" s="97" t="n">
        <v>30.2</v>
      </c>
      <c r="U499" s="97" t="inlineStr">
        <is>
          <t>Y</t>
        </is>
      </c>
      <c r="V499" s="97" t="n">
        <v>93.40000000000001</v>
      </c>
      <c r="W499" s="97" t="inlineStr">
        <is>
          <t>N/A</t>
        </is>
      </c>
      <c r="X499" s="97" t="n">
        <v>2.08</v>
      </c>
      <c r="Y499" s="97" t="n"/>
      <c r="Z499" s="97" t="n">
        <v>4</v>
      </c>
      <c r="AA499" s="92" t="inlineStr">
        <is>
          <t>AVOID</t>
        </is>
      </c>
    </row>
    <row r="500">
      <c r="A500" s="99" t="inlineStr">
        <is>
          <t>KIRLOSENG</t>
        </is>
      </c>
      <c r="B500" s="99" t="inlineStr">
        <is>
          <t>Kirloskar Oil Eng Ltd.</t>
        </is>
      </c>
      <c r="C500" s="99" t="inlineStr">
        <is>
          <t>Capital Goods</t>
        </is>
      </c>
      <c r="D500" s="99" t="inlineStr">
        <is>
          <t>BSE Smallcap</t>
        </is>
      </c>
      <c r="E500" s="99" t="n">
        <v>2182.5</v>
      </c>
      <c r="F500" s="99" t="n">
        <v>0.16</v>
      </c>
      <c r="G500" s="99" t="n">
        <v>212143</v>
      </c>
      <c r="H500" s="99" t="n">
        <v>0.61</v>
      </c>
      <c r="I500" s="99" t="n">
        <v>33221</v>
      </c>
      <c r="J500" s="99" t="inlineStr">
        <is>
          <t>Y</t>
        </is>
      </c>
      <c r="K500" s="99" t="inlineStr">
        <is>
          <t>Y</t>
        </is>
      </c>
      <c r="L500" s="99" t="inlineStr">
        <is>
          <t>Y</t>
        </is>
      </c>
      <c r="M500" s="99" t="n">
        <v>43.6</v>
      </c>
      <c r="N500" s="99" t="inlineStr">
        <is>
          <t>N</t>
        </is>
      </c>
      <c r="O500" s="99" t="n">
        <v>100.07</v>
      </c>
      <c r="P500" s="99" t="inlineStr">
        <is>
          <t>N</t>
        </is>
      </c>
      <c r="Q500" s="99" t="inlineStr">
        <is>
          <t>N/A</t>
        </is>
      </c>
      <c r="R500" s="99" t="inlineStr">
        <is>
          <t>N</t>
        </is>
      </c>
      <c r="S500" s="99" t="n">
        <v>-11.9</v>
      </c>
      <c r="T500" s="99" t="n">
        <v>28.9</v>
      </c>
      <c r="U500" s="99" t="inlineStr">
        <is>
          <t>Y</t>
        </is>
      </c>
      <c r="V500" s="99" t="n">
        <v>58.4</v>
      </c>
      <c r="W500" s="99" t="n">
        <v>16.8</v>
      </c>
      <c r="X500" s="99" t="n">
        <v>154.86</v>
      </c>
      <c r="Y500" s="99" t="n">
        <v>42.4</v>
      </c>
      <c r="Z500" s="99" t="n">
        <v>6</v>
      </c>
      <c r="AA500" s="94" t="inlineStr">
        <is>
          <t>WATCHLIST</t>
        </is>
      </c>
    </row>
    <row r="501">
      <c r="A501" s="97" t="inlineStr">
        <is>
          <t>DEEPAKFERT</t>
        </is>
      </c>
      <c r="B501" s="97" t="inlineStr">
        <is>
          <t>Deepak Fertilisers &amp; Petrochemicals Corp. Ltd.</t>
        </is>
      </c>
      <c r="C501" s="97" t="inlineStr">
        <is>
          <t>Chemicals</t>
        </is>
      </c>
      <c r="D501" s="97" t="inlineStr">
        <is>
          <t>BSE Smallcap</t>
        </is>
      </c>
      <c r="E501" s="97" t="n">
        <v>1573.2</v>
      </c>
      <c r="F501" s="97" t="n">
        <v>-0.45</v>
      </c>
      <c r="G501" s="97" t="n">
        <v>119918</v>
      </c>
      <c r="H501" s="97" t="n">
        <v>0.85</v>
      </c>
      <c r="I501" s="97" t="n">
        <v>20654</v>
      </c>
      <c r="J501" s="97" t="inlineStr">
        <is>
          <t>Y</t>
        </is>
      </c>
      <c r="K501" s="97" t="inlineStr">
        <is>
          <t>Y</t>
        </is>
      </c>
      <c r="L501" s="97" t="inlineStr">
        <is>
          <t>Y</t>
        </is>
      </c>
      <c r="M501" s="97" t="n">
        <v>44.4</v>
      </c>
      <c r="N501" s="97" t="inlineStr">
        <is>
          <t>N</t>
        </is>
      </c>
      <c r="O501" s="97" t="n">
        <v>51.02</v>
      </c>
      <c r="P501" s="97" t="inlineStr">
        <is>
          <t>N</t>
        </is>
      </c>
      <c r="Q501" s="97" t="inlineStr">
        <is>
          <t>N/A</t>
        </is>
      </c>
      <c r="R501" s="97" t="inlineStr">
        <is>
          <t>N</t>
        </is>
      </c>
      <c r="S501" s="97" t="n">
        <v>0.7</v>
      </c>
      <c r="T501" s="97" t="n">
        <v>27.3</v>
      </c>
      <c r="U501" s="97" t="inlineStr">
        <is>
          <t>Y</t>
        </is>
      </c>
      <c r="V501" s="97" t="n">
        <v>28</v>
      </c>
      <c r="W501" s="97" t="n">
        <v>10.8</v>
      </c>
      <c r="X501" s="97" t="n">
        <v>75.97</v>
      </c>
      <c r="Y501" s="97" t="n">
        <v>-1.5</v>
      </c>
      <c r="Z501" s="97" t="n">
        <v>4</v>
      </c>
      <c r="AA501" s="92" t="inlineStr">
        <is>
          <t>AVOID</t>
        </is>
      </c>
    </row>
    <row r="502">
      <c r="A502" s="99" t="inlineStr">
        <is>
          <t>WELSPUNLIV</t>
        </is>
      </c>
      <c r="B502" s="99" t="inlineStr">
        <is>
          <t>Welspun Living Ltd.</t>
        </is>
      </c>
      <c r="C502" s="99" t="inlineStr">
        <is>
          <t>Textiles</t>
        </is>
      </c>
      <c r="D502" s="99" t="inlineStr">
        <is>
          <t>BSE Smallcap</t>
        </is>
      </c>
      <c r="E502" s="99" t="n">
        <v>163.53</v>
      </c>
      <c r="F502" s="99" t="n">
        <v>0.9399999999999999</v>
      </c>
      <c r="G502" s="99" t="n">
        <v>1445681</v>
      </c>
      <c r="H502" s="99" t="n">
        <v>1.15</v>
      </c>
      <c r="I502" s="99" t="n">
        <v>15395</v>
      </c>
      <c r="J502" s="99" t="inlineStr">
        <is>
          <t>Y</t>
        </is>
      </c>
      <c r="K502" s="99" t="inlineStr">
        <is>
          <t>Y</t>
        </is>
      </c>
      <c r="L502" s="99" t="inlineStr">
        <is>
          <t>Y</t>
        </is>
      </c>
      <c r="M502" s="99" t="n">
        <v>41.7</v>
      </c>
      <c r="N502" s="99" t="inlineStr">
        <is>
          <t>N</t>
        </is>
      </c>
      <c r="O502" s="99" t="n">
        <v>6.39</v>
      </c>
      <c r="P502" s="99" t="inlineStr">
        <is>
          <t>N</t>
        </is>
      </c>
      <c r="Q502" s="99" t="inlineStr">
        <is>
          <t>N/A</t>
        </is>
      </c>
      <c r="R502" s="99" t="inlineStr">
        <is>
          <t>N</t>
        </is>
      </c>
      <c r="S502" s="99" t="n">
        <v>-2</v>
      </c>
      <c r="T502" s="99" t="n">
        <v>27.3</v>
      </c>
      <c r="U502" s="99" t="inlineStr">
        <is>
          <t>Y</t>
        </is>
      </c>
      <c r="V502" s="99" t="n">
        <v>75.7</v>
      </c>
      <c r="W502" s="99" t="n">
        <v>4.3</v>
      </c>
      <c r="X502" s="99" t="n">
        <v>46.5</v>
      </c>
      <c r="Y502" s="99" t="n">
        <v>49281</v>
      </c>
      <c r="Z502" s="99" t="n">
        <v>5</v>
      </c>
      <c r="AA502" s="94" t="inlineStr">
        <is>
          <t>WATCHLIST</t>
        </is>
      </c>
    </row>
    <row r="503">
      <c r="A503" s="97" t="inlineStr">
        <is>
          <t>ADANIENT</t>
        </is>
      </c>
      <c r="B503" s="97" t="inlineStr">
        <is>
          <t>Adani Enterprises Ltd.</t>
        </is>
      </c>
      <c r="C503" s="97" t="inlineStr">
        <is>
          <t>Metals &amp; Mining</t>
        </is>
      </c>
      <c r="D503" s="97" t="inlineStr">
        <is>
          <t>Large/Midcap</t>
        </is>
      </c>
      <c r="E503" s="97" t="n">
        <v>3036.6</v>
      </c>
      <c r="F503" s="97" t="n">
        <v>0.34</v>
      </c>
      <c r="G503" s="97" t="n">
        <v>636870</v>
      </c>
      <c r="H503" s="97" t="n">
        <v>0.5</v>
      </c>
      <c r="I503" s="97" t="n">
        <v>432100</v>
      </c>
      <c r="J503" s="97" t="inlineStr">
        <is>
          <t>Y</t>
        </is>
      </c>
      <c r="K503" s="97" t="inlineStr">
        <is>
          <t>Y</t>
        </is>
      </c>
      <c r="L503" s="97" t="inlineStr">
        <is>
          <t>Y</t>
        </is>
      </c>
      <c r="M503" s="97" t="n">
        <v>42.5</v>
      </c>
      <c r="N503" s="97" t="inlineStr">
        <is>
          <t>N</t>
        </is>
      </c>
      <c r="O503" s="97" t="n">
        <v>72.2</v>
      </c>
      <c r="P503" s="97" t="inlineStr">
        <is>
          <t>N</t>
        </is>
      </c>
      <c r="Q503" s="97" t="inlineStr">
        <is>
          <t>N/A</t>
        </is>
      </c>
      <c r="R503" s="97" t="inlineStr">
        <is>
          <t>N</t>
        </is>
      </c>
      <c r="S503" s="97" t="n">
        <v>0.2</v>
      </c>
      <c r="T503" s="97" t="n">
        <v>26.5</v>
      </c>
      <c r="U503" s="97" t="inlineStr">
        <is>
          <t>Y</t>
        </is>
      </c>
      <c r="V503" s="97" t="n">
        <v>41.2</v>
      </c>
      <c r="W503" s="97" t="n">
        <v>13.7</v>
      </c>
      <c r="X503" s="97" t="n">
        <v>119.56</v>
      </c>
      <c r="Y503" s="97" t="n">
        <v>-103.9</v>
      </c>
      <c r="Z503" s="97" t="n">
        <v>4</v>
      </c>
      <c r="AA503" s="92" t="inlineStr">
        <is>
          <t>AVOID</t>
        </is>
      </c>
    </row>
    <row r="504">
      <c r="A504" s="99" t="inlineStr">
        <is>
          <t>GRINDWELL</t>
        </is>
      </c>
      <c r="B504" s="99" t="inlineStr">
        <is>
          <t>GRINDWELL NORTON LTD.</t>
        </is>
      </c>
      <c r="C504" s="99" t="n"/>
      <c r="D504" s="99" t="inlineStr">
        <is>
          <t>BSE Smallcap</t>
        </is>
      </c>
      <c r="E504" s="99" t="n">
        <v>2011.6</v>
      </c>
      <c r="F504" s="99" t="n">
        <v>0.38</v>
      </c>
      <c r="G504" s="99" t="n">
        <v>90565</v>
      </c>
      <c r="H504" s="99" t="n">
        <v>2.11</v>
      </c>
      <c r="I504" s="99" t="n">
        <v>22306</v>
      </c>
      <c r="J504" s="99" t="inlineStr">
        <is>
          <t>Y</t>
        </is>
      </c>
      <c r="K504" s="99" t="inlineStr">
        <is>
          <t>Y</t>
        </is>
      </c>
      <c r="L504" s="99" t="inlineStr">
        <is>
          <t>Y</t>
        </is>
      </c>
      <c r="M504" s="99" t="n">
        <v>47.5</v>
      </c>
      <c r="N504" s="99" t="inlineStr">
        <is>
          <t>N</t>
        </is>
      </c>
      <c r="O504" s="99" t="n">
        <v>115.14</v>
      </c>
      <c r="P504" s="99" t="inlineStr">
        <is>
          <t>N</t>
        </is>
      </c>
      <c r="Q504" s="99" t="inlineStr">
        <is>
          <t>N/A</t>
        </is>
      </c>
      <c r="R504" s="99" t="inlineStr">
        <is>
          <t>N</t>
        </is>
      </c>
      <c r="S504" s="99" t="n">
        <v>-8.6</v>
      </c>
      <c r="T504" s="99" t="n">
        <v>26</v>
      </c>
      <c r="U504" s="99" t="inlineStr">
        <is>
          <t>Y</t>
        </is>
      </c>
      <c r="V504" s="99" t="n">
        <v>51.1</v>
      </c>
      <c r="W504" s="99" t="inlineStr">
        <is>
          <t>N/A</t>
        </is>
      </c>
      <c r="X504" s="99" t="n">
        <v>2.38</v>
      </c>
      <c r="Y504" s="99" t="n">
        <v>-2.7</v>
      </c>
      <c r="Z504" s="99" t="n">
        <v>4</v>
      </c>
      <c r="AA504" s="94" t="inlineStr">
        <is>
          <t>AVOID</t>
        </is>
      </c>
    </row>
    <row r="505">
      <c r="A505" s="97" t="inlineStr">
        <is>
          <t>TATATECH</t>
        </is>
      </c>
      <c r="B505" s="97" t="inlineStr">
        <is>
          <t>Tata Technologies Ltd.</t>
        </is>
      </c>
      <c r="C505" s="97" t="inlineStr">
        <is>
          <t>Information Technology</t>
        </is>
      </c>
      <c r="D505" s="97" t="inlineStr">
        <is>
          <t>BSE Smallcap</t>
        </is>
      </c>
      <c r="E505" s="97" t="n">
        <v>713.3</v>
      </c>
      <c r="F505" s="97" t="n">
        <v>0.32</v>
      </c>
      <c r="G505" s="97" t="n">
        <v>395025</v>
      </c>
      <c r="H505" s="97" t="n">
        <v>0.77</v>
      </c>
      <c r="I505" s="97" t="inlineStr">
        <is>
          <t>N/A</t>
        </is>
      </c>
      <c r="J505" s="97" t="inlineStr">
        <is>
          <t>Y</t>
        </is>
      </c>
      <c r="K505" s="97" t="inlineStr">
        <is>
          <t>N</t>
        </is>
      </c>
      <c r="L505" s="97" t="inlineStr">
        <is>
          <t>Y</t>
        </is>
      </c>
      <c r="M505" s="97" t="n">
        <v>46.3</v>
      </c>
      <c r="N505" s="97" t="inlineStr">
        <is>
          <t>N</t>
        </is>
      </c>
      <c r="O505" s="97" t="n">
        <v>26.24</v>
      </c>
      <c r="P505" s="97" t="inlineStr">
        <is>
          <t>N</t>
        </is>
      </c>
      <c r="Q505" s="97" t="inlineStr">
        <is>
          <t>N/A</t>
        </is>
      </c>
      <c r="R505" s="97" t="inlineStr">
        <is>
          <t>N</t>
        </is>
      </c>
      <c r="S505" s="97" t="n">
        <v>-4.4</v>
      </c>
      <c r="T505" s="97" t="n">
        <v>25</v>
      </c>
      <c r="U505" s="97" t="inlineStr">
        <is>
          <t>Y</t>
        </is>
      </c>
      <c r="V505" s="97" t="inlineStr">
        <is>
          <t>N/A</t>
        </is>
      </c>
      <c r="W505" s="97" t="inlineStr">
        <is>
          <t>N/A</t>
        </is>
      </c>
      <c r="X505" s="97" t="inlineStr">
        <is>
          <t>N/A</t>
        </is>
      </c>
      <c r="Y505" s="97" t="inlineStr">
        <is>
          <t>N/A</t>
        </is>
      </c>
      <c r="Z505" s="97" t="n">
        <v>3</v>
      </c>
      <c r="AA505" s="92" t="inlineStr">
        <is>
          <t>AVOID</t>
        </is>
      </c>
    </row>
    <row r="506">
      <c r="A506" s="99" t="inlineStr">
        <is>
          <t>INDIGO</t>
        </is>
      </c>
      <c r="B506" s="99" t="inlineStr">
        <is>
          <t>InterGlobe Aviation Ltd.</t>
        </is>
      </c>
      <c r="C506" s="99" t="inlineStr">
        <is>
          <t>Services</t>
        </is>
      </c>
      <c r="D506" s="99" t="inlineStr">
        <is>
          <t>Large/Midcap</t>
        </is>
      </c>
      <c r="E506" s="99" t="n">
        <v>5230</v>
      </c>
      <c r="F506" s="99" t="n">
        <v>4.91</v>
      </c>
      <c r="G506" s="99" t="n">
        <v>1731299</v>
      </c>
      <c r="H506" s="99" t="n">
        <v>0.92</v>
      </c>
      <c r="I506" s="99" t="n">
        <v>202227</v>
      </c>
      <c r="J506" s="99" t="inlineStr">
        <is>
          <t>Y</t>
        </is>
      </c>
      <c r="K506" s="99" t="inlineStr">
        <is>
          <t>Y</t>
        </is>
      </c>
      <c r="L506" s="99" t="inlineStr">
        <is>
          <t>Y</t>
        </is>
      </c>
      <c r="M506" s="99" t="n">
        <v>44.5</v>
      </c>
      <c r="N506" s="99" t="inlineStr">
        <is>
          <t>N</t>
        </is>
      </c>
      <c r="O506" s="99" t="n">
        <v>158.43</v>
      </c>
      <c r="P506" s="99" t="inlineStr">
        <is>
          <t>Y</t>
        </is>
      </c>
      <c r="Q506" s="99" t="inlineStr">
        <is>
          <t>N/A</t>
        </is>
      </c>
      <c r="R506" s="99" t="inlineStr">
        <is>
          <t>N</t>
        </is>
      </c>
      <c r="S506" s="99" t="n">
        <v>-3.8</v>
      </c>
      <c r="T506" s="99" t="n">
        <v>20.8</v>
      </c>
      <c r="U506" s="99" t="inlineStr">
        <is>
          <t>Y</t>
        </is>
      </c>
      <c r="V506" s="99" t="inlineStr">
        <is>
          <t>N/A</t>
        </is>
      </c>
      <c r="W506" s="99" t="inlineStr">
        <is>
          <t>N/A</t>
        </is>
      </c>
      <c r="X506" s="99" t="n">
        <v>866.46</v>
      </c>
      <c r="Y506" s="99" t="n">
        <v>90.59999999999999</v>
      </c>
      <c r="Z506" s="99" t="n">
        <v>6</v>
      </c>
      <c r="AA506" s="94" t="inlineStr">
        <is>
          <t>WATCHLIST</t>
        </is>
      </c>
    </row>
    <row r="507">
      <c r="A507" s="97" t="inlineStr">
        <is>
          <t>SOLARINDS</t>
        </is>
      </c>
      <c r="B507" s="97" t="inlineStr">
        <is>
          <t>Solar Industries India Ltd.</t>
        </is>
      </c>
      <c r="C507" s="97" t="inlineStr">
        <is>
          <t>Chemicals</t>
        </is>
      </c>
      <c r="D507" s="97" t="inlineStr">
        <is>
          <t>Large/Midcap</t>
        </is>
      </c>
      <c r="E507" s="97" t="n">
        <v>18494</v>
      </c>
      <c r="F507" s="97" t="n">
        <v>-0.68</v>
      </c>
      <c r="G507" s="97" t="n">
        <v>75835</v>
      </c>
      <c r="H507" s="97" t="n">
        <v>0.92</v>
      </c>
      <c r="I507" s="97" t="n">
        <v>168565</v>
      </c>
      <c r="J507" s="97" t="inlineStr">
        <is>
          <t>Y</t>
        </is>
      </c>
      <c r="K507" s="97" t="inlineStr">
        <is>
          <t>Y</t>
        </is>
      </c>
      <c r="L507" s="97" t="inlineStr">
        <is>
          <t>Y</t>
        </is>
      </c>
      <c r="M507" s="97" t="n">
        <v>49.4</v>
      </c>
      <c r="N507" s="97" t="inlineStr">
        <is>
          <t>N</t>
        </is>
      </c>
      <c r="O507" s="97" t="n">
        <v>547.5700000000001</v>
      </c>
      <c r="P507" s="97" t="inlineStr">
        <is>
          <t>N</t>
        </is>
      </c>
      <c r="Q507" s="97" t="inlineStr">
        <is>
          <t>N/A</t>
        </is>
      </c>
      <c r="R507" s="97" t="inlineStr">
        <is>
          <t>N</t>
        </is>
      </c>
      <c r="S507" s="97" t="n">
        <v>6.4</v>
      </c>
      <c r="T507" s="97" t="n">
        <v>20.7</v>
      </c>
      <c r="U507" s="97" t="inlineStr">
        <is>
          <t>Y</t>
        </is>
      </c>
      <c r="V507" s="97" t="n">
        <v>100.7</v>
      </c>
      <c r="W507" s="97" t="n">
        <v>31.2</v>
      </c>
      <c r="X507" s="97" t="n">
        <v>23.27</v>
      </c>
      <c r="Y507" s="97" t="n">
        <v>22.7</v>
      </c>
      <c r="Z507" s="97" t="n">
        <v>6</v>
      </c>
      <c r="AA507" s="92" t="inlineStr">
        <is>
          <t>WATCHLIST</t>
        </is>
      </c>
    </row>
    <row r="508">
      <c r="A508" s="99" t="inlineStr">
        <is>
          <t>AJANTPHARM</t>
        </is>
      </c>
      <c r="B508" s="99" t="inlineStr">
        <is>
          <t>Ajanta Pharmaceuticals Ltd.</t>
        </is>
      </c>
      <c r="C508" s="99" t="inlineStr">
        <is>
          <t>Healthcare</t>
        </is>
      </c>
      <c r="D508" s="99" t="inlineStr">
        <is>
          <t>Large/Midcap</t>
        </is>
      </c>
      <c r="E508" s="99" t="n">
        <v>3369.5</v>
      </c>
      <c r="F508" s="99" t="n">
        <v>-2.05</v>
      </c>
      <c r="G508" s="99" t="n">
        <v>50410</v>
      </c>
      <c r="H508" s="99" t="n">
        <v>0.4</v>
      </c>
      <c r="I508" s="99" t="n">
        <v>42304</v>
      </c>
      <c r="J508" s="99" t="inlineStr">
        <is>
          <t>Y</t>
        </is>
      </c>
      <c r="K508" s="99" t="inlineStr">
        <is>
          <t>Y</t>
        </is>
      </c>
      <c r="L508" s="99" t="inlineStr">
        <is>
          <t>Y</t>
        </is>
      </c>
      <c r="M508" s="99" t="n">
        <v>49.7</v>
      </c>
      <c r="N508" s="99" t="inlineStr">
        <is>
          <t>N</t>
        </is>
      </c>
      <c r="O508" s="99" t="n">
        <v>102.98</v>
      </c>
      <c r="P508" s="99" t="inlineStr">
        <is>
          <t>N</t>
        </is>
      </c>
      <c r="Q508" s="99" t="inlineStr">
        <is>
          <t>N/A</t>
        </is>
      </c>
      <c r="R508" s="99" t="inlineStr">
        <is>
          <t>N</t>
        </is>
      </c>
      <c r="S508" s="99" t="n">
        <v>6.2</v>
      </c>
      <c r="T508" s="99" t="n">
        <v>20.6</v>
      </c>
      <c r="U508" s="99" t="inlineStr">
        <is>
          <t>Y</t>
        </is>
      </c>
      <c r="V508" s="99" t="n">
        <v>40</v>
      </c>
      <c r="W508" s="99" t="n">
        <v>25.4</v>
      </c>
      <c r="X508" s="99" t="n">
        <v>5.75</v>
      </c>
      <c r="Y508" s="99" t="n">
        <v>-2.6</v>
      </c>
      <c r="Z508" s="99" t="n">
        <v>5</v>
      </c>
      <c r="AA508" s="94" t="inlineStr">
        <is>
          <t>WATCHLIST</t>
        </is>
      </c>
    </row>
    <row r="509">
      <c r="A509" s="97" t="inlineStr">
        <is>
          <t>KIMS</t>
        </is>
      </c>
      <c r="B509" s="97" t="inlineStr">
        <is>
          <t>Krishna Institute of Medical Sciences Ltd.</t>
        </is>
      </c>
      <c r="C509" s="97" t="inlineStr">
        <is>
          <t>Healthcare</t>
        </is>
      </c>
      <c r="D509" s="97" t="inlineStr">
        <is>
          <t>BSE Smallcap</t>
        </is>
      </c>
      <c r="E509" s="97" t="n">
        <v>800.45</v>
      </c>
      <c r="F509" s="97" t="n">
        <v>0.33</v>
      </c>
      <c r="G509" s="97" t="n">
        <v>392176</v>
      </c>
      <c r="H509" s="97" t="n">
        <v>0.61</v>
      </c>
      <c r="I509" s="97" t="n">
        <v>32029</v>
      </c>
      <c r="J509" s="97" t="inlineStr">
        <is>
          <t>Y</t>
        </is>
      </c>
      <c r="K509" s="97" t="inlineStr">
        <is>
          <t>Y</t>
        </is>
      </c>
      <c r="L509" s="97" t="inlineStr">
        <is>
          <t>Y</t>
        </is>
      </c>
      <c r="M509" s="97" t="n">
        <v>46.7</v>
      </c>
      <c r="N509" s="97" t="inlineStr">
        <is>
          <t>N</t>
        </is>
      </c>
      <c r="O509" s="97" t="n">
        <v>18.46</v>
      </c>
      <c r="P509" s="97" t="inlineStr">
        <is>
          <t>N</t>
        </is>
      </c>
      <c r="Q509" s="97" t="inlineStr">
        <is>
          <t>N/A</t>
        </is>
      </c>
      <c r="R509" s="97" t="inlineStr">
        <is>
          <t>N</t>
        </is>
      </c>
      <c r="S509" s="97" t="n">
        <v>0.9</v>
      </c>
      <c r="T509" s="97" t="n">
        <v>20.5</v>
      </c>
      <c r="U509" s="97" t="inlineStr">
        <is>
          <t>Y</t>
        </is>
      </c>
      <c r="V509" s="97" t="n">
        <v>131.7</v>
      </c>
      <c r="W509" s="97" t="n">
        <v>9.699999999999999</v>
      </c>
      <c r="X509" s="97" t="n">
        <v>166.23</v>
      </c>
      <c r="Y509" s="97" t="n">
        <v>-20.4</v>
      </c>
      <c r="Z509" s="97" t="n">
        <v>4</v>
      </c>
      <c r="AA509" s="92" t="inlineStr">
        <is>
          <t>AVOID</t>
        </is>
      </c>
    </row>
    <row r="510">
      <c r="A510" s="99" t="inlineStr">
        <is>
          <t>RADICO</t>
        </is>
      </c>
      <c r="B510" s="99" t="inlineStr">
        <is>
          <t>Radico Khaitan Ltd</t>
        </is>
      </c>
      <c r="C510" s="99" t="inlineStr">
        <is>
          <t>Fast Moving Consumer Goods</t>
        </is>
      </c>
      <c r="D510" s="99" t="inlineStr">
        <is>
          <t>Large/Midcap</t>
        </is>
      </c>
      <c r="E510" s="99" t="n">
        <v>4091.3</v>
      </c>
      <c r="F510" s="99" t="n">
        <v>0.86</v>
      </c>
      <c r="G510" s="99" t="n">
        <v>343711</v>
      </c>
      <c r="H510" s="99" t="n">
        <v>1.49</v>
      </c>
      <c r="I510" s="99" t="n">
        <v>55596</v>
      </c>
      <c r="J510" s="99" t="inlineStr">
        <is>
          <t>Y</t>
        </is>
      </c>
      <c r="K510" s="99" t="inlineStr">
        <is>
          <t>Y</t>
        </is>
      </c>
      <c r="L510" s="99" t="inlineStr">
        <is>
          <t>Y</t>
        </is>
      </c>
      <c r="M510" s="99" t="n">
        <v>49.2</v>
      </c>
      <c r="N510" s="99" t="inlineStr">
        <is>
          <t>N</t>
        </is>
      </c>
      <c r="O510" s="99" t="n">
        <v>83.26000000000001</v>
      </c>
      <c r="P510" s="99" t="inlineStr">
        <is>
          <t>N</t>
        </is>
      </c>
      <c r="Q510" s="99" t="inlineStr">
        <is>
          <t>N/A</t>
        </is>
      </c>
      <c r="R510" s="99" t="inlineStr">
        <is>
          <t>N</t>
        </is>
      </c>
      <c r="S510" s="99" t="n">
        <v>7.3</v>
      </c>
      <c r="T510" s="99" t="n">
        <v>19</v>
      </c>
      <c r="U510" s="99" t="inlineStr">
        <is>
          <t>Y</t>
        </is>
      </c>
      <c r="V510" s="99" t="n">
        <v>92.2</v>
      </c>
      <c r="W510" s="99" t="inlineStr">
        <is>
          <t>N/A</t>
        </is>
      </c>
      <c r="X510" s="99" t="n">
        <v>20.94</v>
      </c>
      <c r="Y510" s="99" t="n">
        <v>15.8</v>
      </c>
      <c r="Z510" s="99" t="n">
        <v>5</v>
      </c>
      <c r="AA510" s="94" t="inlineStr">
        <is>
          <t>WATCHLIST</t>
        </is>
      </c>
    </row>
    <row r="511">
      <c r="A511" s="97" t="inlineStr">
        <is>
          <t>JSWINFRA</t>
        </is>
      </c>
      <c r="B511" s="97" t="inlineStr">
        <is>
          <t>JSW Infrastructure Ltd.</t>
        </is>
      </c>
      <c r="C511" s="97" t="inlineStr">
        <is>
          <t>Services</t>
        </is>
      </c>
      <c r="D511" s="97" t="inlineStr">
        <is>
          <t>Large/Midcap</t>
        </is>
      </c>
      <c r="E511" s="97" t="n">
        <v>322.7</v>
      </c>
      <c r="F511" s="97" t="n">
        <v>-0.55</v>
      </c>
      <c r="G511" s="97" t="n">
        <v>2835528</v>
      </c>
      <c r="H511" s="97" t="n">
        <v>0.85</v>
      </c>
      <c r="I511" s="97" t="n">
        <v>74502</v>
      </c>
      <c r="J511" s="97" t="inlineStr">
        <is>
          <t>Y</t>
        </is>
      </c>
      <c r="K511" s="97" t="inlineStr">
        <is>
          <t>Y</t>
        </is>
      </c>
      <c r="L511" s="97" t="inlineStr">
        <is>
          <t>Y</t>
        </is>
      </c>
      <c r="M511" s="97" t="n">
        <v>49.3</v>
      </c>
      <c r="N511" s="97" t="inlineStr">
        <is>
          <t>N</t>
        </is>
      </c>
      <c r="O511" s="97" t="n">
        <v>12.08</v>
      </c>
      <c r="P511" s="97" t="inlineStr">
        <is>
          <t>N</t>
        </is>
      </c>
      <c r="Q511" s="97" t="inlineStr">
        <is>
          <t>N/A</t>
        </is>
      </c>
      <c r="R511" s="97" t="inlineStr">
        <is>
          <t>N</t>
        </is>
      </c>
      <c r="S511" s="97" t="n">
        <v>-1.9</v>
      </c>
      <c r="T511" s="97" t="n">
        <v>18.9</v>
      </c>
      <c r="U511" s="97" t="inlineStr">
        <is>
          <t>Y</t>
        </is>
      </c>
      <c r="V511" s="97" t="n">
        <v>45.3</v>
      </c>
      <c r="W511" s="97" t="inlineStr">
        <is>
          <t>N/A</t>
        </is>
      </c>
      <c r="X511" s="97" t="n">
        <v>59</v>
      </c>
      <c r="Y511" s="97" t="n">
        <v>-17.1</v>
      </c>
      <c r="Z511" s="97" t="n">
        <v>4</v>
      </c>
      <c r="AA511" s="92" t="inlineStr">
        <is>
          <t>AVOID</t>
        </is>
      </c>
    </row>
    <row r="512">
      <c r="A512" s="99" t="inlineStr">
        <is>
          <t>GRANULES</t>
        </is>
      </c>
      <c r="B512" s="99" t="inlineStr">
        <is>
          <t>Granules India Ltd.</t>
        </is>
      </c>
      <c r="C512" s="99" t="inlineStr">
        <is>
          <t>Healthcare</t>
        </is>
      </c>
      <c r="D512" s="99" t="inlineStr">
        <is>
          <t>BSE Smallcap</t>
        </is>
      </c>
      <c r="E512" s="99" t="n">
        <v>833.55</v>
      </c>
      <c r="F512" s="99" t="n">
        <v>-2.23</v>
      </c>
      <c r="G512" s="99" t="n">
        <v>870853</v>
      </c>
      <c r="H512" s="99" t="n">
        <v>0.48</v>
      </c>
      <c r="I512" s="99" t="n">
        <v>20884</v>
      </c>
      <c r="J512" s="99" t="inlineStr">
        <is>
          <t>Y</t>
        </is>
      </c>
      <c r="K512" s="99" t="inlineStr">
        <is>
          <t>Y</t>
        </is>
      </c>
      <c r="L512" s="99" t="inlineStr">
        <is>
          <t>Y</t>
        </is>
      </c>
      <c r="M512" s="99" t="n">
        <v>42.2</v>
      </c>
      <c r="N512" s="99" t="inlineStr">
        <is>
          <t>N</t>
        </is>
      </c>
      <c r="O512" s="99" t="n">
        <v>28.37</v>
      </c>
      <c r="P512" s="99" t="inlineStr">
        <is>
          <t>N</t>
        </is>
      </c>
      <c r="Q512" s="99" t="inlineStr">
        <is>
          <t>N/A</t>
        </is>
      </c>
      <c r="R512" s="99" t="inlineStr">
        <is>
          <t>N</t>
        </is>
      </c>
      <c r="S512" s="99" t="n">
        <v>9.300000000000001</v>
      </c>
      <c r="T512" s="99" t="n">
        <v>18.7</v>
      </c>
      <c r="U512" s="99" t="inlineStr">
        <is>
          <t>Y</t>
        </is>
      </c>
      <c r="V512" s="99" t="n">
        <v>31.3</v>
      </c>
      <c r="W512" s="99" t="inlineStr">
        <is>
          <t>N/A</t>
        </is>
      </c>
      <c r="X512" s="99" t="n">
        <v>29.73</v>
      </c>
      <c r="Y512" s="99" t="n">
        <v>-10.7</v>
      </c>
      <c r="Z512" s="99" t="n">
        <v>4</v>
      </c>
      <c r="AA512" s="94" t="inlineStr">
        <is>
          <t>AVOID</t>
        </is>
      </c>
    </row>
    <row r="513">
      <c r="A513" s="97" t="inlineStr">
        <is>
          <t>PWL</t>
        </is>
      </c>
      <c r="B513" s="97" t="inlineStr">
        <is>
          <t>Physicswallah Ltd.</t>
        </is>
      </c>
      <c r="C513" s="97" t="inlineStr">
        <is>
          <t>Consumer Services</t>
        </is>
      </c>
      <c r="D513" s="97" t="inlineStr">
        <is>
          <t>BSE Smallcap</t>
        </is>
      </c>
      <c r="E513" s="97" t="n">
        <v>128.05</v>
      </c>
      <c r="F513" s="97" t="n">
        <v>-3.9</v>
      </c>
      <c r="G513" s="97" t="n">
        <v>12191137</v>
      </c>
      <c r="H513" s="97" t="n">
        <v>3.99</v>
      </c>
      <c r="I513" s="97" t="n">
        <v>35200</v>
      </c>
      <c r="J513" s="97" t="inlineStr">
        <is>
          <t>Y</t>
        </is>
      </c>
      <c r="K513" s="97" t="inlineStr">
        <is>
          <t>Y</t>
        </is>
      </c>
      <c r="L513" s="97" t="inlineStr">
        <is>
          <t>N/A</t>
        </is>
      </c>
      <c r="M513" s="97" t="n">
        <v>42.9</v>
      </c>
      <c r="N513" s="97" t="inlineStr">
        <is>
          <t>N</t>
        </is>
      </c>
      <c r="O513" s="97" t="n">
        <v>8.31</v>
      </c>
      <c r="P513" s="97" t="inlineStr">
        <is>
          <t>N</t>
        </is>
      </c>
      <c r="Q513" s="97" t="inlineStr">
        <is>
          <t>N/A</t>
        </is>
      </c>
      <c r="R513" s="97" t="inlineStr">
        <is>
          <t>N</t>
        </is>
      </c>
      <c r="S513" s="97" t="n">
        <v>2.4</v>
      </c>
      <c r="T513" s="97" t="n">
        <v>16.1</v>
      </c>
      <c r="U513" s="97" t="inlineStr">
        <is>
          <t>Y</t>
        </is>
      </c>
      <c r="V513" s="97" t="inlineStr">
        <is>
          <t>N/A</t>
        </is>
      </c>
      <c r="W513" s="97" t="n">
        <v>-0.8</v>
      </c>
      <c r="X513" s="97" t="n">
        <v>23.02</v>
      </c>
      <c r="Y513" s="97" t="n">
        <v>-174.5</v>
      </c>
      <c r="Z513" s="97" t="n">
        <v>3</v>
      </c>
      <c r="AA513" s="92" t="inlineStr">
        <is>
          <t>AVOID</t>
        </is>
      </c>
    </row>
    <row r="514">
      <c r="A514" s="99" t="inlineStr">
        <is>
          <t>IPCALAB</t>
        </is>
      </c>
      <c r="B514" s="99" t="inlineStr">
        <is>
          <t>Ipca Laboratories Ltd.</t>
        </is>
      </c>
      <c r="C514" s="99" t="inlineStr">
        <is>
          <t>Healthcare</t>
        </is>
      </c>
      <c r="D514" s="99" t="inlineStr">
        <is>
          <t>Large/Midcap</t>
        </is>
      </c>
      <c r="E514" s="99" t="n">
        <v>1762.7</v>
      </c>
      <c r="F514" s="99" t="n">
        <v>-0.48</v>
      </c>
      <c r="G514" s="99" t="n">
        <v>79195</v>
      </c>
      <c r="H514" s="99" t="n">
        <v>0.3</v>
      </c>
      <c r="I514" s="99" t="n">
        <v>45098</v>
      </c>
      <c r="J514" s="99" t="inlineStr">
        <is>
          <t>Y</t>
        </is>
      </c>
      <c r="K514" s="99" t="inlineStr">
        <is>
          <t>Y</t>
        </is>
      </c>
      <c r="L514" s="99" t="inlineStr">
        <is>
          <t>Y</t>
        </is>
      </c>
      <c r="M514" s="99" t="n">
        <v>46.9</v>
      </c>
      <c r="N514" s="99" t="inlineStr">
        <is>
          <t>N</t>
        </is>
      </c>
      <c r="O514" s="99" t="n">
        <v>58.95</v>
      </c>
      <c r="P514" s="99" t="inlineStr">
        <is>
          <t>N</t>
        </is>
      </c>
      <c r="Q514" s="99" t="inlineStr">
        <is>
          <t>N/A</t>
        </is>
      </c>
      <c r="R514" s="99" t="inlineStr">
        <is>
          <t>N</t>
        </is>
      </c>
      <c r="S514" s="99" t="n">
        <v>9.199999999999999</v>
      </c>
      <c r="T514" s="99" t="n">
        <v>14.7</v>
      </c>
      <c r="U514" s="99" t="inlineStr">
        <is>
          <t>Y</t>
        </is>
      </c>
      <c r="V514" s="99" t="n">
        <v>39.5</v>
      </c>
      <c r="W514" s="99" t="n">
        <v>13.2</v>
      </c>
      <c r="X514" s="99" t="n">
        <v>8.49</v>
      </c>
      <c r="Y514" s="99" t="n">
        <v>-8.300000000000001</v>
      </c>
      <c r="Z514" s="99" t="n">
        <v>4</v>
      </c>
      <c r="AA514" s="94" t="inlineStr">
        <is>
          <t>AVOID</t>
        </is>
      </c>
    </row>
    <row r="515">
      <c r="A515" s="97" t="inlineStr">
        <is>
          <t>CHOLAFIN</t>
        </is>
      </c>
      <c r="B515" s="97" t="inlineStr">
        <is>
          <t>Cholamandalam Investment and Finance Company Ltd.</t>
        </is>
      </c>
      <c r="C515" s="97" t="inlineStr">
        <is>
          <t>Financial Services</t>
        </is>
      </c>
      <c r="D515" s="97" t="inlineStr">
        <is>
          <t>Large/Midcap</t>
        </is>
      </c>
      <c r="E515" s="97" t="n">
        <v>1785.2</v>
      </c>
      <c r="F515" s="97" t="n">
        <v>3.53</v>
      </c>
      <c r="G515" s="97" t="n">
        <v>1963093</v>
      </c>
      <c r="H515" s="97" t="n">
        <v>1.46</v>
      </c>
      <c r="I515" s="97" t="n">
        <v>152458</v>
      </c>
      <c r="J515" s="97" t="inlineStr">
        <is>
          <t>Y</t>
        </is>
      </c>
      <c r="K515" s="97" t="inlineStr">
        <is>
          <t>Y</t>
        </is>
      </c>
      <c r="L515" s="97" t="inlineStr">
        <is>
          <t>Y</t>
        </is>
      </c>
      <c r="M515" s="97" t="n">
        <v>41.2</v>
      </c>
      <c r="N515" s="97" t="inlineStr">
        <is>
          <t>N</t>
        </is>
      </c>
      <c r="O515" s="97" t="n">
        <v>50.69</v>
      </c>
      <c r="P515" s="97" t="inlineStr">
        <is>
          <t>N</t>
        </is>
      </c>
      <c r="Q515" s="97" t="inlineStr">
        <is>
          <t>N/A</t>
        </is>
      </c>
      <c r="R515" s="97" t="inlineStr">
        <is>
          <t>N</t>
        </is>
      </c>
      <c r="S515" s="97" t="n">
        <v>-0.5</v>
      </c>
      <c r="T515" s="97" t="n">
        <v>14.7</v>
      </c>
      <c r="U515" s="97" t="inlineStr">
        <is>
          <t>Y</t>
        </is>
      </c>
      <c r="V515" s="97" t="n">
        <v>27.9</v>
      </c>
      <c r="W515" s="97" t="n">
        <v>19.3</v>
      </c>
      <c r="X515" s="97" t="n">
        <v>695.28</v>
      </c>
      <c r="Y515" s="97" t="n">
        <v>27.5</v>
      </c>
      <c r="Z515" s="97" t="n">
        <v>6</v>
      </c>
      <c r="AA515" s="92" t="inlineStr">
        <is>
          <t>WATCHLIST</t>
        </is>
      </c>
    </row>
    <row r="516">
      <c r="A516" s="99" t="inlineStr">
        <is>
          <t>APOLLOHOSP</t>
        </is>
      </c>
      <c r="B516" s="99" t="inlineStr">
        <is>
          <t>Apollo Hospitals Enterprise Ltd.</t>
        </is>
      </c>
      <c r="C516" s="99" t="inlineStr">
        <is>
          <t>Healthcare</t>
        </is>
      </c>
      <c r="D516" s="99" t="inlineStr">
        <is>
          <t>Large/Midcap</t>
        </is>
      </c>
      <c r="E516" s="99" t="n">
        <v>8805.5</v>
      </c>
      <c r="F516" s="99" t="n">
        <v>-0.64</v>
      </c>
      <c r="G516" s="99" t="n">
        <v>189462</v>
      </c>
      <c r="H516" s="99" t="n">
        <v>1.12</v>
      </c>
      <c r="I516" s="99" t="n">
        <v>127156</v>
      </c>
      <c r="J516" s="99" t="inlineStr">
        <is>
          <t>Y</t>
        </is>
      </c>
      <c r="K516" s="99" t="inlineStr">
        <is>
          <t>Y</t>
        </is>
      </c>
      <c r="L516" s="99" t="inlineStr">
        <is>
          <t>Y</t>
        </is>
      </c>
      <c r="M516" s="99" t="n">
        <v>44.8</v>
      </c>
      <c r="N516" s="99" t="inlineStr">
        <is>
          <t>N</t>
        </is>
      </c>
      <c r="O516" s="99" t="n">
        <v>132.43</v>
      </c>
      <c r="P516" s="99" t="inlineStr">
        <is>
          <t>N</t>
        </is>
      </c>
      <c r="Q516" s="99" t="inlineStr">
        <is>
          <t>N/A</t>
        </is>
      </c>
      <c r="R516" s="99" t="inlineStr">
        <is>
          <t>N</t>
        </is>
      </c>
      <c r="S516" s="99" t="n">
        <v>2.7</v>
      </c>
      <c r="T516" s="99" t="n">
        <v>14.6</v>
      </c>
      <c r="U516" s="99" t="inlineStr">
        <is>
          <t>Y</t>
        </is>
      </c>
      <c r="V516" s="99" t="n">
        <v>65.59999999999999</v>
      </c>
      <c r="W516" s="99" t="n">
        <v>21.5</v>
      </c>
      <c r="X516" s="99" t="n">
        <v>85.15000000000001</v>
      </c>
      <c r="Y516" s="99" t="n">
        <v>5.4</v>
      </c>
      <c r="Z516" s="99" t="n">
        <v>6</v>
      </c>
      <c r="AA516" s="94" t="inlineStr">
        <is>
          <t>WATCHLIST</t>
        </is>
      </c>
    </row>
    <row r="517">
      <c r="A517" s="97" t="inlineStr">
        <is>
          <t>ANANDRATHI</t>
        </is>
      </c>
      <c r="B517" s="97" t="inlineStr">
        <is>
          <t>Anand Rathi Wealth Ltd.</t>
        </is>
      </c>
      <c r="C517" s="97" t="inlineStr">
        <is>
          <t>Financial Services</t>
        </is>
      </c>
      <c r="D517" s="97" t="inlineStr">
        <is>
          <t>BSE Smallcap</t>
        </is>
      </c>
      <c r="E517" s="97" t="n">
        <v>2042.1</v>
      </c>
      <c r="F517" s="97" t="n">
        <v>-0.34</v>
      </c>
      <c r="G517" s="97" t="n">
        <v>231997</v>
      </c>
      <c r="H517" s="97" t="n">
        <v>1.34</v>
      </c>
      <c r="I517" s="97" t="n">
        <v>34073</v>
      </c>
      <c r="J517" s="97" t="inlineStr">
        <is>
          <t>Y</t>
        </is>
      </c>
      <c r="K517" s="97" t="inlineStr">
        <is>
          <t>Y</t>
        </is>
      </c>
      <c r="L517" s="97" t="inlineStr">
        <is>
          <t>Y</t>
        </is>
      </c>
      <c r="M517" s="97" t="n">
        <v>40.5</v>
      </c>
      <c r="N517" s="97" t="inlineStr">
        <is>
          <t>N</t>
        </is>
      </c>
      <c r="O517" s="97" t="n">
        <v>56.17</v>
      </c>
      <c r="P517" s="97" t="inlineStr">
        <is>
          <t>N</t>
        </is>
      </c>
      <c r="Q517" s="97" t="inlineStr">
        <is>
          <t>N/A</t>
        </is>
      </c>
      <c r="R517" s="97" t="inlineStr">
        <is>
          <t>N</t>
        </is>
      </c>
      <c r="S517" s="97" t="n">
        <v>5.9</v>
      </c>
      <c r="T517" s="97" t="n">
        <v>14.5</v>
      </c>
      <c r="U517" s="97" t="inlineStr">
        <is>
          <t>Y</t>
        </is>
      </c>
      <c r="V517" s="97" t="n">
        <v>74.40000000000001</v>
      </c>
      <c r="W517" s="97" t="inlineStr">
        <is>
          <t>N/A</t>
        </is>
      </c>
      <c r="X517" s="97" t="n">
        <v>8.25</v>
      </c>
      <c r="Y517" s="97" t="n">
        <v>57.9</v>
      </c>
      <c r="Z517" s="97" t="n">
        <v>5</v>
      </c>
      <c r="AA517" s="92" t="inlineStr">
        <is>
          <t>WATCHLIST</t>
        </is>
      </c>
    </row>
    <row r="518">
      <c r="A518" s="99" t="inlineStr">
        <is>
          <t>SAMMAANCAP</t>
        </is>
      </c>
      <c r="B518" s="99" t="inlineStr">
        <is>
          <t>Sammaan Capital Ltd.</t>
        </is>
      </c>
      <c r="C518" s="99" t="inlineStr">
        <is>
          <t>Financial Services</t>
        </is>
      </c>
      <c r="D518" s="99" t="inlineStr">
        <is>
          <t>BSE Smallcap</t>
        </is>
      </c>
      <c r="E518" s="99" t="n">
        <v>164.96</v>
      </c>
      <c r="F518" s="99" t="n">
        <v>2.69</v>
      </c>
      <c r="G518" s="99" t="n">
        <v>4635674</v>
      </c>
      <c r="H518" s="99" t="n">
        <v>0.5</v>
      </c>
      <c r="I518" s="99" t="n">
        <v>18949</v>
      </c>
      <c r="J518" s="99" t="inlineStr">
        <is>
          <t>Y</t>
        </is>
      </c>
      <c r="K518" s="99" t="inlineStr">
        <is>
          <t>N</t>
        </is>
      </c>
      <c r="L518" s="99" t="inlineStr">
        <is>
          <t>Y</t>
        </is>
      </c>
      <c r="M518" s="99" t="n">
        <v>44.5</v>
      </c>
      <c r="N518" s="99" t="inlineStr">
        <is>
          <t>N</t>
        </is>
      </c>
      <c r="O518" s="99" t="n">
        <v>4.8</v>
      </c>
      <c r="P518" s="99" t="inlineStr">
        <is>
          <t>N</t>
        </is>
      </c>
      <c r="Q518" s="99" t="inlineStr">
        <is>
          <t>N/A</t>
        </is>
      </c>
      <c r="R518" s="99" t="inlineStr">
        <is>
          <t>N</t>
        </is>
      </c>
      <c r="S518" s="99" t="n">
        <v>-2.6</v>
      </c>
      <c r="T518" s="99" t="n">
        <v>14.5</v>
      </c>
      <c r="U518" s="99" t="inlineStr">
        <is>
          <t>Y</t>
        </is>
      </c>
      <c r="V518" s="99" t="inlineStr">
        <is>
          <t>N/A</t>
        </is>
      </c>
      <c r="W518" s="99" t="n">
        <v>-35</v>
      </c>
      <c r="X518" s="99" t="n">
        <v>273.03</v>
      </c>
      <c r="Y518" s="99" t="n">
        <v>-2679.4</v>
      </c>
      <c r="Z518" s="99" t="n">
        <v>3</v>
      </c>
      <c r="AA518" s="94" t="inlineStr">
        <is>
          <t>AVOID</t>
        </is>
      </c>
    </row>
    <row r="519">
      <c r="A519" s="97" t="inlineStr">
        <is>
          <t>PIDILITIND</t>
        </is>
      </c>
      <c r="B519" s="97" t="inlineStr">
        <is>
          <t>Pidilite Industries Ltd.</t>
        </is>
      </c>
      <c r="C519" s="97" t="inlineStr">
        <is>
          <t>Chemicals</t>
        </is>
      </c>
      <c r="D519" s="97" t="inlineStr">
        <is>
          <t>Large/Midcap</t>
        </is>
      </c>
      <c r="E519" s="97" t="n">
        <v>1570.9</v>
      </c>
      <c r="F519" s="97" t="n">
        <v>0.43</v>
      </c>
      <c r="G519" s="97" t="n">
        <v>2199982</v>
      </c>
      <c r="H519" s="97" t="n">
        <v>1.49</v>
      </c>
      <c r="I519" s="97" t="n">
        <v>163997</v>
      </c>
      <c r="J519" s="97" t="inlineStr">
        <is>
          <t>Y</t>
        </is>
      </c>
      <c r="K519" s="97" t="inlineStr">
        <is>
          <t>Y</t>
        </is>
      </c>
      <c r="L519" s="97" t="inlineStr">
        <is>
          <t>Y</t>
        </is>
      </c>
      <c r="M519" s="97" t="n">
        <v>42.8</v>
      </c>
      <c r="N519" s="97" t="inlineStr">
        <is>
          <t>N</t>
        </is>
      </c>
      <c r="O519" s="97" t="n">
        <v>35.17</v>
      </c>
      <c r="P519" s="97" t="inlineStr">
        <is>
          <t>Y</t>
        </is>
      </c>
      <c r="Q519" s="97" t="inlineStr">
        <is>
          <t>N/A</t>
        </is>
      </c>
      <c r="R519" s="97" t="inlineStr">
        <is>
          <t>N</t>
        </is>
      </c>
      <c r="S519" s="97" t="n">
        <v>-0.7</v>
      </c>
      <c r="T519" s="97" t="n">
        <v>14.3</v>
      </c>
      <c r="U519" s="97" t="inlineStr">
        <is>
          <t>Y</t>
        </is>
      </c>
      <c r="V519" s="97" t="n">
        <v>67.09999999999999</v>
      </c>
      <c r="W519" s="97" t="n">
        <v>23.5</v>
      </c>
      <c r="X519" s="97" t="n">
        <v>3.78</v>
      </c>
      <c r="Y519" s="97" t="n">
        <v>-6.3</v>
      </c>
      <c r="Z519" s="97" t="n">
        <v>6</v>
      </c>
      <c r="AA519" s="92" t="inlineStr">
        <is>
          <t>WATCHLIST</t>
        </is>
      </c>
    </row>
    <row r="520">
      <c r="A520" s="99" t="inlineStr">
        <is>
          <t>INDHOTEL</t>
        </is>
      </c>
      <c r="B520" s="99" t="inlineStr">
        <is>
          <t>Indian Hotels Co. Ltd.</t>
        </is>
      </c>
      <c r="C520" s="99" t="inlineStr">
        <is>
          <t>Consumer Services</t>
        </is>
      </c>
      <c r="D520" s="99" t="inlineStr">
        <is>
          <t>Large/Midcap</t>
        </is>
      </c>
      <c r="E520" s="99" t="n">
        <v>727.45</v>
      </c>
      <c r="F520" s="99" t="n">
        <v>0.47</v>
      </c>
      <c r="G520" s="99" t="n">
        <v>1864296</v>
      </c>
      <c r="H520" s="99" t="n">
        <v>0.58</v>
      </c>
      <c r="I520" s="99" t="n">
        <v>104444</v>
      </c>
      <c r="J520" s="99" t="inlineStr">
        <is>
          <t>Y</t>
        </is>
      </c>
      <c r="K520" s="99" t="inlineStr">
        <is>
          <t>Y</t>
        </is>
      </c>
      <c r="L520" s="99" t="inlineStr">
        <is>
          <t>Y</t>
        </is>
      </c>
      <c r="M520" s="99" t="n">
        <v>45.7</v>
      </c>
      <c r="N520" s="99" t="inlineStr">
        <is>
          <t>N</t>
        </is>
      </c>
      <c r="O520" s="99" t="n">
        <v>17.17</v>
      </c>
      <c r="P520" s="99" t="inlineStr">
        <is>
          <t>N</t>
        </is>
      </c>
      <c r="Q520" s="99" t="inlineStr">
        <is>
          <t>N/A</t>
        </is>
      </c>
      <c r="R520" s="99" t="inlineStr">
        <is>
          <t>N</t>
        </is>
      </c>
      <c r="S520" s="99" t="n">
        <v>1.2</v>
      </c>
      <c r="T520" s="99" t="n">
        <v>13.7</v>
      </c>
      <c r="U520" s="99" t="inlineStr">
        <is>
          <t>Y</t>
        </is>
      </c>
      <c r="V520" s="99" t="n">
        <v>48.7</v>
      </c>
      <c r="W520" s="99" t="inlineStr">
        <is>
          <t>N/A</t>
        </is>
      </c>
      <c r="X520" s="99" t="n">
        <v>18.99</v>
      </c>
      <c r="Y520" s="99" t="n">
        <v>-40.3</v>
      </c>
      <c r="Z520" s="99" t="n">
        <v>4</v>
      </c>
      <c r="AA520" s="94" t="inlineStr">
        <is>
          <t>AVOID</t>
        </is>
      </c>
    </row>
    <row r="521">
      <c r="A521" s="97" t="inlineStr">
        <is>
          <t>ENDURANCE</t>
        </is>
      </c>
      <c r="B521" s="97" t="inlineStr">
        <is>
          <t>Endurance Technologies Ltd.</t>
        </is>
      </c>
      <c r="C521" s="97" t="inlineStr">
        <is>
          <t>Automobile and Auto Components</t>
        </is>
      </c>
      <c r="D521" s="97" t="inlineStr">
        <is>
          <t>Large/Midcap</t>
        </is>
      </c>
      <c r="E521" s="97" t="n">
        <v>2634</v>
      </c>
      <c r="F521" s="97" t="n">
        <v>-3.17</v>
      </c>
      <c r="G521" s="97" t="n">
        <v>369867</v>
      </c>
      <c r="H521" s="97" t="n">
        <v>4.45</v>
      </c>
      <c r="I521" s="97" t="n">
        <v>38440</v>
      </c>
      <c r="J521" s="97" t="inlineStr">
        <is>
          <t>Y</t>
        </is>
      </c>
      <c r="K521" s="97" t="inlineStr">
        <is>
          <t>N</t>
        </is>
      </c>
      <c r="L521" s="97" t="inlineStr">
        <is>
          <t>Y</t>
        </is>
      </c>
      <c r="M521" s="97" t="n">
        <v>48</v>
      </c>
      <c r="N521" s="97" t="inlineStr">
        <is>
          <t>N</t>
        </is>
      </c>
      <c r="O521" s="97" t="n">
        <v>77.88</v>
      </c>
      <c r="P521" s="97" t="inlineStr">
        <is>
          <t>Y</t>
        </is>
      </c>
      <c r="Q521" s="97" t="inlineStr">
        <is>
          <t>N/A</t>
        </is>
      </c>
      <c r="R521" s="97" t="inlineStr">
        <is>
          <t>N</t>
        </is>
      </c>
      <c r="S521" s="97" t="n">
        <v>-2.2</v>
      </c>
      <c r="T521" s="97" t="n">
        <v>13.6</v>
      </c>
      <c r="U521" s="97" t="inlineStr">
        <is>
          <t>Y</t>
        </is>
      </c>
      <c r="V521" s="97" t="n">
        <v>40.4</v>
      </c>
      <c r="W521" s="97" t="n">
        <v>15.2</v>
      </c>
      <c r="X521" s="97" t="n">
        <v>19.39</v>
      </c>
      <c r="Y521" s="97" t="n">
        <v>24.7</v>
      </c>
      <c r="Z521" s="97" t="n">
        <v>6</v>
      </c>
      <c r="AA521" s="92" t="inlineStr">
        <is>
          <t>WATCHLIST</t>
        </is>
      </c>
    </row>
    <row r="522">
      <c r="A522" s="99" t="inlineStr">
        <is>
          <t>OFSS</t>
        </is>
      </c>
      <c r="B522" s="99" t="inlineStr">
        <is>
          <t>Oracle Financial Services Software Ltd.</t>
        </is>
      </c>
      <c r="C522" s="99" t="inlineStr">
        <is>
          <t>Information Technology</t>
        </is>
      </c>
      <c r="D522" s="99" t="inlineStr">
        <is>
          <t>Large/Midcap</t>
        </is>
      </c>
      <c r="E522" s="99" t="n">
        <v>10652</v>
      </c>
      <c r="F522" s="99" t="n">
        <v>-1.76</v>
      </c>
      <c r="G522" s="99" t="n">
        <v>452845</v>
      </c>
      <c r="H522" s="99" t="n">
        <v>0.34</v>
      </c>
      <c r="I522" s="99" t="n">
        <v>96558</v>
      </c>
      <c r="J522" s="99" t="inlineStr">
        <is>
          <t>Y</t>
        </is>
      </c>
      <c r="K522" s="99" t="inlineStr">
        <is>
          <t>Y</t>
        </is>
      </c>
      <c r="L522" s="99" t="inlineStr">
        <is>
          <t>Y</t>
        </is>
      </c>
      <c r="M522" s="99" t="n">
        <v>40.8</v>
      </c>
      <c r="N522" s="99" t="inlineStr">
        <is>
          <t>N</t>
        </is>
      </c>
      <c r="O522" s="99" t="n">
        <v>460.14</v>
      </c>
      <c r="P522" s="99" t="inlineStr">
        <is>
          <t>N</t>
        </is>
      </c>
      <c r="Q522" s="99" t="inlineStr">
        <is>
          <t>N/A</t>
        </is>
      </c>
      <c r="R522" s="99" t="inlineStr">
        <is>
          <t>N</t>
        </is>
      </c>
      <c r="S522" s="99" t="n">
        <v>-2.7</v>
      </c>
      <c r="T522" s="99" t="n">
        <v>13.5</v>
      </c>
      <c r="U522" s="99" t="inlineStr">
        <is>
          <t>Y</t>
        </is>
      </c>
      <c r="V522" s="99" t="n">
        <v>28.4</v>
      </c>
      <c r="W522" s="99" t="inlineStr">
        <is>
          <t>N/A</t>
        </is>
      </c>
      <c r="X522" s="99" t="n">
        <v>0.41</v>
      </c>
      <c r="Y522" s="99" t="n">
        <v>68.2</v>
      </c>
      <c r="Z522" s="99" t="n">
        <v>5</v>
      </c>
      <c r="AA522" s="94" t="inlineStr">
        <is>
          <t>WATCHLIST</t>
        </is>
      </c>
    </row>
    <row r="523">
      <c r="A523" s="97" t="inlineStr">
        <is>
          <t>ABCAPITAL</t>
        </is>
      </c>
      <c r="B523" s="97" t="inlineStr">
        <is>
          <t>Aditya Birla Capital Ltd.</t>
        </is>
      </c>
      <c r="C523" s="97" t="inlineStr">
        <is>
          <t>Financial Services</t>
        </is>
      </c>
      <c r="D523" s="97" t="inlineStr">
        <is>
          <t>Large/Midcap</t>
        </is>
      </c>
      <c r="E523" s="97" t="n">
        <v>393.85</v>
      </c>
      <c r="F523" s="97" t="n">
        <v>0.41</v>
      </c>
      <c r="G523" s="97" t="n">
        <v>3424162</v>
      </c>
      <c r="H523" s="97" t="n">
        <v>0.82</v>
      </c>
      <c r="I523" s="97" t="n">
        <v>109567</v>
      </c>
      <c r="J523" s="97" t="inlineStr">
        <is>
          <t>Y</t>
        </is>
      </c>
      <c r="K523" s="97" t="inlineStr">
        <is>
          <t>Y</t>
        </is>
      </c>
      <c r="L523" s="97" t="inlineStr">
        <is>
          <t>Y</t>
        </is>
      </c>
      <c r="M523" s="97" t="n">
        <v>41.5</v>
      </c>
      <c r="N523" s="97" t="inlineStr">
        <is>
          <t>N</t>
        </is>
      </c>
      <c r="O523" s="97" t="n">
        <v>11.01</v>
      </c>
      <c r="P523" s="97" t="inlineStr">
        <is>
          <t>N</t>
        </is>
      </c>
      <c r="Q523" s="97" t="inlineStr">
        <is>
          <t>N/A</t>
        </is>
      </c>
      <c r="R523" s="97" t="inlineStr">
        <is>
          <t>N</t>
        </is>
      </c>
      <c r="S523" s="97" t="n">
        <v>1</v>
      </c>
      <c r="T523" s="97" t="n">
        <v>13.4</v>
      </c>
      <c r="U523" s="97" t="inlineStr">
        <is>
          <t>Y</t>
        </is>
      </c>
      <c r="V523" s="97" t="n">
        <v>28.1</v>
      </c>
      <c r="W523" s="97" t="n">
        <v>11.2</v>
      </c>
      <c r="X523" s="97" t="n">
        <v>495.94</v>
      </c>
      <c r="Y523" s="97" t="n">
        <v>19.5</v>
      </c>
      <c r="Z523" s="97" t="n">
        <v>5</v>
      </c>
      <c r="AA523" s="92" t="inlineStr">
        <is>
          <t>WATCHLIST</t>
        </is>
      </c>
    </row>
    <row r="524">
      <c r="A524" s="99" t="inlineStr">
        <is>
          <t>CARBORUNIV</t>
        </is>
      </c>
      <c r="B524" s="99" t="inlineStr">
        <is>
          <t>Carborundum Universal Ltd.</t>
        </is>
      </c>
      <c r="C524" s="99" t="inlineStr">
        <is>
          <t>Capital Goods</t>
        </is>
      </c>
      <c r="D524" s="99" t="inlineStr">
        <is>
          <t>BSE Smallcap</t>
        </is>
      </c>
      <c r="E524" s="99" t="n">
        <v>1073.1</v>
      </c>
      <c r="F524" s="99" t="n">
        <v>0.83</v>
      </c>
      <c r="G524" s="99" t="n">
        <v>79889</v>
      </c>
      <c r="H524" s="99" t="n">
        <v>0.51</v>
      </c>
      <c r="I524" s="99" t="n">
        <v>20442</v>
      </c>
      <c r="J524" s="99" t="inlineStr">
        <is>
          <t>Y</t>
        </is>
      </c>
      <c r="K524" s="99" t="inlineStr">
        <is>
          <t>N</t>
        </is>
      </c>
      <c r="L524" s="99" t="inlineStr">
        <is>
          <t>Y</t>
        </is>
      </c>
      <c r="M524" s="99" t="n">
        <v>40.9</v>
      </c>
      <c r="N524" s="99" t="inlineStr">
        <is>
          <t>N</t>
        </is>
      </c>
      <c r="O524" s="99" t="n">
        <v>36.94</v>
      </c>
      <c r="P524" s="99" t="inlineStr">
        <is>
          <t>N</t>
        </is>
      </c>
      <c r="Q524" s="99" t="inlineStr">
        <is>
          <t>N/A</t>
        </is>
      </c>
      <c r="R524" s="99" t="inlineStr">
        <is>
          <t>N</t>
        </is>
      </c>
      <c r="S524" s="99" t="n">
        <v>-5.9</v>
      </c>
      <c r="T524" s="99" t="n">
        <v>13.2</v>
      </c>
      <c r="U524" s="99" t="inlineStr">
        <is>
          <t>Y</t>
        </is>
      </c>
      <c r="V524" s="99" t="n">
        <v>103.1</v>
      </c>
      <c r="W524" s="99" t="n">
        <v>4.4</v>
      </c>
      <c r="X524" s="99" t="n">
        <v>10.29</v>
      </c>
      <c r="Y524" s="99" t="n">
        <v>-123.2</v>
      </c>
      <c r="Z524" s="99" t="n">
        <v>3</v>
      </c>
      <c r="AA524" s="94" t="inlineStr">
        <is>
          <t>AVOID</t>
        </is>
      </c>
    </row>
    <row r="525">
      <c r="A525" s="97" t="inlineStr">
        <is>
          <t>ZYDUSWELL</t>
        </is>
      </c>
      <c r="B525" s="97" t="inlineStr">
        <is>
          <t>Zydus Wellness Ltd.</t>
        </is>
      </c>
      <c r="C525" s="97" t="inlineStr">
        <is>
          <t>Fast Moving Consumer Goods</t>
        </is>
      </c>
      <c r="D525" s="97" t="inlineStr">
        <is>
          <t>BSE Smallcap</t>
        </is>
      </c>
      <c r="E525" s="97" t="n">
        <v>563.05</v>
      </c>
      <c r="F525" s="97" t="n">
        <v>2.21</v>
      </c>
      <c r="G525" s="97" t="n">
        <v>212435</v>
      </c>
      <c r="H525" s="97" t="n">
        <v>0.91</v>
      </c>
      <c r="I525" s="97" t="n">
        <v>17796</v>
      </c>
      <c r="J525" s="97" t="inlineStr">
        <is>
          <t>Y</t>
        </is>
      </c>
      <c r="K525" s="97" t="inlineStr">
        <is>
          <t>Y</t>
        </is>
      </c>
      <c r="L525" s="97" t="inlineStr">
        <is>
          <t>Y</t>
        </is>
      </c>
      <c r="M525" s="97" t="n">
        <v>45.2</v>
      </c>
      <c r="N525" s="97" t="inlineStr">
        <is>
          <t>N</t>
        </is>
      </c>
      <c r="O525" s="97" t="n">
        <v>22.94</v>
      </c>
      <c r="P525" s="97" t="inlineStr">
        <is>
          <t>N</t>
        </is>
      </c>
      <c r="Q525" s="97" t="inlineStr">
        <is>
          <t>N/A</t>
        </is>
      </c>
      <c r="R525" s="97" t="inlineStr">
        <is>
          <t>N</t>
        </is>
      </c>
      <c r="S525" s="97" t="n">
        <v>9.1</v>
      </c>
      <c r="T525" s="97" t="n">
        <v>13.1</v>
      </c>
      <c r="U525" s="97" t="inlineStr">
        <is>
          <t>Y</t>
        </is>
      </c>
      <c r="V525" s="97" t="n">
        <v>90.40000000000001</v>
      </c>
      <c r="W525" s="97" t="n">
        <v>3.4</v>
      </c>
      <c r="X525" s="97" t="n">
        <v>54.97</v>
      </c>
      <c r="Y525" s="97" t="n">
        <v>506</v>
      </c>
      <c r="Z525" s="97" t="n">
        <v>5</v>
      </c>
      <c r="AA525" s="92" t="inlineStr">
        <is>
          <t>WATCHLIST</t>
        </is>
      </c>
    </row>
    <row r="526">
      <c r="A526" s="99" t="inlineStr">
        <is>
          <t>ASTERDM</t>
        </is>
      </c>
      <c r="B526" s="99" t="inlineStr">
        <is>
          <t>Aster DM Healthcare Ltd.</t>
        </is>
      </c>
      <c r="C526" s="99" t="inlineStr">
        <is>
          <t>Healthcare</t>
        </is>
      </c>
      <c r="D526" s="99" t="inlineStr">
        <is>
          <t>BSE Smallcap</t>
        </is>
      </c>
      <c r="E526" s="99" t="n">
        <v>785.65</v>
      </c>
      <c r="F526" s="99" t="n">
        <v>0.17</v>
      </c>
      <c r="G526" s="99" t="n">
        <v>731330</v>
      </c>
      <c r="H526" s="99" t="n">
        <v>2.05</v>
      </c>
      <c r="I526" s="99" t="n">
        <v>69770</v>
      </c>
      <c r="J526" s="99" t="inlineStr">
        <is>
          <t>Y</t>
        </is>
      </c>
      <c r="K526" s="99" t="inlineStr">
        <is>
          <t>Y</t>
        </is>
      </c>
      <c r="L526" s="99" t="inlineStr">
        <is>
          <t>Y</t>
        </is>
      </c>
      <c r="M526" s="99" t="n">
        <v>47.5</v>
      </c>
      <c r="N526" s="99" t="inlineStr">
        <is>
          <t>N</t>
        </is>
      </c>
      <c r="O526" s="99" t="n">
        <v>20.23</v>
      </c>
      <c r="P526" s="99" t="inlineStr">
        <is>
          <t>N</t>
        </is>
      </c>
      <c r="Q526" s="99" t="inlineStr">
        <is>
          <t>N/A</t>
        </is>
      </c>
      <c r="R526" s="99" t="inlineStr">
        <is>
          <t>N</t>
        </is>
      </c>
      <c r="S526" s="99" t="n">
        <v>2.4</v>
      </c>
      <c r="T526" s="99" t="n">
        <v>12.7</v>
      </c>
      <c r="U526" s="99" t="inlineStr">
        <is>
          <t>Y</t>
        </is>
      </c>
      <c r="V526" s="99" t="n">
        <v>106.3</v>
      </c>
      <c r="W526" s="99" t="n">
        <v>10.1</v>
      </c>
      <c r="X526" s="99" t="n">
        <v>45.92</v>
      </c>
      <c r="Y526" s="99" t="n">
        <v>167.2</v>
      </c>
      <c r="Z526" s="99" t="n">
        <v>5</v>
      </c>
      <c r="AA526" s="94" t="inlineStr">
        <is>
          <t>WATCHLIST</t>
        </is>
      </c>
    </row>
    <row r="527">
      <c r="A527" s="97" t="inlineStr">
        <is>
          <t>JINDALSAW</t>
        </is>
      </c>
      <c r="B527" s="97" t="inlineStr">
        <is>
          <t>Jindal Saw Ltd.</t>
        </is>
      </c>
      <c r="C527" s="97" t="inlineStr">
        <is>
          <t>Capital Goods</t>
        </is>
      </c>
      <c r="D527" s="97" t="inlineStr">
        <is>
          <t>BSE Smallcap</t>
        </is>
      </c>
      <c r="E527" s="97" t="n">
        <v>255.35</v>
      </c>
      <c r="F527" s="97" t="n">
        <v>-2.15</v>
      </c>
      <c r="G527" s="97" t="n">
        <v>1031851</v>
      </c>
      <c r="H527" s="97" t="n">
        <v>0.76</v>
      </c>
      <c r="I527" s="97" t="n">
        <v>15995</v>
      </c>
      <c r="J527" s="97" t="inlineStr">
        <is>
          <t>Y</t>
        </is>
      </c>
      <c r="K527" s="97" t="inlineStr">
        <is>
          <t>Y</t>
        </is>
      </c>
      <c r="L527" s="97" t="inlineStr">
        <is>
          <t>Y</t>
        </is>
      </c>
      <c r="M527" s="97" t="n">
        <v>47</v>
      </c>
      <c r="N527" s="97" t="inlineStr">
        <is>
          <t>N</t>
        </is>
      </c>
      <c r="O527" s="97" t="n">
        <v>11.51</v>
      </c>
      <c r="P527" s="97" t="inlineStr">
        <is>
          <t>N</t>
        </is>
      </c>
      <c r="Q527" s="97" t="inlineStr">
        <is>
          <t>N/A</t>
        </is>
      </c>
      <c r="R527" s="97" t="inlineStr">
        <is>
          <t>N</t>
        </is>
      </c>
      <c r="S527" s="97" t="n">
        <v>-1.8</v>
      </c>
      <c r="T527" s="97" t="n">
        <v>12.5</v>
      </c>
      <c r="U527" s="97" t="inlineStr">
        <is>
          <t>Y</t>
        </is>
      </c>
      <c r="V527" s="97" t="n">
        <v>24.5</v>
      </c>
      <c r="W527" s="97" t="inlineStr">
        <is>
          <t>N/A</t>
        </is>
      </c>
      <c r="X527" s="97" t="n">
        <v>38.19</v>
      </c>
      <c r="Y527" s="97" t="n"/>
      <c r="Z527" s="97" t="n">
        <v>4</v>
      </c>
      <c r="AA527" s="92" t="inlineStr">
        <is>
          <t>AVOID</t>
        </is>
      </c>
    </row>
    <row r="528">
      <c r="A528" s="99" t="inlineStr">
        <is>
          <t>APARINDS</t>
        </is>
      </c>
      <c r="B528" s="99" t="inlineStr">
        <is>
          <t>Apar Industries Ltd.</t>
        </is>
      </c>
      <c r="C528" s="99" t="inlineStr">
        <is>
          <t>Capital Goods</t>
        </is>
      </c>
      <c r="D528" s="99" t="inlineStr">
        <is>
          <t>BSE Smallcap</t>
        </is>
      </c>
      <c r="E528" s="99" t="n">
        <v>13889</v>
      </c>
      <c r="F528" s="99" t="n">
        <v>3.47</v>
      </c>
      <c r="G528" s="99" t="n">
        <v>485027</v>
      </c>
      <c r="H528" s="99" t="n">
        <v>7.36</v>
      </c>
      <c r="I528" s="99" t="n">
        <v>56449</v>
      </c>
      <c r="J528" s="99" t="inlineStr">
        <is>
          <t>Y</t>
        </is>
      </c>
      <c r="K528" s="99" t="inlineStr">
        <is>
          <t>N</t>
        </is>
      </c>
      <c r="L528" s="99" t="inlineStr">
        <is>
          <t>Y</t>
        </is>
      </c>
      <c r="M528" s="99" t="n">
        <v>44.5</v>
      </c>
      <c r="N528" s="99" t="inlineStr">
        <is>
          <t>N</t>
        </is>
      </c>
      <c r="O528" s="99" t="n">
        <v>589.29</v>
      </c>
      <c r="P528" s="99" t="inlineStr">
        <is>
          <t>Y</t>
        </is>
      </c>
      <c r="Q528" s="99" t="inlineStr">
        <is>
          <t>N/A</t>
        </is>
      </c>
      <c r="R528" s="99" t="inlineStr">
        <is>
          <t>N</t>
        </is>
      </c>
      <c r="S528" s="99" t="n">
        <v>-13.1</v>
      </c>
      <c r="T528" s="99" t="n">
        <v>12.5</v>
      </c>
      <c r="U528" s="99" t="inlineStr">
        <is>
          <t>Y</t>
        </is>
      </c>
      <c r="V528" s="99" t="n">
        <v>47.9</v>
      </c>
      <c r="W528" s="99" t="inlineStr">
        <is>
          <t>N/A</t>
        </is>
      </c>
      <c r="X528" s="99" t="n">
        <v>17.72</v>
      </c>
      <c r="Y528" s="99" t="n">
        <v>84.40000000000001</v>
      </c>
      <c r="Z528" s="99" t="n">
        <v>5</v>
      </c>
      <c r="AA528" s="94" t="inlineStr">
        <is>
          <t>WATCHLIST</t>
        </is>
      </c>
    </row>
    <row r="529">
      <c r="A529" s="97" t="inlineStr">
        <is>
          <t>AUROPHARMA</t>
        </is>
      </c>
      <c r="B529" s="97" t="inlineStr">
        <is>
          <t>Aurobindo Pharma Ltd.</t>
        </is>
      </c>
      <c r="C529" s="97" t="inlineStr">
        <is>
          <t>Healthcare</t>
        </is>
      </c>
      <c r="D529" s="97" t="inlineStr">
        <is>
          <t>Large/Midcap</t>
        </is>
      </c>
      <c r="E529" s="97" t="n">
        <v>1549.4</v>
      </c>
      <c r="F529" s="97" t="n">
        <v>1.14</v>
      </c>
      <c r="G529" s="97" t="n">
        <v>850225</v>
      </c>
      <c r="H529" s="97" t="n">
        <v>0.79</v>
      </c>
      <c r="I529" s="97" t="n">
        <v>89149</v>
      </c>
      <c r="J529" s="97" t="inlineStr">
        <is>
          <t>Y</t>
        </is>
      </c>
      <c r="K529" s="97" t="inlineStr">
        <is>
          <t>Y</t>
        </is>
      </c>
      <c r="L529" s="97" t="inlineStr">
        <is>
          <t>Y</t>
        </is>
      </c>
      <c r="M529" s="97" t="n">
        <v>43.1</v>
      </c>
      <c r="N529" s="97" t="inlineStr">
        <is>
          <t>N</t>
        </is>
      </c>
      <c r="O529" s="97" t="n">
        <v>38.06</v>
      </c>
      <c r="P529" s="97" t="inlineStr">
        <is>
          <t>N</t>
        </is>
      </c>
      <c r="Q529" s="97" t="inlineStr">
        <is>
          <t>N/A</t>
        </is>
      </c>
      <c r="R529" s="97" t="inlineStr">
        <is>
          <t>N</t>
        </is>
      </c>
      <c r="S529" s="97" t="n">
        <v>-0.1</v>
      </c>
      <c r="T529" s="97" t="n">
        <v>11.9</v>
      </c>
      <c r="U529" s="97" t="inlineStr">
        <is>
          <t>Y</t>
        </is>
      </c>
      <c r="V529" s="97" t="n">
        <v>25.4</v>
      </c>
      <c r="W529" s="97" t="n">
        <v>9.9</v>
      </c>
      <c r="X529" s="97" t="n">
        <v>21.31</v>
      </c>
      <c r="Y529" s="97" t="n">
        <v>1.2</v>
      </c>
      <c r="Z529" s="97" t="n">
        <v>5</v>
      </c>
      <c r="AA529" s="92" t="inlineStr">
        <is>
          <t>WATCHLIST</t>
        </is>
      </c>
    </row>
    <row r="530">
      <c r="A530" s="99" t="inlineStr">
        <is>
          <t>NAVINFLUOR</t>
        </is>
      </c>
      <c r="B530" s="99" t="inlineStr">
        <is>
          <t>Navin Fluorine International Ltd.</t>
        </is>
      </c>
      <c r="C530" s="99" t="inlineStr">
        <is>
          <t>Chemicals</t>
        </is>
      </c>
      <c r="D530" s="99" t="inlineStr">
        <is>
          <t>BSE Smallcap</t>
        </is>
      </c>
      <c r="E530" s="99" t="n">
        <v>7520</v>
      </c>
      <c r="F530" s="99" t="n">
        <v>-2</v>
      </c>
      <c r="G530" s="99" t="n">
        <v>70434</v>
      </c>
      <c r="H530" s="99" t="n">
        <v>0.49</v>
      </c>
      <c r="I530" s="99" t="n">
        <v>39557</v>
      </c>
      <c r="J530" s="99" t="inlineStr">
        <is>
          <t>Y</t>
        </is>
      </c>
      <c r="K530" s="99" t="inlineStr">
        <is>
          <t>Y</t>
        </is>
      </c>
      <c r="L530" s="99" t="inlineStr">
        <is>
          <t>Y</t>
        </is>
      </c>
      <c r="M530" s="99" t="n">
        <v>43.6</v>
      </c>
      <c r="N530" s="99" t="inlineStr">
        <is>
          <t>N</t>
        </is>
      </c>
      <c r="O530" s="99" t="n">
        <v>212.68</v>
      </c>
      <c r="P530" s="99" t="inlineStr">
        <is>
          <t>N</t>
        </is>
      </c>
      <c r="Q530" s="99" t="inlineStr">
        <is>
          <t>N/A</t>
        </is>
      </c>
      <c r="R530" s="99" t="inlineStr">
        <is>
          <t>N</t>
        </is>
      </c>
      <c r="S530" s="99" t="n">
        <v>-0.9</v>
      </c>
      <c r="T530" s="99" t="n">
        <v>11.8</v>
      </c>
      <c r="U530" s="99" t="inlineStr">
        <is>
          <t>Y</t>
        </is>
      </c>
      <c r="V530" s="99" t="n">
        <v>59.3</v>
      </c>
      <c r="W530" s="99" t="n">
        <v>20.1</v>
      </c>
      <c r="X530" s="99" t="n">
        <v>32.09</v>
      </c>
      <c r="Y530" s="99" t="n">
        <v>14.7</v>
      </c>
      <c r="Z530" s="99" t="n">
        <v>6</v>
      </c>
      <c r="AA530" s="94" t="inlineStr">
        <is>
          <t>WATCHLIST</t>
        </is>
      </c>
    </row>
    <row r="531">
      <c r="A531" s="97" t="inlineStr">
        <is>
          <t>USHAMART</t>
        </is>
      </c>
      <c r="B531" s="97" t="inlineStr">
        <is>
          <t>Usha Martin Ltd.</t>
        </is>
      </c>
      <c r="C531" s="97" t="inlineStr">
        <is>
          <t>Capital Goods</t>
        </is>
      </c>
      <c r="D531" s="97" t="inlineStr">
        <is>
          <t>BSE Smallcap</t>
        </is>
      </c>
      <c r="E531" s="97" t="n">
        <v>502.1</v>
      </c>
      <c r="F531" s="97" t="n">
        <v>1.29</v>
      </c>
      <c r="G531" s="97" t="n">
        <v>309401</v>
      </c>
      <c r="H531" s="97" t="n">
        <v>1.21</v>
      </c>
      <c r="I531" s="97" t="n">
        <v>15284</v>
      </c>
      <c r="J531" s="97" t="inlineStr">
        <is>
          <t>Y</t>
        </is>
      </c>
      <c r="K531" s="97" t="inlineStr">
        <is>
          <t>Y</t>
        </is>
      </c>
      <c r="L531" s="97" t="inlineStr">
        <is>
          <t>Y</t>
        </is>
      </c>
      <c r="M531" s="97" t="n">
        <v>47.3</v>
      </c>
      <c r="N531" s="97" t="inlineStr">
        <is>
          <t>N</t>
        </is>
      </c>
      <c r="O531" s="97" t="n">
        <v>13.88</v>
      </c>
      <c r="P531" s="97" t="inlineStr">
        <is>
          <t>N</t>
        </is>
      </c>
      <c r="Q531" s="97" t="inlineStr">
        <is>
          <t>N/A</t>
        </is>
      </c>
      <c r="R531" s="97" t="inlineStr">
        <is>
          <t>N</t>
        </is>
      </c>
      <c r="S531" s="97" t="n">
        <v>6.4</v>
      </c>
      <c r="T531" s="97" t="n">
        <v>11.5</v>
      </c>
      <c r="U531" s="97" t="inlineStr">
        <is>
          <t>Y</t>
        </is>
      </c>
      <c r="V531" s="97" t="n">
        <v>30.8</v>
      </c>
      <c r="W531" s="97" t="n">
        <v>16.2</v>
      </c>
      <c r="X531" s="97" t="n">
        <v>6.92</v>
      </c>
      <c r="Y531" s="97" t="n">
        <v>37.4</v>
      </c>
      <c r="Z531" s="97" t="n">
        <v>6</v>
      </c>
      <c r="AA531" s="92" t="inlineStr">
        <is>
          <t>WATCHLIST</t>
        </is>
      </c>
    </row>
    <row r="532">
      <c r="A532" s="99" t="inlineStr">
        <is>
          <t>CONCORDBIO</t>
        </is>
      </c>
      <c r="B532" s="99" t="inlineStr">
        <is>
          <t>Concord Biotech Ltd.</t>
        </is>
      </c>
      <c r="C532" s="99" t="inlineStr">
        <is>
          <t>Healthcare</t>
        </is>
      </c>
      <c r="D532" s="99" t="inlineStr">
        <is>
          <t>BSE Smallcap</t>
        </is>
      </c>
      <c r="E532" s="99" t="n">
        <v>1248.5</v>
      </c>
      <c r="F532" s="99" t="n">
        <v>-0.99</v>
      </c>
      <c r="G532" s="99" t="n">
        <v>50664</v>
      </c>
      <c r="H532" s="99" t="n">
        <v>0.78</v>
      </c>
      <c r="I532" s="99" t="n">
        <v>13144</v>
      </c>
      <c r="J532" s="99" t="inlineStr">
        <is>
          <t>Y</t>
        </is>
      </c>
      <c r="K532" s="99" t="inlineStr">
        <is>
          <t>N</t>
        </is>
      </c>
      <c r="L532" s="99" t="inlineStr">
        <is>
          <t>N</t>
        </is>
      </c>
      <c r="M532" s="99" t="n">
        <v>44.5</v>
      </c>
      <c r="N532" s="99" t="inlineStr">
        <is>
          <t>N</t>
        </is>
      </c>
      <c r="O532" s="99" t="n">
        <v>44.65</v>
      </c>
      <c r="P532" s="99" t="inlineStr">
        <is>
          <t>N</t>
        </is>
      </c>
      <c r="Q532" s="99" t="inlineStr">
        <is>
          <t>N/A</t>
        </is>
      </c>
      <c r="R532" s="99" t="inlineStr">
        <is>
          <t>N</t>
        </is>
      </c>
      <c r="S532" s="99" t="n">
        <v>-2.1</v>
      </c>
      <c r="T532" s="99" t="n">
        <v>11.1</v>
      </c>
      <c r="U532" s="99" t="inlineStr">
        <is>
          <t>Y</t>
        </is>
      </c>
      <c r="V532" s="99" t="n">
        <v>50.8</v>
      </c>
      <c r="W532" s="99" t="n">
        <v>13.5</v>
      </c>
      <c r="X532" s="99" t="n">
        <v>0.12</v>
      </c>
      <c r="Y532" s="99" t="n">
        <v>39.5</v>
      </c>
      <c r="Z532" s="99" t="n">
        <v>3</v>
      </c>
      <c r="AA532" s="94" t="inlineStr">
        <is>
          <t>AVOID</t>
        </is>
      </c>
    </row>
    <row r="533">
      <c r="A533" s="97" t="inlineStr">
        <is>
          <t>POLYMED</t>
        </is>
      </c>
      <c r="B533" s="97" t="inlineStr">
        <is>
          <t>Poly Medicure Ltd.</t>
        </is>
      </c>
      <c r="C533" s="97" t="inlineStr">
        <is>
          <t>Healthcare</t>
        </is>
      </c>
      <c r="D533" s="97" t="inlineStr">
        <is>
          <t>BSE Smallcap</t>
        </is>
      </c>
      <c r="E533" s="97" t="n">
        <v>1664</v>
      </c>
      <c r="F533" s="97" t="n">
        <v>2.07</v>
      </c>
      <c r="G533" s="97" t="n">
        <v>59004</v>
      </c>
      <c r="H533" s="97" t="n">
        <v>0.82</v>
      </c>
      <c r="I533" s="97" t="n">
        <v>17056</v>
      </c>
      <c r="J533" s="97" t="inlineStr">
        <is>
          <t>Y</t>
        </is>
      </c>
      <c r="K533" s="97" t="inlineStr">
        <is>
          <t>Y</t>
        </is>
      </c>
      <c r="L533" s="97" t="inlineStr">
        <is>
          <t>Y</t>
        </is>
      </c>
      <c r="M533" s="97" t="n">
        <v>47.2</v>
      </c>
      <c r="N533" s="97" t="inlineStr">
        <is>
          <t>N</t>
        </is>
      </c>
      <c r="O533" s="97" t="n">
        <v>53.19</v>
      </c>
      <c r="P533" s="97" t="inlineStr">
        <is>
          <t>N</t>
        </is>
      </c>
      <c r="Q533" s="97" t="inlineStr">
        <is>
          <t>N/A</t>
        </is>
      </c>
      <c r="R533" s="97" t="inlineStr">
        <is>
          <t>N</t>
        </is>
      </c>
      <c r="S533" s="97" t="n">
        <v>1.1</v>
      </c>
      <c r="T533" s="97" t="n">
        <v>10</v>
      </c>
      <c r="U533" s="97" t="inlineStr">
        <is>
          <t>Y</t>
        </is>
      </c>
      <c r="V533" s="97" t="n">
        <v>52.9</v>
      </c>
      <c r="W533" s="97" t="n">
        <v>10.8</v>
      </c>
      <c r="X533" s="97" t="n">
        <v>11.23</v>
      </c>
      <c r="Y533" s="97" t="n">
        <v>-8.300000000000001</v>
      </c>
      <c r="Z533" s="97" t="n">
        <v>4</v>
      </c>
      <c r="AA533" s="92" t="inlineStr">
        <is>
          <t>AVOID</t>
        </is>
      </c>
    </row>
    <row r="534">
      <c r="A534" s="99" t="inlineStr">
        <is>
          <t>INDUSINDBK</t>
        </is>
      </c>
      <c r="B534" s="99" t="inlineStr">
        <is>
          <t>IndusInd Bank Ltd.</t>
        </is>
      </c>
      <c r="C534" s="99" t="inlineStr">
        <is>
          <t>Financial Services</t>
        </is>
      </c>
      <c r="D534" s="99" t="inlineStr">
        <is>
          <t>Large/Midcap</t>
        </is>
      </c>
      <c r="E534" s="99" t="n">
        <v>996.05</v>
      </c>
      <c r="F534" s="99" t="n">
        <v>-0.9399999999999999</v>
      </c>
      <c r="G534" s="99" t="n">
        <v>1995292</v>
      </c>
      <c r="H534" s="99" t="n">
        <v>0.34</v>
      </c>
      <c r="I534" s="99" t="n">
        <v>78431</v>
      </c>
      <c r="J534" s="99" t="inlineStr">
        <is>
          <t>Y</t>
        </is>
      </c>
      <c r="K534" s="99" t="inlineStr">
        <is>
          <t>Y</t>
        </is>
      </c>
      <c r="L534" s="99" t="inlineStr">
        <is>
          <t>Y</t>
        </is>
      </c>
      <c r="M534" s="99" t="n">
        <v>46.9</v>
      </c>
      <c r="N534" s="99" t="inlineStr">
        <is>
          <t>N</t>
        </is>
      </c>
      <c r="O534" s="99" t="n">
        <v>28.03</v>
      </c>
      <c r="P534" s="99" t="inlineStr">
        <is>
          <t>N</t>
        </is>
      </c>
      <c r="Q534" s="99" t="inlineStr">
        <is>
          <t>N/A</t>
        </is>
      </c>
      <c r="R534" s="99" t="inlineStr">
        <is>
          <t>N</t>
        </is>
      </c>
      <c r="S534" s="99" t="n">
        <v>8.6</v>
      </c>
      <c r="T534" s="99" t="n">
        <v>9.6</v>
      </c>
      <c r="U534" s="99" t="inlineStr">
        <is>
          <t>Y</t>
        </is>
      </c>
      <c r="V534" s="99" t="n">
        <v>59.5</v>
      </c>
      <c r="W534" s="99" t="inlineStr">
        <is>
          <t>N/A</t>
        </is>
      </c>
      <c r="X534" s="99" t="inlineStr">
        <is>
          <t>N/A</t>
        </is>
      </c>
      <c r="Y534" s="99" t="n">
        <v>74.5</v>
      </c>
      <c r="Z534" s="99" t="n">
        <v>5</v>
      </c>
      <c r="AA534" s="94" t="inlineStr">
        <is>
          <t>WATCHLIST</t>
        </is>
      </c>
    </row>
    <row r="535">
      <c r="A535" s="97" t="inlineStr">
        <is>
          <t>POONAWALLA</t>
        </is>
      </c>
      <c r="B535" s="97" t="inlineStr">
        <is>
          <t>Poonawalla Fincorp Ltd.</t>
        </is>
      </c>
      <c r="C535" s="97" t="inlineStr">
        <is>
          <t>Financial Services</t>
        </is>
      </c>
      <c r="D535" s="97" t="inlineStr">
        <is>
          <t>NSE Smallcap</t>
        </is>
      </c>
      <c r="E535" s="97" t="n">
        <v>459.7</v>
      </c>
      <c r="F535" s="97" t="n">
        <v>-1.13</v>
      </c>
      <c r="G535" s="97" t="n">
        <v>623865</v>
      </c>
      <c r="H535" s="97" t="n">
        <v>0.6899999999999999</v>
      </c>
      <c r="I535" s="97" t="n">
        <v>40728</v>
      </c>
      <c r="J535" s="97" t="inlineStr">
        <is>
          <t>Y</t>
        </is>
      </c>
      <c r="K535" s="97" t="inlineStr">
        <is>
          <t>Y</t>
        </is>
      </c>
      <c r="L535" s="97" t="inlineStr">
        <is>
          <t>Y</t>
        </is>
      </c>
      <c r="M535" s="97" t="n">
        <v>42.7</v>
      </c>
      <c r="N535" s="97" t="inlineStr">
        <is>
          <t>N</t>
        </is>
      </c>
      <c r="O535" s="97" t="n">
        <v>15.68</v>
      </c>
      <c r="P535" s="97" t="inlineStr">
        <is>
          <t>N</t>
        </is>
      </c>
      <c r="Q535" s="97" t="inlineStr">
        <is>
          <t>N/A</t>
        </is>
      </c>
      <c r="R535" s="97" t="inlineStr">
        <is>
          <t>N</t>
        </is>
      </c>
      <c r="S535" s="97" t="n">
        <v>4.7</v>
      </c>
      <c r="T535" s="97" t="n">
        <v>9.5</v>
      </c>
      <c r="U535" s="97" t="inlineStr">
        <is>
          <t>Y</t>
        </is>
      </c>
      <c r="V535" s="97" t="n">
        <v>48.7</v>
      </c>
      <c r="W535" s="97" t="inlineStr">
        <is>
          <t>N/A</t>
        </is>
      </c>
      <c r="X535" s="97" t="n">
        <v>468.06</v>
      </c>
      <c r="Y535" s="97" t="n">
        <v>20.8</v>
      </c>
      <c r="Z535" s="97" t="n">
        <v>5</v>
      </c>
      <c r="AA535" s="92" t="inlineStr">
        <is>
          <t>WATCHLIST</t>
        </is>
      </c>
    </row>
    <row r="536">
      <c r="A536" s="99" t="inlineStr">
        <is>
          <t>STARHEALTH</t>
        </is>
      </c>
      <c r="B536" s="99" t="inlineStr">
        <is>
          <t>Star Health and Allied Insurance Company Ltd.</t>
        </is>
      </c>
      <c r="C536" s="99" t="inlineStr">
        <is>
          <t>Financial Services</t>
        </is>
      </c>
      <c r="D536" s="99" t="inlineStr">
        <is>
          <t>BSE Smallcap</t>
        </is>
      </c>
      <c r="E536" s="99" t="n">
        <v>580.8</v>
      </c>
      <c r="F536" s="99" t="n">
        <v>0.66</v>
      </c>
      <c r="G536" s="99" t="n">
        <v>328746</v>
      </c>
      <c r="H536" s="99" t="n">
        <v>1.54</v>
      </c>
      <c r="I536" s="99" t="n">
        <v>34836</v>
      </c>
      <c r="J536" s="99" t="inlineStr">
        <is>
          <t>Y</t>
        </is>
      </c>
      <c r="K536" s="99" t="inlineStr">
        <is>
          <t>Y</t>
        </is>
      </c>
      <c r="L536" s="99" t="inlineStr">
        <is>
          <t>Y</t>
        </is>
      </c>
      <c r="M536" s="99" t="n">
        <v>49.7</v>
      </c>
      <c r="N536" s="99" t="inlineStr">
        <is>
          <t>N</t>
        </is>
      </c>
      <c r="O536" s="99" t="n">
        <v>17.88</v>
      </c>
      <c r="P536" s="99" t="inlineStr">
        <is>
          <t>N</t>
        </is>
      </c>
      <c r="Q536" s="99" t="inlineStr">
        <is>
          <t>N/A</t>
        </is>
      </c>
      <c r="R536" s="99" t="inlineStr">
        <is>
          <t>N</t>
        </is>
      </c>
      <c r="S536" s="99" t="n">
        <v>0.9</v>
      </c>
      <c r="T536" s="99" t="n">
        <v>9.300000000000001</v>
      </c>
      <c r="U536" s="99" t="inlineStr">
        <is>
          <t>Y</t>
        </is>
      </c>
      <c r="V536" s="99" t="n">
        <v>62.5</v>
      </c>
      <c r="W536" s="99" t="inlineStr">
        <is>
          <t>N/A</t>
        </is>
      </c>
      <c r="X536" s="99" t="inlineStr">
        <is>
          <t>N/A</t>
        </is>
      </c>
      <c r="Y536" s="99" t="n">
        <v>-13.2</v>
      </c>
      <c r="Z536" s="99" t="n">
        <v>4</v>
      </c>
      <c r="AA536" s="94" t="inlineStr">
        <is>
          <t>AVOID</t>
        </is>
      </c>
    </row>
    <row r="537">
      <c r="A537" s="97" t="inlineStr">
        <is>
          <t>LICI</t>
        </is>
      </c>
      <c r="B537" s="97" t="inlineStr">
        <is>
          <t>Life Insurance Corporation of India</t>
        </is>
      </c>
      <c r="C537" s="97" t="inlineStr">
        <is>
          <t>Financial Services</t>
        </is>
      </c>
      <c r="D537" s="97" t="inlineStr">
        <is>
          <t>Large/Midcap</t>
        </is>
      </c>
      <c r="E537" s="97" t="n">
        <v>424.35</v>
      </c>
      <c r="F537" s="97" t="n">
        <v>0.72</v>
      </c>
      <c r="G537" s="97" t="n">
        <v>1064234</v>
      </c>
      <c r="H537" s="97" t="n">
        <v>0.92</v>
      </c>
      <c r="I537" s="97" t="n">
        <v>536803</v>
      </c>
      <c r="J537" s="97" t="inlineStr">
        <is>
          <t>Y</t>
        </is>
      </c>
      <c r="K537" s="97" t="inlineStr">
        <is>
          <t>Y</t>
        </is>
      </c>
      <c r="L537" s="97" t="inlineStr">
        <is>
          <t>Y</t>
        </is>
      </c>
      <c r="M537" s="97" t="n">
        <v>40.2</v>
      </c>
      <c r="N537" s="97" t="inlineStr">
        <is>
          <t>N</t>
        </is>
      </c>
      <c r="O537" s="97" t="n">
        <v>9.220000000000001</v>
      </c>
      <c r="P537" s="97" t="inlineStr">
        <is>
          <t>N</t>
        </is>
      </c>
      <c r="Q537" s="97" t="inlineStr">
        <is>
          <t>N/A</t>
        </is>
      </c>
      <c r="R537" s="97" t="inlineStr">
        <is>
          <t>N</t>
        </is>
      </c>
      <c r="S537" s="97" t="n">
        <v>0.5</v>
      </c>
      <c r="T537" s="97" t="n">
        <v>9.300000000000001</v>
      </c>
      <c r="U537" s="97" t="inlineStr">
        <is>
          <t>Y</t>
        </is>
      </c>
      <c r="V537" s="97" t="n">
        <v>9.300000000000001</v>
      </c>
      <c r="W537" s="97" t="n">
        <v>40.8</v>
      </c>
      <c r="X537" s="97" t="n">
        <v>0.43</v>
      </c>
      <c r="Y537" s="97" t="n">
        <v>81.5</v>
      </c>
      <c r="Z537" s="97" t="n">
        <v>6</v>
      </c>
      <c r="AA537" s="92" t="inlineStr">
        <is>
          <t>WATCHLIST</t>
        </is>
      </c>
    </row>
    <row r="538">
      <c r="A538" s="99" t="inlineStr">
        <is>
          <t>DLF</t>
        </is>
      </c>
      <c r="B538" s="99" t="inlineStr">
        <is>
          <t>DLF Ltd.</t>
        </is>
      </c>
      <c r="C538" s="99" t="inlineStr">
        <is>
          <t>Realty</t>
        </is>
      </c>
      <c r="D538" s="99" t="inlineStr">
        <is>
          <t>Large/Midcap</t>
        </is>
      </c>
      <c r="E538" s="99" t="n">
        <v>637.2</v>
      </c>
      <c r="F538" s="99" t="n">
        <v>0.47</v>
      </c>
      <c r="G538" s="99" t="n">
        <v>2002254</v>
      </c>
      <c r="H538" s="99" t="n">
        <v>0.67</v>
      </c>
      <c r="I538" s="99" t="n">
        <v>161118</v>
      </c>
      <c r="J538" s="99" t="inlineStr">
        <is>
          <t>Y</t>
        </is>
      </c>
      <c r="K538" s="99" t="inlineStr">
        <is>
          <t>Y</t>
        </is>
      </c>
      <c r="L538" s="99" t="inlineStr">
        <is>
          <t>N</t>
        </is>
      </c>
      <c r="M538" s="99" t="n">
        <v>42.6</v>
      </c>
      <c r="N538" s="99" t="inlineStr">
        <is>
          <t>N</t>
        </is>
      </c>
      <c r="O538" s="99" t="n">
        <v>22.53</v>
      </c>
      <c r="P538" s="99" t="inlineStr">
        <is>
          <t>N</t>
        </is>
      </c>
      <c r="Q538" s="99" t="inlineStr">
        <is>
          <t>N/A</t>
        </is>
      </c>
      <c r="R538" s="99" t="inlineStr">
        <is>
          <t>N</t>
        </is>
      </c>
      <c r="S538" s="99" t="n">
        <v>4.1</v>
      </c>
      <c r="T538" s="99" t="n">
        <v>8.9</v>
      </c>
      <c r="U538" s="99" t="inlineStr">
        <is>
          <t>Y</t>
        </is>
      </c>
      <c r="V538" s="99" t="n">
        <v>36.5</v>
      </c>
      <c r="W538" s="99" t="n">
        <v>10</v>
      </c>
      <c r="X538" s="99" t="n">
        <v>0.67</v>
      </c>
      <c r="Y538" s="99" t="n">
        <v>5.4</v>
      </c>
      <c r="Z538" s="99" t="n">
        <v>4</v>
      </c>
      <c r="AA538" s="94" t="inlineStr">
        <is>
          <t>AVOID</t>
        </is>
      </c>
    </row>
    <row r="539">
      <c r="A539" s="97" t="inlineStr">
        <is>
          <t>HYUNDAI</t>
        </is>
      </c>
      <c r="B539" s="97" t="inlineStr">
        <is>
          <t>Hyundai Motor India Ltd.</t>
        </is>
      </c>
      <c r="C539" s="97" t="inlineStr">
        <is>
          <t>Automobile and Auto Components</t>
        </is>
      </c>
      <c r="D539" s="97" t="inlineStr">
        <is>
          <t>Large/Midcap</t>
        </is>
      </c>
      <c r="E539" s="97" t="n">
        <v>1952.6</v>
      </c>
      <c r="F539" s="97" t="n">
        <v>-0.09</v>
      </c>
      <c r="G539" s="97" t="n">
        <v>917025</v>
      </c>
      <c r="H539" s="97" t="n">
        <v>1.62</v>
      </c>
      <c r="I539" s="97" t="n">
        <v>161257</v>
      </c>
      <c r="J539" s="97" t="inlineStr">
        <is>
          <t>Y</t>
        </is>
      </c>
      <c r="K539" s="97" t="inlineStr">
        <is>
          <t>Y</t>
        </is>
      </c>
      <c r="L539" s="97" t="inlineStr">
        <is>
          <t>N</t>
        </is>
      </c>
      <c r="M539" s="97" t="n">
        <v>42.7</v>
      </c>
      <c r="N539" s="97" t="inlineStr">
        <is>
          <t>N</t>
        </is>
      </c>
      <c r="O539" s="97" t="n">
        <v>52.81</v>
      </c>
      <c r="P539" s="97" t="inlineStr">
        <is>
          <t>N</t>
        </is>
      </c>
      <c r="Q539" s="97" t="inlineStr">
        <is>
          <t>N/A</t>
        </is>
      </c>
      <c r="R539" s="97" t="inlineStr">
        <is>
          <t>N</t>
        </is>
      </c>
      <c r="S539" s="97" t="n">
        <v>-0.6</v>
      </c>
      <c r="T539" s="97" t="n">
        <v>7.8</v>
      </c>
      <c r="U539" s="97" t="inlineStr">
        <is>
          <t>Y</t>
        </is>
      </c>
      <c r="V539" s="97" t="n">
        <v>29.7</v>
      </c>
      <c r="W539" s="97" t="n">
        <v>29.9</v>
      </c>
      <c r="X539" s="97" t="n">
        <v>5.48</v>
      </c>
      <c r="Y539" s="97" t="n">
        <v>1.7</v>
      </c>
      <c r="Z539" s="97" t="n">
        <v>5</v>
      </c>
      <c r="AA539" s="92" t="inlineStr">
        <is>
          <t>WATCHLIST</t>
        </is>
      </c>
    </row>
    <row r="540">
      <c r="A540" s="99" t="inlineStr">
        <is>
          <t>FIVESTAR</t>
        </is>
      </c>
      <c r="B540" s="99" t="inlineStr">
        <is>
          <t>Five-Star Business Finance Ltd.</t>
        </is>
      </c>
      <c r="C540" s="99" t="inlineStr">
        <is>
          <t>Financial Services</t>
        </is>
      </c>
      <c r="D540" s="99" t="inlineStr">
        <is>
          <t>BSE Smallcap</t>
        </is>
      </c>
      <c r="E540" s="99" t="n">
        <v>535.2</v>
      </c>
      <c r="F540" s="99" t="n">
        <v>0.17</v>
      </c>
      <c r="G540" s="99" t="n">
        <v>495386</v>
      </c>
      <c r="H540" s="99" t="n">
        <v>1.21</v>
      </c>
      <c r="I540" s="99" t="n">
        <v>15948</v>
      </c>
      <c r="J540" s="99" t="inlineStr">
        <is>
          <t>Y</t>
        </is>
      </c>
      <c r="K540" s="99" t="inlineStr">
        <is>
          <t>Y</t>
        </is>
      </c>
      <c r="L540" s="99" t="inlineStr">
        <is>
          <t>Y</t>
        </is>
      </c>
      <c r="M540" s="99" t="n">
        <v>41.3</v>
      </c>
      <c r="N540" s="99" t="inlineStr">
        <is>
          <t>N</t>
        </is>
      </c>
      <c r="O540" s="99" t="n">
        <v>18.45</v>
      </c>
      <c r="P540" s="99" t="inlineStr">
        <is>
          <t>N</t>
        </is>
      </c>
      <c r="Q540" s="99" t="inlineStr">
        <is>
          <t>N/A</t>
        </is>
      </c>
      <c r="R540" s="99" t="inlineStr">
        <is>
          <t>N</t>
        </is>
      </c>
      <c r="S540" s="99" t="n">
        <v>7.9</v>
      </c>
      <c r="T540" s="99" t="n">
        <v>7.3</v>
      </c>
      <c r="U540" s="99" t="inlineStr">
        <is>
          <t>Y</t>
        </is>
      </c>
      <c r="V540" s="99" t="n">
        <v>14.5</v>
      </c>
      <c r="W540" s="99" t="inlineStr">
        <is>
          <t>N/A</t>
        </is>
      </c>
      <c r="X540" s="99" t="n">
        <v>111.93</v>
      </c>
      <c r="Y540" s="99" t="n">
        <v>-2.8</v>
      </c>
      <c r="Z540" s="99" t="n">
        <v>4</v>
      </c>
      <c r="AA540" s="94" t="inlineStr">
        <is>
          <t>AVOID</t>
        </is>
      </c>
    </row>
    <row r="541">
      <c r="A541" s="97" t="inlineStr">
        <is>
          <t>JSWCEMENT</t>
        </is>
      </c>
      <c r="B541" s="97" t="inlineStr">
        <is>
          <t>JSW Cement Ltd.</t>
        </is>
      </c>
      <c r="C541" s="97" t="inlineStr">
        <is>
          <t>Construction Materials</t>
        </is>
      </c>
      <c r="D541" s="97" t="inlineStr">
        <is>
          <t>BSE Smallcap</t>
        </is>
      </c>
      <c r="E541" s="97" t="n">
        <v>132.12</v>
      </c>
      <c r="F541" s="97" t="n">
        <v>-1.29</v>
      </c>
      <c r="G541" s="97" t="n">
        <v>1298867</v>
      </c>
      <c r="H541" s="97" t="n">
        <v>0.59</v>
      </c>
      <c r="I541" s="97" t="n">
        <v>18028</v>
      </c>
      <c r="J541" s="97" t="inlineStr">
        <is>
          <t>Y</t>
        </is>
      </c>
      <c r="K541" s="97" t="inlineStr">
        <is>
          <t>Y</t>
        </is>
      </c>
      <c r="L541" s="97" t="inlineStr">
        <is>
          <t>Y</t>
        </is>
      </c>
      <c r="M541" s="97" t="n">
        <v>42.5</v>
      </c>
      <c r="N541" s="97" t="inlineStr">
        <is>
          <t>N</t>
        </is>
      </c>
      <c r="O541" s="97" t="n">
        <v>3.53</v>
      </c>
      <c r="P541" s="97" t="inlineStr">
        <is>
          <t>N</t>
        </is>
      </c>
      <c r="Q541" s="97" t="inlineStr">
        <is>
          <t>N/A</t>
        </is>
      </c>
      <c r="R541" s="97" t="inlineStr">
        <is>
          <t>N</t>
        </is>
      </c>
      <c r="S541" s="97" t="n">
        <v>-0.5</v>
      </c>
      <c r="T541" s="97" t="n">
        <v>7.1</v>
      </c>
      <c r="U541" s="97" t="inlineStr">
        <is>
          <t>Y</t>
        </is>
      </c>
      <c r="V541" s="97" t="inlineStr">
        <is>
          <t>N/A</t>
        </is>
      </c>
      <c r="W541" s="97" t="n">
        <v>-18</v>
      </c>
      <c r="X541" s="97" t="n">
        <v>68.39</v>
      </c>
      <c r="Y541" s="97" t="n">
        <v>161.3</v>
      </c>
      <c r="Z541" s="97" t="n">
        <v>5</v>
      </c>
      <c r="AA541" s="92" t="inlineStr">
        <is>
          <t>WATCHLIST</t>
        </is>
      </c>
    </row>
    <row r="542">
      <c r="A542" s="99" t="inlineStr">
        <is>
          <t>CUB</t>
        </is>
      </c>
      <c r="B542" s="99" t="inlineStr">
        <is>
          <t>City Union Bank Ltd.</t>
        </is>
      </c>
      <c r="C542" s="99" t="inlineStr">
        <is>
          <t>Financial Services</t>
        </is>
      </c>
      <c r="D542" s="99" t="inlineStr">
        <is>
          <t>BSE Smallcap</t>
        </is>
      </c>
      <c r="E542" s="99" t="n">
        <v>219.75</v>
      </c>
      <c r="F542" s="99" t="n">
        <v>-0.06</v>
      </c>
      <c r="G542" s="99" t="n">
        <v>1635177</v>
      </c>
      <c r="H542" s="99" t="n">
        <v>0.64</v>
      </c>
      <c r="I542" s="99" t="n">
        <v>21941</v>
      </c>
      <c r="J542" s="99" t="inlineStr">
        <is>
          <t>Y</t>
        </is>
      </c>
      <c r="K542" s="99" t="inlineStr">
        <is>
          <t>Y</t>
        </is>
      </c>
      <c r="L542" s="99" t="inlineStr">
        <is>
          <t>Y</t>
        </is>
      </c>
      <c r="M542" s="99" t="n">
        <v>45</v>
      </c>
      <c r="N542" s="99" t="inlineStr">
        <is>
          <t>N</t>
        </is>
      </c>
      <c r="O542" s="99" t="n">
        <v>7.16</v>
      </c>
      <c r="P542" s="99" t="inlineStr">
        <is>
          <t>N</t>
        </is>
      </c>
      <c r="Q542" s="99" t="inlineStr">
        <is>
          <t>N/A</t>
        </is>
      </c>
      <c r="R542" s="99" t="inlineStr">
        <is>
          <t>N</t>
        </is>
      </c>
      <c r="S542" s="99" t="n">
        <v>10.8</v>
      </c>
      <c r="T542" s="99" t="n">
        <v>6</v>
      </c>
      <c r="U542" s="99" t="inlineStr">
        <is>
          <t>Y</t>
        </is>
      </c>
      <c r="V542" s="99" t="n">
        <v>16.6</v>
      </c>
      <c r="W542" s="99" t="n">
        <v>13.2</v>
      </c>
      <c r="X542" s="99" t="inlineStr">
        <is>
          <t>N/A</t>
        </is>
      </c>
      <c r="Y542" s="99" t="n">
        <v>8.300000000000001</v>
      </c>
      <c r="Z542" s="99" t="n">
        <v>5</v>
      </c>
      <c r="AA542" s="94" t="inlineStr">
        <is>
          <t>WATCHLIST</t>
        </is>
      </c>
    </row>
    <row r="543">
      <c r="A543" s="97" t="inlineStr">
        <is>
          <t>APTUS</t>
        </is>
      </c>
      <c r="B543" s="97" t="inlineStr">
        <is>
          <t>Aptus Value Housing Finance India Ltd.</t>
        </is>
      </c>
      <c r="C543" s="97" t="inlineStr">
        <is>
          <t>Financial Services</t>
        </is>
      </c>
      <c r="D543" s="97" t="inlineStr">
        <is>
          <t>BSE Smallcap</t>
        </is>
      </c>
      <c r="E543" s="97" t="n">
        <v>277.15</v>
      </c>
      <c r="F543" s="97" t="n">
        <v>-2.65</v>
      </c>
      <c r="G543" s="97" t="n">
        <v>932035</v>
      </c>
      <c r="H543" s="97" t="n">
        <v>1.34</v>
      </c>
      <c r="I543" s="97" t="n">
        <v>13975</v>
      </c>
      <c r="J543" s="97" t="inlineStr">
        <is>
          <t>Y</t>
        </is>
      </c>
      <c r="K543" s="97" t="inlineStr">
        <is>
          <t>Y</t>
        </is>
      </c>
      <c r="L543" s="97" t="inlineStr">
        <is>
          <t>Y</t>
        </is>
      </c>
      <c r="M543" s="97" t="n">
        <v>43.7</v>
      </c>
      <c r="N543" s="97" t="inlineStr">
        <is>
          <t>N</t>
        </is>
      </c>
      <c r="O543" s="97" t="n">
        <v>8.789999999999999</v>
      </c>
      <c r="P543" s="97" t="inlineStr">
        <is>
          <t>N</t>
        </is>
      </c>
      <c r="Q543" s="97" t="inlineStr">
        <is>
          <t>N/A</t>
        </is>
      </c>
      <c r="R543" s="97" t="inlineStr">
        <is>
          <t>N</t>
        </is>
      </c>
      <c r="S543" s="97" t="n">
        <v>4.8</v>
      </c>
      <c r="T543" s="97" t="n">
        <v>6</v>
      </c>
      <c r="U543" s="97" t="inlineStr">
        <is>
          <t>Y</t>
        </is>
      </c>
      <c r="V543" s="97" t="n">
        <v>14.8</v>
      </c>
      <c r="W543" s="97" t="n">
        <v>20.1</v>
      </c>
      <c r="X543" s="97" t="n">
        <v>156.2</v>
      </c>
      <c r="Y543" s="97" t="n">
        <v>10.5</v>
      </c>
      <c r="Z543" s="97" t="n">
        <v>6</v>
      </c>
      <c r="AA543" s="92" t="inlineStr">
        <is>
          <t>WATCHLIST</t>
        </is>
      </c>
    </row>
    <row r="544">
      <c r="A544" s="99" t="inlineStr">
        <is>
          <t>JBMA</t>
        </is>
      </c>
      <c r="B544" s="99" t="inlineStr">
        <is>
          <t>JBM Auto Ltd.</t>
        </is>
      </c>
      <c r="C544" s="99" t="inlineStr">
        <is>
          <t>Automobile and Auto Components</t>
        </is>
      </c>
      <c r="D544" s="99" t="inlineStr">
        <is>
          <t>BSE Smallcap</t>
        </is>
      </c>
      <c r="E544" s="99" t="n">
        <v>665</v>
      </c>
      <c r="F544" s="99" t="n">
        <v>1.36</v>
      </c>
      <c r="G544" s="99" t="n">
        <v>185743</v>
      </c>
      <c r="H544" s="99" t="n">
        <v>0.51</v>
      </c>
      <c r="I544" s="99" t="n">
        <v>15727</v>
      </c>
      <c r="J544" s="99" t="inlineStr">
        <is>
          <t>Y</t>
        </is>
      </c>
      <c r="K544" s="99" t="inlineStr">
        <is>
          <t>N</t>
        </is>
      </c>
      <c r="L544" s="99" t="inlineStr">
        <is>
          <t>Y</t>
        </is>
      </c>
      <c r="M544" s="99" t="n">
        <v>46.6</v>
      </c>
      <c r="N544" s="99" t="inlineStr">
        <is>
          <t>N</t>
        </is>
      </c>
      <c r="O544" s="99" t="n">
        <v>17.76</v>
      </c>
      <c r="P544" s="99" t="inlineStr">
        <is>
          <t>N</t>
        </is>
      </c>
      <c r="Q544" s="99" t="inlineStr">
        <is>
          <t>N/A</t>
        </is>
      </c>
      <c r="R544" s="99" t="inlineStr">
        <is>
          <t>N</t>
        </is>
      </c>
      <c r="S544" s="99" t="n">
        <v>-3.8</v>
      </c>
      <c r="T544" s="99" t="n">
        <v>5.9</v>
      </c>
      <c r="U544" s="99" t="inlineStr">
        <is>
          <t>Y</t>
        </is>
      </c>
      <c r="V544" s="99" t="n">
        <v>70.90000000000001</v>
      </c>
      <c r="W544" s="99" t="n">
        <v>16</v>
      </c>
      <c r="X544" s="99" t="n">
        <v>190.28</v>
      </c>
      <c r="Y544" s="99" t="n">
        <v>34.7</v>
      </c>
      <c r="Z544" s="99" t="n">
        <v>5</v>
      </c>
      <c r="AA544" s="94" t="inlineStr">
        <is>
          <t>WATCHLIST</t>
        </is>
      </c>
    </row>
    <row r="545">
      <c r="A545" s="97" t="inlineStr">
        <is>
          <t>CDSL</t>
        </is>
      </c>
      <c r="B545" s="97" t="inlineStr">
        <is>
          <t>Central Depository Services (India) Ltd.</t>
        </is>
      </c>
      <c r="C545" s="97" t="inlineStr">
        <is>
          <t>Financial Services</t>
        </is>
      </c>
      <c r="D545" s="97" t="inlineStr">
        <is>
          <t>NSE Smallcap</t>
        </is>
      </c>
      <c r="E545" s="97" t="n">
        <v>1329</v>
      </c>
      <c r="F545" s="97" t="n">
        <v>-0.31</v>
      </c>
      <c r="G545" s="97" t="n">
        <v>835504</v>
      </c>
      <c r="H545" s="97" t="n">
        <v>0.71</v>
      </c>
      <c r="I545" s="97" t="n">
        <v>27776</v>
      </c>
      <c r="J545" s="97" t="inlineStr">
        <is>
          <t>Y</t>
        </is>
      </c>
      <c r="K545" s="97" t="inlineStr">
        <is>
          <t>Y</t>
        </is>
      </c>
      <c r="L545" s="97" t="inlineStr">
        <is>
          <t>N</t>
        </is>
      </c>
      <c r="M545" s="97" t="n">
        <v>47.4</v>
      </c>
      <c r="N545" s="97" t="inlineStr">
        <is>
          <t>N</t>
        </is>
      </c>
      <c r="O545" s="97" t="n">
        <v>39.79</v>
      </c>
      <c r="P545" s="97" t="inlineStr">
        <is>
          <t>N</t>
        </is>
      </c>
      <c r="Q545" s="97" t="inlineStr">
        <is>
          <t>N/A</t>
        </is>
      </c>
      <c r="R545" s="97" t="inlineStr">
        <is>
          <t>N</t>
        </is>
      </c>
      <c r="S545" s="97" t="n">
        <v>2.1</v>
      </c>
      <c r="T545" s="97" t="n">
        <v>5.8</v>
      </c>
      <c r="U545" s="97" t="inlineStr">
        <is>
          <t>Y</t>
        </is>
      </c>
      <c r="V545" s="97" t="n">
        <v>61</v>
      </c>
      <c r="W545" s="97" t="n">
        <v>23.9</v>
      </c>
      <c r="X545" s="97" t="n">
        <v>0.11</v>
      </c>
      <c r="Y545" s="97" t="n">
        <v>-39.8</v>
      </c>
      <c r="Z545" s="97" t="n">
        <v>4</v>
      </c>
      <c r="AA545" s="92" t="inlineStr">
        <is>
          <t>AVOID</t>
        </is>
      </c>
    </row>
    <row r="546">
      <c r="A546" s="99" t="inlineStr">
        <is>
          <t>TATACAP</t>
        </is>
      </c>
      <c r="B546" s="99" t="inlineStr">
        <is>
          <t>Tata Capital Ltd.</t>
        </is>
      </c>
      <c r="C546" s="99" t="inlineStr">
        <is>
          <t>Financial Services</t>
        </is>
      </c>
      <c r="D546" s="99" t="inlineStr">
        <is>
          <t>Large/Midcap</t>
        </is>
      </c>
      <c r="E546" s="99" t="n">
        <v>350.55</v>
      </c>
      <c r="F546" s="99" t="n">
        <v>2.7</v>
      </c>
      <c r="G546" s="99" t="n">
        <v>939267</v>
      </c>
      <c r="H546" s="99" t="n">
        <v>1.26</v>
      </c>
      <c r="I546" s="99" t="n">
        <v>147816</v>
      </c>
      <c r="J546" s="99" t="inlineStr">
        <is>
          <t>Y</t>
        </is>
      </c>
      <c r="K546" s="99" t="inlineStr">
        <is>
          <t>Y</t>
        </is>
      </c>
      <c r="L546" s="99" t="inlineStr">
        <is>
          <t>N/A</t>
        </is>
      </c>
      <c r="M546" s="99" t="n">
        <v>48.8</v>
      </c>
      <c r="N546" s="99" t="inlineStr">
        <is>
          <t>N</t>
        </is>
      </c>
      <c r="O546" s="99" t="n">
        <v>8.49</v>
      </c>
      <c r="P546" s="99" t="inlineStr">
        <is>
          <t>N</t>
        </is>
      </c>
      <c r="Q546" s="99" t="inlineStr">
        <is>
          <t>N/A</t>
        </is>
      </c>
      <c r="R546" s="99" t="inlineStr">
        <is>
          <t>N</t>
        </is>
      </c>
      <c r="S546" s="99" t="n">
        <v>-3.2</v>
      </c>
      <c r="T546" s="99" t="n">
        <v>5.8</v>
      </c>
      <c r="U546" s="99" t="inlineStr">
        <is>
          <t>Y</t>
        </is>
      </c>
      <c r="V546" s="99" t="n">
        <v>29.1</v>
      </c>
      <c r="W546" s="99" t="n">
        <v>12</v>
      </c>
      <c r="X546" s="99" t="n">
        <v>502.93</v>
      </c>
      <c r="Y546" s="99" t="n">
        <v>19.5</v>
      </c>
      <c r="Z546" s="99" t="n">
        <v>4</v>
      </c>
      <c r="AA546" s="94" t="inlineStr">
        <is>
          <t>AVOID</t>
        </is>
      </c>
    </row>
    <row r="547">
      <c r="A547" s="97" t="inlineStr">
        <is>
          <t>360ONE</t>
        </is>
      </c>
      <c r="B547" s="97" t="inlineStr">
        <is>
          <t>360 ONE WAM Ltd.</t>
        </is>
      </c>
      <c r="C547" s="97" t="inlineStr">
        <is>
          <t>Financial Services</t>
        </is>
      </c>
      <c r="D547" s="97" t="inlineStr">
        <is>
          <t>Large/Midcap</t>
        </is>
      </c>
      <c r="E547" s="97" t="n">
        <v>1102.3</v>
      </c>
      <c r="F547" s="97" t="n">
        <v>1.76</v>
      </c>
      <c r="G547" s="97" t="n">
        <v>918262</v>
      </c>
      <c r="H547" s="97" t="n">
        <v>0.88</v>
      </c>
      <c r="I547" s="97" t="n">
        <v>46088</v>
      </c>
      <c r="J547" s="97" t="inlineStr">
        <is>
          <t>Y</t>
        </is>
      </c>
      <c r="K547" s="97" t="inlineStr">
        <is>
          <t>N</t>
        </is>
      </c>
      <c r="L547" s="97" t="inlineStr">
        <is>
          <t>Y</t>
        </is>
      </c>
      <c r="M547" s="97" t="n">
        <v>44.2</v>
      </c>
      <c r="N547" s="97" t="inlineStr">
        <is>
          <t>N</t>
        </is>
      </c>
      <c r="O547" s="97" t="n">
        <v>34.8</v>
      </c>
      <c r="P547" s="97" t="inlineStr">
        <is>
          <t>N</t>
        </is>
      </c>
      <c r="Q547" s="97" t="inlineStr">
        <is>
          <t>N/A</t>
        </is>
      </c>
      <c r="R547" s="97" t="inlineStr">
        <is>
          <t>N</t>
        </is>
      </c>
      <c r="S547" s="97" t="n">
        <v>1.8</v>
      </c>
      <c r="T547" s="97" t="n">
        <v>5.7</v>
      </c>
      <c r="U547" s="97" t="inlineStr">
        <is>
          <t>Y</t>
        </is>
      </c>
      <c r="V547" s="97" t="n">
        <v>37.6</v>
      </c>
      <c r="W547" s="97" t="inlineStr">
        <is>
          <t>N/A</t>
        </is>
      </c>
      <c r="X547" s="97" t="n">
        <v>161.98</v>
      </c>
      <c r="Y547" s="97" t="n">
        <v>14.5</v>
      </c>
      <c r="Z547" s="97" t="n">
        <v>4</v>
      </c>
      <c r="AA547" s="92" t="inlineStr">
        <is>
          <t>AVOID</t>
        </is>
      </c>
    </row>
    <row r="548">
      <c r="A548" s="99" t="inlineStr">
        <is>
          <t>CCL</t>
        </is>
      </c>
      <c r="B548" s="99" t="inlineStr">
        <is>
          <t>CCL Products (I) Ltd.</t>
        </is>
      </c>
      <c r="C548" s="99" t="inlineStr">
        <is>
          <t>Fast Moving Consumer Goods</t>
        </is>
      </c>
      <c r="D548" s="99" t="inlineStr">
        <is>
          <t>BSE Smallcap</t>
        </is>
      </c>
      <c r="E548" s="99" t="n">
        <v>1183.6</v>
      </c>
      <c r="F548" s="99" t="n">
        <v>-0.14</v>
      </c>
      <c r="G548" s="99" t="n">
        <v>55391</v>
      </c>
      <c r="H548" s="99" t="n">
        <v>0.83</v>
      </c>
      <c r="I548" s="99" t="n">
        <v>15658</v>
      </c>
      <c r="J548" s="99" t="inlineStr">
        <is>
          <t>Y</t>
        </is>
      </c>
      <c r="K548" s="99" t="inlineStr">
        <is>
          <t>Y</t>
        </is>
      </c>
      <c r="L548" s="99" t="inlineStr">
        <is>
          <t>Y</t>
        </is>
      </c>
      <c r="M548" s="99" t="n">
        <v>44.3</v>
      </c>
      <c r="N548" s="99" t="inlineStr">
        <is>
          <t>N</t>
        </is>
      </c>
      <c r="O548" s="99" t="n">
        <v>31.96</v>
      </c>
      <c r="P548" s="99" t="inlineStr">
        <is>
          <t>N</t>
        </is>
      </c>
      <c r="Q548" s="99" t="inlineStr">
        <is>
          <t>N/A</t>
        </is>
      </c>
      <c r="R548" s="99" t="inlineStr">
        <is>
          <t>N</t>
        </is>
      </c>
      <c r="S548" s="99" t="n">
        <v>2</v>
      </c>
      <c r="T548" s="99" t="n">
        <v>5.6</v>
      </c>
      <c r="U548" s="99" t="inlineStr">
        <is>
          <t>Y</t>
        </is>
      </c>
      <c r="V548" s="99" t="n">
        <v>40.3</v>
      </c>
      <c r="W548" s="99" t="n">
        <v>18</v>
      </c>
      <c r="X548" s="99" t="n">
        <v>56.49</v>
      </c>
      <c r="Y548" s="99" t="n">
        <v>14.2</v>
      </c>
      <c r="Z548" s="99" t="n">
        <v>6</v>
      </c>
      <c r="AA548" s="94" t="inlineStr">
        <is>
          <t>WATCHLIST</t>
        </is>
      </c>
    </row>
    <row r="549">
      <c r="A549" s="97" t="inlineStr">
        <is>
          <t>HINDPETRO</t>
        </is>
      </c>
      <c r="B549" s="97" t="inlineStr">
        <is>
          <t>Hindustan Petroleum Corporation Ltd.</t>
        </is>
      </c>
      <c r="C549" s="97" t="inlineStr">
        <is>
          <t>Oil Gas &amp; Consumable Fuels</t>
        </is>
      </c>
      <c r="D549" s="97" t="inlineStr">
        <is>
          <t>Large/Midcap</t>
        </is>
      </c>
      <c r="E549" s="97" t="n">
        <v>393.95</v>
      </c>
      <c r="F549" s="97" t="n">
        <v>3.37</v>
      </c>
      <c r="G549" s="97" t="n">
        <v>7119104</v>
      </c>
      <c r="H549" s="97" t="n">
        <v>0.71</v>
      </c>
      <c r="I549" s="97" t="n">
        <v>83826</v>
      </c>
      <c r="J549" s="97" t="inlineStr">
        <is>
          <t>Y</t>
        </is>
      </c>
      <c r="K549" s="97" t="inlineStr">
        <is>
          <t>Y</t>
        </is>
      </c>
      <c r="L549" s="97" t="inlineStr">
        <is>
          <t>N</t>
        </is>
      </c>
      <c r="M549" s="97" t="n">
        <v>43.8</v>
      </c>
      <c r="N549" s="97" t="inlineStr">
        <is>
          <t>N</t>
        </is>
      </c>
      <c r="O549" s="97" t="n">
        <v>12.1</v>
      </c>
      <c r="P549" s="97" t="inlineStr">
        <is>
          <t>N</t>
        </is>
      </c>
      <c r="Q549" s="97" t="inlineStr">
        <is>
          <t>N/A</t>
        </is>
      </c>
      <c r="R549" s="97" t="inlineStr">
        <is>
          <t>N</t>
        </is>
      </c>
      <c r="S549" s="97" t="n">
        <v>-3.5</v>
      </c>
      <c r="T549" s="97" t="n">
        <v>5.6</v>
      </c>
      <c r="U549" s="97" t="inlineStr">
        <is>
          <t>Y</t>
        </is>
      </c>
      <c r="V549" s="97" t="n">
        <v>48.5</v>
      </c>
      <c r="W549" s="97" t="inlineStr">
        <is>
          <t>N/A</t>
        </is>
      </c>
      <c r="X549" s="97" t="n">
        <v>85.37</v>
      </c>
      <c r="Y549" s="97" t="n">
        <v>-302.2</v>
      </c>
      <c r="Z549" s="97" t="n">
        <v>3</v>
      </c>
      <c r="AA549" s="92" t="inlineStr">
        <is>
          <t>AVOID</t>
        </is>
      </c>
    </row>
    <row r="550">
      <c r="A550" s="99" t="inlineStr">
        <is>
          <t>HOMEFIRST</t>
        </is>
      </c>
      <c r="B550" s="99" t="inlineStr">
        <is>
          <t>Home First Finance Company India Ltd.</t>
        </is>
      </c>
      <c r="C550" s="99" t="inlineStr">
        <is>
          <t>Financial Services</t>
        </is>
      </c>
      <c r="D550" s="99" t="inlineStr">
        <is>
          <t>BSE Smallcap</t>
        </is>
      </c>
      <c r="E550" s="99" t="n">
        <v>1174</v>
      </c>
      <c r="F550" s="99" t="n">
        <v>-2.35</v>
      </c>
      <c r="G550" s="99" t="n">
        <v>259050</v>
      </c>
      <c r="H550" s="99" t="n">
        <v>1.1</v>
      </c>
      <c r="I550" s="99" t="n">
        <v>12361</v>
      </c>
      <c r="J550" s="99" t="inlineStr">
        <is>
          <t>Y</t>
        </is>
      </c>
      <c r="K550" s="99" t="inlineStr">
        <is>
          <t>Y</t>
        </is>
      </c>
      <c r="L550" s="99" t="inlineStr">
        <is>
          <t>Y</t>
        </is>
      </c>
      <c r="M550" s="99" t="n">
        <v>47.4</v>
      </c>
      <c r="N550" s="99" t="inlineStr">
        <is>
          <t>N</t>
        </is>
      </c>
      <c r="O550" s="99" t="n">
        <v>42.26</v>
      </c>
      <c r="P550" s="99" t="inlineStr">
        <is>
          <t>N</t>
        </is>
      </c>
      <c r="Q550" s="99" t="inlineStr">
        <is>
          <t>N/A</t>
        </is>
      </c>
      <c r="R550" s="99" t="inlineStr">
        <is>
          <t>N</t>
        </is>
      </c>
      <c r="S550" s="99" t="n">
        <v>-1.2</v>
      </c>
      <c r="T550" s="99" t="n">
        <v>5.4</v>
      </c>
      <c r="U550" s="99" t="inlineStr">
        <is>
          <t>Y</t>
        </is>
      </c>
      <c r="V550" s="99" t="n">
        <v>22.9</v>
      </c>
      <c r="W550" s="99" t="n">
        <v>15.7</v>
      </c>
      <c r="X550" s="99" t="n">
        <v>243.94</v>
      </c>
      <c r="Y550" s="99" t="n">
        <v>6.6</v>
      </c>
      <c r="Z550" s="99" t="n">
        <v>6</v>
      </c>
      <c r="AA550" s="94" t="inlineStr">
        <is>
          <t>WATCHLIST</t>
        </is>
      </c>
    </row>
    <row r="551">
      <c r="A551" s="97" t="inlineStr">
        <is>
          <t>BAJAJHLDNG</t>
        </is>
      </c>
      <c r="B551" s="97" t="inlineStr">
        <is>
          <t>Bajaj Holdings &amp; Investment Ltd.</t>
        </is>
      </c>
      <c r="C551" s="97" t="inlineStr">
        <is>
          <t>Financial Services</t>
        </is>
      </c>
      <c r="D551" s="97" t="inlineStr">
        <is>
          <t>Large/Midcap</t>
        </is>
      </c>
      <c r="E551" s="97" t="n">
        <v>10679</v>
      </c>
      <c r="F551" s="97" t="n">
        <v>0.4</v>
      </c>
      <c r="G551" s="97" t="n">
        <v>73470</v>
      </c>
      <c r="H551" s="97" t="n">
        <v>0.85</v>
      </c>
      <c r="I551" s="97" t="n">
        <v>120308</v>
      </c>
      <c r="J551" s="97" t="inlineStr">
        <is>
          <t>Y</t>
        </is>
      </c>
      <c r="K551" s="97" t="inlineStr">
        <is>
          <t>Y</t>
        </is>
      </c>
      <c r="L551" s="97" t="inlineStr">
        <is>
          <t>N</t>
        </is>
      </c>
      <c r="M551" s="97" t="n">
        <v>46.2</v>
      </c>
      <c r="N551" s="97" t="inlineStr">
        <is>
          <t>N</t>
        </is>
      </c>
      <c r="O551" s="97" t="n">
        <v>278.5</v>
      </c>
      <c r="P551" s="97" t="inlineStr">
        <is>
          <t>N</t>
        </is>
      </c>
      <c r="Q551" s="97" t="inlineStr">
        <is>
          <t>N/A</t>
        </is>
      </c>
      <c r="R551" s="97" t="inlineStr">
        <is>
          <t>N</t>
        </is>
      </c>
      <c r="S551" s="97" t="n">
        <v>2.3</v>
      </c>
      <c r="T551" s="97" t="n">
        <v>5.3</v>
      </c>
      <c r="U551" s="97" t="inlineStr">
        <is>
          <t>Y</t>
        </is>
      </c>
      <c r="V551" s="97" t="n">
        <v>12.5</v>
      </c>
      <c r="W551" s="97" t="n">
        <v>12.6</v>
      </c>
      <c r="X551" s="97" t="n">
        <v>0.01</v>
      </c>
      <c r="Y551" s="97" t="n">
        <v>27.7</v>
      </c>
      <c r="Z551" s="97" t="n">
        <v>4</v>
      </c>
      <c r="AA551" s="92" t="inlineStr">
        <is>
          <t>AVOID</t>
        </is>
      </c>
    </row>
    <row r="552">
      <c r="A552" s="99" t="inlineStr">
        <is>
          <t>ALKEM</t>
        </is>
      </c>
      <c r="B552" s="99" t="inlineStr">
        <is>
          <t>Alkem Laboratories Ltd.</t>
        </is>
      </c>
      <c r="C552" s="99" t="inlineStr">
        <is>
          <t>Healthcare</t>
        </is>
      </c>
      <c r="D552" s="99" t="inlineStr">
        <is>
          <t>Large/Midcap</t>
        </is>
      </c>
      <c r="E552" s="99" t="n">
        <v>5613</v>
      </c>
      <c r="F552" s="99" t="n">
        <v>-0.36</v>
      </c>
      <c r="G552" s="99" t="n">
        <v>112113</v>
      </c>
      <c r="H552" s="99" t="n">
        <v>1.56</v>
      </c>
      <c r="I552" s="99" t="n">
        <v>67112</v>
      </c>
      <c r="J552" s="99" t="inlineStr">
        <is>
          <t>Y</t>
        </is>
      </c>
      <c r="K552" s="99" t="inlineStr">
        <is>
          <t>Y</t>
        </is>
      </c>
      <c r="L552" s="99" t="inlineStr">
        <is>
          <t>Y</t>
        </is>
      </c>
      <c r="M552" s="99" t="n">
        <v>46.6</v>
      </c>
      <c r="N552" s="99" t="inlineStr">
        <is>
          <t>N</t>
        </is>
      </c>
      <c r="O552" s="99" t="n">
        <v>122.82</v>
      </c>
      <c r="P552" s="99" t="inlineStr">
        <is>
          <t>N</t>
        </is>
      </c>
      <c r="Q552" s="99" t="inlineStr">
        <is>
          <t>N/A</t>
        </is>
      </c>
      <c r="R552" s="99" t="inlineStr">
        <is>
          <t>N</t>
        </is>
      </c>
      <c r="S552" s="99" t="n">
        <v>3.7</v>
      </c>
      <c r="T552" s="99" t="n">
        <v>4.3</v>
      </c>
      <c r="U552" s="99" t="inlineStr">
        <is>
          <t>Y</t>
        </is>
      </c>
      <c r="V552" s="99" t="n">
        <v>29.2</v>
      </c>
      <c r="W552" s="99" t="n">
        <v>17.6</v>
      </c>
      <c r="X552" s="99" t="n">
        <v>14.27</v>
      </c>
      <c r="Y552" s="99" t="n">
        <v>-62.8</v>
      </c>
      <c r="Z552" s="99" t="n">
        <v>5</v>
      </c>
      <c r="AA552" s="94" t="inlineStr">
        <is>
          <t>WATCHLIST</t>
        </is>
      </c>
    </row>
    <row r="553">
      <c r="A553" s="97" t="inlineStr">
        <is>
          <t>AUBANK</t>
        </is>
      </c>
      <c r="B553" s="97" t="inlineStr">
        <is>
          <t>AU Small Finance Bank Ltd.</t>
        </is>
      </c>
      <c r="C553" s="97" t="inlineStr">
        <is>
          <t>Financial Services</t>
        </is>
      </c>
      <c r="D553" s="97" t="inlineStr">
        <is>
          <t>Large/Midcap</t>
        </is>
      </c>
      <c r="E553" s="97" t="n">
        <v>1052.2</v>
      </c>
      <c r="F553" s="97" t="n">
        <v>4.8</v>
      </c>
      <c r="G553" s="97" t="n">
        <v>5047131</v>
      </c>
      <c r="H553" s="97" t="n">
        <v>2.68</v>
      </c>
      <c r="I553" s="97" t="n">
        <v>78774</v>
      </c>
      <c r="J553" s="97" t="inlineStr">
        <is>
          <t>Y</t>
        </is>
      </c>
      <c r="K553" s="97" t="inlineStr">
        <is>
          <t>Y</t>
        </is>
      </c>
      <c r="L553" s="97" t="inlineStr">
        <is>
          <t>Y</t>
        </is>
      </c>
      <c r="M553" s="97" t="n">
        <v>47.1</v>
      </c>
      <c r="N553" s="97" t="inlineStr">
        <is>
          <t>N</t>
        </is>
      </c>
      <c r="O553" s="97" t="n">
        <v>29.81</v>
      </c>
      <c r="P553" s="97" t="inlineStr">
        <is>
          <t>Y</t>
        </is>
      </c>
      <c r="Q553" s="97" t="inlineStr">
        <is>
          <t>N/A</t>
        </is>
      </c>
      <c r="R553" s="97" t="inlineStr">
        <is>
          <t>N</t>
        </is>
      </c>
      <c r="S553" s="97" t="n">
        <v>2</v>
      </c>
      <c r="T553" s="97" t="n">
        <v>4</v>
      </c>
      <c r="U553" s="97" t="inlineStr">
        <is>
          <t>Y</t>
        </is>
      </c>
      <c r="V553" s="97" t="n">
        <v>30</v>
      </c>
      <c r="W553" s="97" t="inlineStr">
        <is>
          <t>N/A</t>
        </is>
      </c>
      <c r="X553" s="97" t="inlineStr">
        <is>
          <t>N/A</t>
        </is>
      </c>
      <c r="Y553" s="97" t="n">
        <v>-4.3</v>
      </c>
      <c r="Z553" s="97" t="n">
        <v>5</v>
      </c>
      <c r="AA553" s="92" t="inlineStr">
        <is>
          <t>WATCHLIST</t>
        </is>
      </c>
    </row>
    <row r="554">
      <c r="A554" s="99" t="inlineStr">
        <is>
          <t>RBLBANK</t>
        </is>
      </c>
      <c r="B554" s="99" t="inlineStr">
        <is>
          <t>RBL Bank Ltd.</t>
        </is>
      </c>
      <c r="C554" s="99" t="inlineStr">
        <is>
          <t>Financial Services</t>
        </is>
      </c>
      <c r="D554" s="99" t="inlineStr">
        <is>
          <t>BSE Smallcap</t>
        </is>
      </c>
      <c r="E554" s="99" t="n">
        <v>352.9</v>
      </c>
      <c r="F554" s="99" t="n">
        <v>-0.27</v>
      </c>
      <c r="G554" s="99" t="n">
        <v>2705750</v>
      </c>
      <c r="H554" s="99" t="n">
        <v>0.64</v>
      </c>
      <c r="I554" s="99" t="n">
        <v>56189</v>
      </c>
      <c r="J554" s="99" t="inlineStr">
        <is>
          <t>Y</t>
        </is>
      </c>
      <c r="K554" s="99" t="inlineStr">
        <is>
          <t>N</t>
        </is>
      </c>
      <c r="L554" s="99" t="inlineStr">
        <is>
          <t>Y</t>
        </is>
      </c>
      <c r="M554" s="99" t="n">
        <v>40.4</v>
      </c>
      <c r="N554" s="99" t="inlineStr">
        <is>
          <t>N</t>
        </is>
      </c>
      <c r="O554" s="99" t="n">
        <v>10.55</v>
      </c>
      <c r="P554" s="99" t="inlineStr">
        <is>
          <t>N</t>
        </is>
      </c>
      <c r="Q554" s="99" t="inlineStr">
        <is>
          <t>N/A</t>
        </is>
      </c>
      <c r="R554" s="99" t="inlineStr">
        <is>
          <t>N</t>
        </is>
      </c>
      <c r="S554" s="99" t="n">
        <v>-4.6</v>
      </c>
      <c r="T554" s="99" t="n">
        <v>3.8</v>
      </c>
      <c r="U554" s="99" t="inlineStr">
        <is>
          <t>Y</t>
        </is>
      </c>
      <c r="V554" s="99" t="n">
        <v>30</v>
      </c>
      <c r="W554" s="99" t="inlineStr">
        <is>
          <t>N/A</t>
        </is>
      </c>
      <c r="X554" s="99" t="inlineStr">
        <is>
          <t>N/A</t>
        </is>
      </c>
      <c r="Y554" s="99" t="n">
        <v>-4.2</v>
      </c>
      <c r="Z554" s="99" t="n">
        <v>3</v>
      </c>
      <c r="AA554" s="94" t="inlineStr">
        <is>
          <t>AVOID</t>
        </is>
      </c>
    </row>
    <row r="555">
      <c r="A555" s="97" t="inlineStr">
        <is>
          <t>JUBLPHARMA</t>
        </is>
      </c>
      <c r="B555" s="97" t="inlineStr">
        <is>
          <t>Jubilant Pharmova Ltd.</t>
        </is>
      </c>
      <c r="C555" s="97" t="inlineStr">
        <is>
          <t>Healthcare</t>
        </is>
      </c>
      <c r="D555" s="97" t="inlineStr">
        <is>
          <t>BSE Smallcap</t>
        </is>
      </c>
      <c r="E555" s="97" t="n">
        <v>965.35</v>
      </c>
      <c r="F555" s="97" t="n">
        <v>-0.05</v>
      </c>
      <c r="G555" s="97" t="n">
        <v>57028</v>
      </c>
      <c r="H555" s="97" t="n">
        <v>0.67</v>
      </c>
      <c r="I555" s="97" t="n">
        <v>15517</v>
      </c>
      <c r="J555" s="97" t="inlineStr">
        <is>
          <t>Y</t>
        </is>
      </c>
      <c r="K555" s="97" t="inlineStr">
        <is>
          <t>N</t>
        </is>
      </c>
      <c r="L555" s="97" t="inlineStr">
        <is>
          <t>N</t>
        </is>
      </c>
      <c r="M555" s="97" t="n">
        <v>46.1</v>
      </c>
      <c r="N555" s="97" t="inlineStr">
        <is>
          <t>N</t>
        </is>
      </c>
      <c r="O555" s="97" t="n">
        <v>27.3</v>
      </c>
      <c r="P555" s="97" t="inlineStr">
        <is>
          <t>N</t>
        </is>
      </c>
      <c r="Q555" s="97" t="inlineStr">
        <is>
          <t>N/A</t>
        </is>
      </c>
      <c r="R555" s="97" t="inlineStr">
        <is>
          <t>N</t>
        </is>
      </c>
      <c r="S555" s="97" t="n">
        <v>0.9</v>
      </c>
      <c r="T555" s="97" t="n">
        <v>3.4</v>
      </c>
      <c r="U555" s="97" t="inlineStr">
        <is>
          <t>Y</t>
        </is>
      </c>
      <c r="V555" s="97" t="n">
        <v>39</v>
      </c>
      <c r="W555" s="97" t="n">
        <v>6</v>
      </c>
      <c r="X555" s="97" t="n">
        <v>50.94</v>
      </c>
      <c r="Y555" s="97" t="n">
        <v>113.6</v>
      </c>
      <c r="Z555" s="97" t="n">
        <v>3</v>
      </c>
      <c r="AA555" s="92" t="inlineStr">
        <is>
          <t>AVOID</t>
        </is>
      </c>
    </row>
    <row r="556">
      <c r="A556" s="99" t="inlineStr">
        <is>
          <t>ELGIEQUIP</t>
        </is>
      </c>
      <c r="B556" s="99" t="inlineStr">
        <is>
          <t>Elgi Equipments Ltd.</t>
        </is>
      </c>
      <c r="C556" s="99" t="inlineStr">
        <is>
          <t>Capital Goods</t>
        </is>
      </c>
      <c r="D556" s="99" t="inlineStr">
        <is>
          <t>BSE Smallcap</t>
        </is>
      </c>
      <c r="E556" s="99" t="n">
        <v>577.3</v>
      </c>
      <c r="F556" s="99" t="n">
        <v>-1.49</v>
      </c>
      <c r="G556" s="99" t="n">
        <v>173421</v>
      </c>
      <c r="H556" s="99" t="n">
        <v>0.49</v>
      </c>
      <c r="I556" s="99" t="n">
        <v>18248</v>
      </c>
      <c r="J556" s="99" t="inlineStr">
        <is>
          <t>Y</t>
        </is>
      </c>
      <c r="K556" s="99" t="inlineStr">
        <is>
          <t>N</t>
        </is>
      </c>
      <c r="L556" s="99" t="inlineStr">
        <is>
          <t>Y</t>
        </is>
      </c>
      <c r="M556" s="99" t="n">
        <v>44.9</v>
      </c>
      <c r="N556" s="99" t="inlineStr">
        <is>
          <t>N</t>
        </is>
      </c>
      <c r="O556" s="99" t="n">
        <v>17.68</v>
      </c>
      <c r="P556" s="99" t="inlineStr">
        <is>
          <t>N</t>
        </is>
      </c>
      <c r="Q556" s="99" t="inlineStr">
        <is>
          <t>N/A</t>
        </is>
      </c>
      <c r="R556" s="99" t="inlineStr">
        <is>
          <t>N</t>
        </is>
      </c>
      <c r="S556" s="99" t="n">
        <v>-3.7</v>
      </c>
      <c r="T556" s="99" t="n">
        <v>2.9</v>
      </c>
      <c r="U556" s="99" t="inlineStr">
        <is>
          <t>Y</t>
        </is>
      </c>
      <c r="V556" s="99" t="n">
        <v>42.5</v>
      </c>
      <c r="W556" s="99" t="n">
        <v>21</v>
      </c>
      <c r="X556" s="99" t="n">
        <v>23.89</v>
      </c>
      <c r="Y556" s="99" t="n">
        <v>34.5</v>
      </c>
      <c r="Z556" s="99" t="n">
        <v>5</v>
      </c>
      <c r="AA556" s="94" t="inlineStr">
        <is>
          <t>WATCHLIST</t>
        </is>
      </c>
    </row>
    <row r="557">
      <c r="A557" s="97" t="inlineStr">
        <is>
          <t>BANKINDIA</t>
        </is>
      </c>
      <c r="B557" s="97" t="inlineStr">
        <is>
          <t>Bank of India</t>
        </is>
      </c>
      <c r="C557" s="97" t="inlineStr">
        <is>
          <t>Financial Services</t>
        </is>
      </c>
      <c r="D557" s="97" t="inlineStr">
        <is>
          <t>Large/Midcap</t>
        </is>
      </c>
      <c r="E557" s="97" t="n">
        <v>137.87</v>
      </c>
      <c r="F557" s="97" t="n">
        <v>-3.33</v>
      </c>
      <c r="G557" s="97" t="n">
        <v>26282058</v>
      </c>
      <c r="H557" s="97" t="n">
        <v>3.4</v>
      </c>
      <c r="I557" s="97" t="n">
        <v>62768</v>
      </c>
      <c r="J557" s="97" t="inlineStr">
        <is>
          <t>Y</t>
        </is>
      </c>
      <c r="K557" s="97" t="inlineStr">
        <is>
          <t>N</t>
        </is>
      </c>
      <c r="L557" s="97" t="inlineStr">
        <is>
          <t>N</t>
        </is>
      </c>
      <c r="M557" s="97" t="n">
        <v>44.4</v>
      </c>
      <c r="N557" s="97" t="inlineStr">
        <is>
          <t>N</t>
        </is>
      </c>
      <c r="O557" s="97" t="n">
        <v>4.86</v>
      </c>
      <c r="P557" s="97" t="inlineStr">
        <is>
          <t>Y</t>
        </is>
      </c>
      <c r="Q557" s="97" t="inlineStr">
        <is>
          <t>N/A</t>
        </is>
      </c>
      <c r="R557" s="97" t="inlineStr">
        <is>
          <t>N</t>
        </is>
      </c>
      <c r="S557" s="97" t="n">
        <v>-4.5</v>
      </c>
      <c r="T557" s="97" t="n">
        <v>2.2</v>
      </c>
      <c r="U557" s="97" t="inlineStr">
        <is>
          <t>Y</t>
        </is>
      </c>
      <c r="V557" s="97" t="n">
        <v>5.3</v>
      </c>
      <c r="W557" s="97" t="n">
        <v>12.1</v>
      </c>
      <c r="X557" s="97" t="inlineStr">
        <is>
          <t>N/A</t>
        </is>
      </c>
      <c r="Y557" s="97" t="n">
        <v>7</v>
      </c>
      <c r="Z557" s="97" t="n">
        <v>4</v>
      </c>
      <c r="AA557" s="92" t="inlineStr">
        <is>
          <t>AVOID</t>
        </is>
      </c>
    </row>
    <row r="558">
      <c r="A558" s="99" t="inlineStr">
        <is>
          <t>FORTIS</t>
        </is>
      </c>
      <c r="B558" s="99" t="inlineStr">
        <is>
          <t>Fortis Healthcare Ltd.</t>
        </is>
      </c>
      <c r="C558" s="99" t="inlineStr">
        <is>
          <t>Healthcare</t>
        </is>
      </c>
      <c r="D558" s="99" t="inlineStr">
        <is>
          <t>Large/Midcap</t>
        </is>
      </c>
      <c r="E558" s="99" t="n">
        <v>948.7</v>
      </c>
      <c r="F558" s="99" t="n">
        <v>0.64</v>
      </c>
      <c r="G558" s="99" t="n">
        <v>503448</v>
      </c>
      <c r="H558" s="99" t="n">
        <v>0.72</v>
      </c>
      <c r="I558" s="99" t="n">
        <v>71140</v>
      </c>
      <c r="J558" s="99" t="inlineStr">
        <is>
          <t>Y</t>
        </is>
      </c>
      <c r="K558" s="99" t="inlineStr">
        <is>
          <t>N</t>
        </is>
      </c>
      <c r="L558" s="99" t="inlineStr">
        <is>
          <t>Y</t>
        </is>
      </c>
      <c r="M558" s="99" t="n">
        <v>40</v>
      </c>
      <c r="N558" s="99" t="inlineStr">
        <is>
          <t>N</t>
        </is>
      </c>
      <c r="O558" s="99" t="n">
        <v>20.17</v>
      </c>
      <c r="P558" s="99" t="inlineStr">
        <is>
          <t>N</t>
        </is>
      </c>
      <c r="Q558" s="99" t="inlineStr">
        <is>
          <t>N/A</t>
        </is>
      </c>
      <c r="R558" s="99" t="inlineStr">
        <is>
          <t>N</t>
        </is>
      </c>
      <c r="S558" s="99" t="n">
        <v>-0.3</v>
      </c>
      <c r="T558" s="99" t="n">
        <v>2</v>
      </c>
      <c r="U558" s="99" t="inlineStr">
        <is>
          <t>Y</t>
        </is>
      </c>
      <c r="V558" s="99" t="n">
        <v>68.5</v>
      </c>
      <c r="W558" s="99" t="n">
        <v>11</v>
      </c>
      <c r="X558" s="99" t="n">
        <v>34.15</v>
      </c>
      <c r="Y558" s="99" t="n">
        <v>37.2</v>
      </c>
      <c r="Z558" s="99" t="n">
        <v>4</v>
      </c>
      <c r="AA558" s="94" t="inlineStr">
        <is>
          <t>AVOID</t>
        </is>
      </c>
    </row>
    <row r="559">
      <c r="A559" s="97" t="inlineStr">
        <is>
          <t>M&amp;M</t>
        </is>
      </c>
      <c r="B559" s="97" t="inlineStr">
        <is>
          <t>Mahindra &amp; Mahindra Ltd.</t>
        </is>
      </c>
      <c r="C559" s="97" t="inlineStr">
        <is>
          <t>Automobile and Auto Components</t>
        </is>
      </c>
      <c r="D559" s="97" t="inlineStr">
        <is>
          <t>Large/Midcap</t>
        </is>
      </c>
      <c r="E559" s="97" t="n">
        <v>3161.4</v>
      </c>
      <c r="F559" s="97" t="n">
        <v>-2.11</v>
      </c>
      <c r="G559" s="97" t="n">
        <v>2135688</v>
      </c>
      <c r="H559" s="97" t="n">
        <v>1.02</v>
      </c>
      <c r="I559" s="97" t="n">
        <v>388879</v>
      </c>
      <c r="J559" s="97" t="inlineStr">
        <is>
          <t>Y</t>
        </is>
      </c>
      <c r="K559" s="97" t="inlineStr">
        <is>
          <t>Y</t>
        </is>
      </c>
      <c r="L559" s="97" t="inlineStr">
        <is>
          <t>N</t>
        </is>
      </c>
      <c r="M559" s="97" t="n">
        <v>46.5</v>
      </c>
      <c r="N559" s="97" t="inlineStr">
        <is>
          <t>N</t>
        </is>
      </c>
      <c r="O559" s="97" t="n">
        <v>67.54000000000001</v>
      </c>
      <c r="P559" s="97" t="inlineStr">
        <is>
          <t>N</t>
        </is>
      </c>
      <c r="Q559" s="97" t="inlineStr">
        <is>
          <t>N/A</t>
        </is>
      </c>
      <c r="R559" s="97" t="inlineStr">
        <is>
          <t>N</t>
        </is>
      </c>
      <c r="S559" s="97" t="n">
        <v>0.6</v>
      </c>
      <c r="T559" s="97" t="n">
        <v>1.7</v>
      </c>
      <c r="U559" s="97" t="inlineStr">
        <is>
          <t>Y</t>
        </is>
      </c>
      <c r="V559" s="97" t="n">
        <v>21.3</v>
      </c>
      <c r="W559" s="97" t="n">
        <v>18.8</v>
      </c>
      <c r="X559" s="97" t="n">
        <v>125.28</v>
      </c>
      <c r="Y559" s="97" t="n">
        <v>-0.2</v>
      </c>
      <c r="Z559" s="97" t="n">
        <v>4</v>
      </c>
      <c r="AA559" s="92" t="inlineStr">
        <is>
          <t>AVOID</t>
        </is>
      </c>
    </row>
    <row r="560">
      <c r="A560" s="99" t="inlineStr">
        <is>
          <t>COROMANDEL</t>
        </is>
      </c>
      <c r="B560" s="99" t="inlineStr">
        <is>
          <t>Coromandel International Ltd.</t>
        </is>
      </c>
      <c r="C560" s="99" t="inlineStr">
        <is>
          <t>Chemicals</t>
        </is>
      </c>
      <c r="D560" s="99" t="inlineStr">
        <is>
          <t>Large/Midcap</t>
        </is>
      </c>
      <c r="E560" s="99" t="n">
        <v>2003.8</v>
      </c>
      <c r="F560" s="99" t="n">
        <v>1.16</v>
      </c>
      <c r="G560" s="99" t="n">
        <v>85074</v>
      </c>
      <c r="H560" s="99" t="n">
        <v>0.47</v>
      </c>
      <c r="I560" s="99" t="n">
        <v>59011</v>
      </c>
      <c r="J560" s="99" t="inlineStr">
        <is>
          <t>Y</t>
        </is>
      </c>
      <c r="K560" s="99" t="inlineStr">
        <is>
          <t>Y</t>
        </is>
      </c>
      <c r="L560" s="99" t="inlineStr">
        <is>
          <t>N</t>
        </is>
      </c>
      <c r="M560" s="99" t="n">
        <v>40.1</v>
      </c>
      <c r="N560" s="99" t="inlineStr">
        <is>
          <t>N</t>
        </is>
      </c>
      <c r="O560" s="99" t="n">
        <v>52.23</v>
      </c>
      <c r="P560" s="99" t="inlineStr">
        <is>
          <t>N</t>
        </is>
      </c>
      <c r="Q560" s="99" t="inlineStr">
        <is>
          <t>N/A</t>
        </is>
      </c>
      <c r="R560" s="99" t="inlineStr">
        <is>
          <t>N</t>
        </is>
      </c>
      <c r="S560" s="99" t="n">
        <v>0.5</v>
      </c>
      <c r="T560" s="99" t="n">
        <v>1.6</v>
      </c>
      <c r="U560" s="99" t="inlineStr">
        <is>
          <t>Y</t>
        </is>
      </c>
      <c r="V560" s="99" t="n">
        <v>31.8</v>
      </c>
      <c r="W560" s="99" t="inlineStr">
        <is>
          <t>N/A</t>
        </is>
      </c>
      <c r="X560" s="99" t="n">
        <v>11.47</v>
      </c>
      <c r="Y560" s="99" t="n">
        <v>172.2</v>
      </c>
      <c r="Z560" s="99" t="n">
        <v>4</v>
      </c>
      <c r="AA560" s="94" t="inlineStr">
        <is>
          <t>AVOID</t>
        </is>
      </c>
    </row>
    <row r="561">
      <c r="A561" s="97" t="inlineStr">
        <is>
          <t>GODREJCP</t>
        </is>
      </c>
      <c r="B561" s="97" t="inlineStr">
        <is>
          <t>Godrej Consumer Products Ltd.</t>
        </is>
      </c>
      <c r="C561" s="97" t="inlineStr">
        <is>
          <t>Fast Moving Consumer Goods</t>
        </is>
      </c>
      <c r="D561" s="97" t="inlineStr">
        <is>
          <t>Large/Midcap</t>
        </is>
      </c>
      <c r="E561" s="97" t="n">
        <v>1073.7</v>
      </c>
      <c r="F561" s="97" t="n">
        <v>1.34</v>
      </c>
      <c r="G561" s="97" t="n">
        <v>318835</v>
      </c>
      <c r="H561" s="97" t="n">
        <v>0.66</v>
      </c>
      <c r="I561" s="97" t="n">
        <v>109872</v>
      </c>
      <c r="J561" s="97" t="inlineStr">
        <is>
          <t>Y</t>
        </is>
      </c>
      <c r="K561" s="97" t="inlineStr">
        <is>
          <t>Y</t>
        </is>
      </c>
      <c r="L561" s="97" t="inlineStr">
        <is>
          <t>N</t>
        </is>
      </c>
      <c r="M561" s="97" t="n">
        <v>42</v>
      </c>
      <c r="N561" s="97" t="inlineStr">
        <is>
          <t>N</t>
        </is>
      </c>
      <c r="O561" s="97" t="n">
        <v>23.79</v>
      </c>
      <c r="P561" s="97" t="inlineStr">
        <is>
          <t>N</t>
        </is>
      </c>
      <c r="Q561" s="97" t="inlineStr">
        <is>
          <t>N/A</t>
        </is>
      </c>
      <c r="R561" s="97" t="inlineStr">
        <is>
          <t>N</t>
        </is>
      </c>
      <c r="S561" s="97" t="n">
        <v>4</v>
      </c>
      <c r="T561" s="97" t="n">
        <v>1.5</v>
      </c>
      <c r="U561" s="97" t="inlineStr">
        <is>
          <t>Y</t>
        </is>
      </c>
      <c r="V561" s="97" t="n">
        <v>58.1</v>
      </c>
      <c r="W561" s="97" t="n">
        <v>15.1</v>
      </c>
      <c r="X561" s="97" t="n">
        <v>34.9</v>
      </c>
      <c r="Y561" s="97" t="n">
        <v>-9.300000000000001</v>
      </c>
      <c r="Z561" s="97" t="n">
        <v>4</v>
      </c>
      <c r="AA561" s="92" t="inlineStr">
        <is>
          <t>AVOID</t>
        </is>
      </c>
    </row>
    <row r="562">
      <c r="A562" s="99" t="inlineStr">
        <is>
          <t>EIHOTEL</t>
        </is>
      </c>
      <c r="B562" s="99" t="inlineStr">
        <is>
          <t>EIH Ltd.</t>
        </is>
      </c>
      <c r="C562" s="99" t="inlineStr">
        <is>
          <t>Consumer Services</t>
        </is>
      </c>
      <c r="D562" s="99" t="inlineStr">
        <is>
          <t>BSE Smallcap</t>
        </is>
      </c>
      <c r="E562" s="99" t="n">
        <v>326.4</v>
      </c>
      <c r="F562" s="99" t="n">
        <v>1.57</v>
      </c>
      <c r="G562" s="99" t="n">
        <v>156876</v>
      </c>
      <c r="H562" s="99" t="n">
        <v>1.26</v>
      </c>
      <c r="I562" s="99" t="n">
        <v>20678</v>
      </c>
      <c r="J562" s="99" t="inlineStr">
        <is>
          <t>Y</t>
        </is>
      </c>
      <c r="K562" s="99" t="inlineStr">
        <is>
          <t>Y</t>
        </is>
      </c>
      <c r="L562" s="99" t="inlineStr">
        <is>
          <t>N</t>
        </is>
      </c>
      <c r="M562" s="99" t="n">
        <v>44</v>
      </c>
      <c r="N562" s="99" t="inlineStr">
        <is>
          <t>N</t>
        </is>
      </c>
      <c r="O562" s="99" t="n">
        <v>10.88</v>
      </c>
      <c r="P562" s="99" t="inlineStr">
        <is>
          <t>N</t>
        </is>
      </c>
      <c r="Q562" s="99" t="inlineStr">
        <is>
          <t>N/A</t>
        </is>
      </c>
      <c r="R562" s="99" t="inlineStr">
        <is>
          <t>N</t>
        </is>
      </c>
      <c r="S562" s="99" t="n">
        <v>0.2</v>
      </c>
      <c r="T562" s="99" t="n">
        <v>1.4</v>
      </c>
      <c r="U562" s="99" t="inlineStr">
        <is>
          <t>Y</t>
        </is>
      </c>
      <c r="V562" s="99" t="n">
        <v>32.9</v>
      </c>
      <c r="W562" s="99" t="n">
        <v>12.9</v>
      </c>
      <c r="X562" s="99" t="n">
        <v>4.67</v>
      </c>
      <c r="Y562" s="99" t="n">
        <v>-2.2</v>
      </c>
      <c r="Z562" s="99" t="n">
        <v>3</v>
      </c>
      <c r="AA562" s="94" t="inlineStr">
        <is>
          <t>AVOID</t>
        </is>
      </c>
    </row>
    <row r="563">
      <c r="A563" s="97" t="inlineStr">
        <is>
          <t>AFFLE</t>
        </is>
      </c>
      <c r="B563" s="97" t="inlineStr">
        <is>
          <t>Affle 3i Ltd.</t>
        </is>
      </c>
      <c r="C563" s="97" t="inlineStr">
        <is>
          <t>Information Technology</t>
        </is>
      </c>
      <c r="D563" s="97" t="inlineStr">
        <is>
          <t>BSE Smallcap</t>
        </is>
      </c>
      <c r="E563" s="97" t="n">
        <v>1445.3</v>
      </c>
      <c r="F563" s="97" t="n">
        <v>-1.07</v>
      </c>
      <c r="G563" s="97" t="n">
        <v>238606</v>
      </c>
      <c r="H563" s="97" t="n">
        <v>2.08</v>
      </c>
      <c r="I563" s="97" t="n">
        <v>20995</v>
      </c>
      <c r="J563" s="97" t="inlineStr">
        <is>
          <t>Y</t>
        </is>
      </c>
      <c r="K563" s="97" t="inlineStr">
        <is>
          <t>N</t>
        </is>
      </c>
      <c r="L563" s="97" t="inlineStr">
        <is>
          <t>N</t>
        </is>
      </c>
      <c r="M563" s="97" t="n">
        <v>49.7</v>
      </c>
      <c r="N563" s="97" t="inlineStr">
        <is>
          <t>N</t>
        </is>
      </c>
      <c r="O563" s="97" t="n">
        <v>48.56</v>
      </c>
      <c r="P563" s="97" t="inlineStr">
        <is>
          <t>N</t>
        </is>
      </c>
      <c r="Q563" s="97" t="inlineStr">
        <is>
          <t>N/A</t>
        </is>
      </c>
      <c r="R563" s="97" t="inlineStr">
        <is>
          <t>N</t>
        </is>
      </c>
      <c r="S563" s="97" t="n">
        <v>-0.1</v>
      </c>
      <c r="T563" s="97" t="n">
        <v>1.3</v>
      </c>
      <c r="U563" s="97" t="inlineStr">
        <is>
          <t>Y</t>
        </is>
      </c>
      <c r="V563" s="97" t="n">
        <v>46.1</v>
      </c>
      <c r="W563" s="97" t="n">
        <v>13.8</v>
      </c>
      <c r="X563" s="97" t="n">
        <v>0.41</v>
      </c>
      <c r="Y563" s="97" t="n">
        <v>0.2</v>
      </c>
      <c r="Z563" s="97" t="n">
        <v>3</v>
      </c>
      <c r="AA563" s="92" t="inlineStr">
        <is>
          <t>AVOID</t>
        </is>
      </c>
    </row>
    <row r="564">
      <c r="A564" s="99" t="inlineStr">
        <is>
          <t>PNBHOUSING</t>
        </is>
      </c>
      <c r="B564" s="99" t="inlineStr">
        <is>
          <t>PNB Housing Finance Ltd.</t>
        </is>
      </c>
      <c r="C564" s="99" t="inlineStr">
        <is>
          <t>Financial Services</t>
        </is>
      </c>
      <c r="D564" s="99" t="inlineStr">
        <is>
          <t>BSE Smallcap</t>
        </is>
      </c>
      <c r="E564" s="99" t="n">
        <v>1058</v>
      </c>
      <c r="F564" s="99" t="n">
        <v>-0.82</v>
      </c>
      <c r="G564" s="99" t="n">
        <v>429139</v>
      </c>
      <c r="H564" s="99" t="n">
        <v>0.82</v>
      </c>
      <c r="I564" s="99" t="n">
        <v>28105</v>
      </c>
      <c r="J564" s="99" t="inlineStr">
        <is>
          <t>Y</t>
        </is>
      </c>
      <c r="K564" s="99" t="inlineStr">
        <is>
          <t>Y</t>
        </is>
      </c>
      <c r="L564" s="99" t="inlineStr">
        <is>
          <t>Y</t>
        </is>
      </c>
      <c r="M564" s="99" t="n">
        <v>41.7</v>
      </c>
      <c r="N564" s="99" t="inlineStr">
        <is>
          <t>N</t>
        </is>
      </c>
      <c r="O564" s="99" t="n">
        <v>31.84</v>
      </c>
      <c r="P564" s="99" t="inlineStr">
        <is>
          <t>N</t>
        </is>
      </c>
      <c r="Q564" s="99" t="inlineStr">
        <is>
          <t>N/A</t>
        </is>
      </c>
      <c r="R564" s="99" t="inlineStr">
        <is>
          <t>N</t>
        </is>
      </c>
      <c r="S564" s="99" t="n">
        <v>1.5</v>
      </c>
      <c r="T564" s="99" t="n">
        <v>0.9</v>
      </c>
      <c r="U564" s="99" t="inlineStr">
        <is>
          <t>Y</t>
        </is>
      </c>
      <c r="V564" s="99" t="n">
        <v>12.3</v>
      </c>
      <c r="W564" s="99" t="n">
        <v>12.7</v>
      </c>
      <c r="X564" s="99" t="n">
        <v>277.42</v>
      </c>
      <c r="Y564" s="99" t="n">
        <v>26</v>
      </c>
      <c r="Z564" s="99" t="n">
        <v>5</v>
      </c>
      <c r="AA564" s="94" t="inlineStr">
        <is>
          <t>WATCHLIST</t>
        </is>
      </c>
    </row>
    <row r="565">
      <c r="A565" s="97" t="inlineStr">
        <is>
          <t>UNOMINDA</t>
        </is>
      </c>
      <c r="B565" s="97" t="inlineStr">
        <is>
          <t>UNO Minda Ltd.</t>
        </is>
      </c>
      <c r="C565" s="97" t="inlineStr">
        <is>
          <t>Automobile and Auto Components</t>
        </is>
      </c>
      <c r="D565" s="97" t="inlineStr">
        <is>
          <t>Large/Midcap</t>
        </is>
      </c>
      <c r="E565" s="97" t="n">
        <v>1127</v>
      </c>
      <c r="F565" s="97" t="n">
        <v>-0.26</v>
      </c>
      <c r="G565" s="97" t="n">
        <v>1004753</v>
      </c>
      <c r="H565" s="97" t="n">
        <v>1.53</v>
      </c>
      <c r="I565" s="97" t="n">
        <v>67125</v>
      </c>
      <c r="J565" s="97" t="inlineStr">
        <is>
          <t>Y</t>
        </is>
      </c>
      <c r="K565" s="97" t="inlineStr">
        <is>
          <t>Y</t>
        </is>
      </c>
      <c r="L565" s="97" t="inlineStr">
        <is>
          <t>N</t>
        </is>
      </c>
      <c r="M565" s="97" t="n">
        <v>45.9</v>
      </c>
      <c r="N565" s="97" t="inlineStr">
        <is>
          <t>N</t>
        </is>
      </c>
      <c r="O565" s="97" t="n">
        <v>30.01</v>
      </c>
      <c r="P565" s="97" t="inlineStr">
        <is>
          <t>N</t>
        </is>
      </c>
      <c r="Q565" s="97" t="inlineStr">
        <is>
          <t>N/A</t>
        </is>
      </c>
      <c r="R565" s="97" t="inlineStr">
        <is>
          <t>N</t>
        </is>
      </c>
      <c r="S565" s="97" t="n">
        <v>-0.6</v>
      </c>
      <c r="T565" s="97" t="n">
        <v>0.1</v>
      </c>
      <c r="U565" s="97" t="inlineStr">
        <is>
          <t>Y</t>
        </is>
      </c>
      <c r="V565" s="97" t="n">
        <v>56</v>
      </c>
      <c r="W565" s="97" t="n">
        <v>19.2</v>
      </c>
      <c r="X565" s="97" t="n">
        <v>37.74</v>
      </c>
      <c r="Y565" s="97" t="n">
        <v>17.8</v>
      </c>
      <c r="Z565" s="97" t="n">
        <v>5</v>
      </c>
      <c r="AA565" s="92" t="inlineStr">
        <is>
          <t>WATCHLIST</t>
        </is>
      </c>
    </row>
    <row r="566">
      <c r="A566" s="99" t="inlineStr">
        <is>
          <t>ANTHEM</t>
        </is>
      </c>
      <c r="B566" s="99" t="inlineStr">
        <is>
          <t>Anthem Biosciences Ltd.</t>
        </is>
      </c>
      <c r="C566" s="99" t="inlineStr">
        <is>
          <t>Healthcare</t>
        </is>
      </c>
      <c r="D566" s="99" t="inlineStr">
        <is>
          <t>BSE Smallcap</t>
        </is>
      </c>
      <c r="E566" s="99" t="n">
        <v>769.9</v>
      </c>
      <c r="F566" s="99" t="n">
        <v>-1.02</v>
      </c>
      <c r="G566" s="99" t="n">
        <v>242556</v>
      </c>
      <c r="H566" s="99" t="n">
        <v>0.13</v>
      </c>
      <c r="I566" s="99" t="n">
        <v>44406</v>
      </c>
      <c r="J566" s="99" t="inlineStr">
        <is>
          <t>Y</t>
        </is>
      </c>
      <c r="K566" s="99" t="inlineStr">
        <is>
          <t>Y</t>
        </is>
      </c>
      <c r="L566" s="99" t="inlineStr">
        <is>
          <t>Y</t>
        </is>
      </c>
      <c r="M566" s="99" t="n">
        <v>48</v>
      </c>
      <c r="N566" s="99" t="inlineStr">
        <is>
          <t>N</t>
        </is>
      </c>
      <c r="O566" s="99" t="n">
        <v>21.08</v>
      </c>
      <c r="P566" s="99" t="inlineStr">
        <is>
          <t>N</t>
        </is>
      </c>
      <c r="Q566" s="99" t="inlineStr">
        <is>
          <t>N/A</t>
        </is>
      </c>
      <c r="R566" s="99" t="inlineStr">
        <is>
          <t>N</t>
        </is>
      </c>
      <c r="S566" s="99" t="n">
        <v>1.3</v>
      </c>
      <c r="T566" s="99" t="n">
        <v>0</v>
      </c>
      <c r="U566" s="99" t="inlineStr">
        <is>
          <t>N</t>
        </is>
      </c>
      <c r="V566" s="99" t="n">
        <v>78.3</v>
      </c>
      <c r="W566" s="99" t="inlineStr">
        <is>
          <t>N/A</t>
        </is>
      </c>
      <c r="X566" s="99" t="n">
        <v>1.77</v>
      </c>
      <c r="Y566" s="99" t="n">
        <v>-36.8</v>
      </c>
      <c r="Z566" s="99" t="n">
        <v>3</v>
      </c>
      <c r="AA566" s="94" t="inlineStr">
        <is>
          <t>AVOID</t>
        </is>
      </c>
    </row>
    <row r="567">
      <c r="A567" s="97" t="inlineStr">
        <is>
          <t>IOC</t>
        </is>
      </c>
      <c r="B567" s="97" t="inlineStr">
        <is>
          <t>Indian Oil Corporation Ltd.</t>
        </is>
      </c>
      <c r="C567" s="97" t="inlineStr">
        <is>
          <t>Oil Gas &amp; Consumable Fuels</t>
        </is>
      </c>
      <c r="D567" s="97" t="inlineStr">
        <is>
          <t>Large/Midcap</t>
        </is>
      </c>
      <c r="E567" s="97" t="n">
        <v>141.52</v>
      </c>
      <c r="F567" s="97" t="n">
        <v>2.2</v>
      </c>
      <c r="G567" s="97" t="n">
        <v>8260417</v>
      </c>
      <c r="H567" s="97" t="n">
        <v>0.8100000000000001</v>
      </c>
      <c r="I567" s="97" t="n">
        <v>199844</v>
      </c>
      <c r="J567" s="97" t="inlineStr">
        <is>
          <t>Y</t>
        </is>
      </c>
      <c r="K567" s="97" t="inlineStr">
        <is>
          <t>Y</t>
        </is>
      </c>
      <c r="L567" s="97" t="inlineStr">
        <is>
          <t>N</t>
        </is>
      </c>
      <c r="M567" s="97" t="n">
        <v>48.6</v>
      </c>
      <c r="N567" s="97" t="inlineStr">
        <is>
          <t>N</t>
        </is>
      </c>
      <c r="O567" s="97" t="n">
        <v>3.14</v>
      </c>
      <c r="P567" s="97" t="inlineStr">
        <is>
          <t>N</t>
        </is>
      </c>
      <c r="Q567" s="97" t="inlineStr">
        <is>
          <t>N/A</t>
        </is>
      </c>
      <c r="R567" s="97" t="inlineStr">
        <is>
          <t>N</t>
        </is>
      </c>
      <c r="S567" s="97" t="n">
        <v>-1.4</v>
      </c>
      <c r="T567" s="97" t="n">
        <v>-0.1</v>
      </c>
      <c r="U567" s="97" t="inlineStr">
        <is>
          <t>N</t>
        </is>
      </c>
      <c r="V567" s="97" t="n">
        <v>4.5</v>
      </c>
      <c r="W567" s="97" t="n">
        <v>21</v>
      </c>
      <c r="X567" s="97" t="n">
        <v>58.45</v>
      </c>
      <c r="Y567" s="97" t="n">
        <v>11.2</v>
      </c>
      <c r="Z567" s="97" t="n">
        <v>4</v>
      </c>
      <c r="AA567" s="92" t="inlineStr">
        <is>
          <t>AVOID</t>
        </is>
      </c>
    </row>
    <row r="568">
      <c r="A568" s="99" t="inlineStr">
        <is>
          <t>INDGN</t>
        </is>
      </c>
      <c r="B568" s="99" t="inlineStr">
        <is>
          <t>Indegene Ltd.</t>
        </is>
      </c>
      <c r="C568" s="99" t="inlineStr">
        <is>
          <t>Healthcare</t>
        </is>
      </c>
      <c r="D568" s="99" t="inlineStr">
        <is>
          <t>BSE Smallcap</t>
        </is>
      </c>
      <c r="E568" s="99" t="n">
        <v>492.65</v>
      </c>
      <c r="F568" s="99" t="n">
        <v>0.85</v>
      </c>
      <c r="G568" s="99" t="n">
        <v>84358</v>
      </c>
      <c r="H568" s="99" t="n">
        <v>0.86</v>
      </c>
      <c r="I568" s="99" t="n">
        <v>12220</v>
      </c>
      <c r="J568" s="99" t="inlineStr">
        <is>
          <t>Y</t>
        </is>
      </c>
      <c r="K568" s="99" t="inlineStr">
        <is>
          <t>N</t>
        </is>
      </c>
      <c r="L568" s="99" t="inlineStr">
        <is>
          <t>N</t>
        </is>
      </c>
      <c r="M568" s="99" t="n">
        <v>48.7</v>
      </c>
      <c r="N568" s="99" t="inlineStr">
        <is>
          <t>N</t>
        </is>
      </c>
      <c r="O568" s="99" t="n">
        <v>13.09</v>
      </c>
      <c r="P568" s="99" t="inlineStr">
        <is>
          <t>N</t>
        </is>
      </c>
      <c r="Q568" s="99" t="inlineStr">
        <is>
          <t>N/A</t>
        </is>
      </c>
      <c r="R568" s="99" t="inlineStr">
        <is>
          <t>N</t>
        </is>
      </c>
      <c r="S568" s="99" t="n">
        <v>-4.7</v>
      </c>
      <c r="T568" s="99" t="n">
        <v>-0.2</v>
      </c>
      <c r="U568" s="99" t="inlineStr">
        <is>
          <t>N</t>
        </is>
      </c>
      <c r="V568" s="99" t="n">
        <v>30.6</v>
      </c>
      <c r="W568" s="99" t="n">
        <v>13.9</v>
      </c>
      <c r="X568" s="99" t="n">
        <v>5.04</v>
      </c>
      <c r="Y568" s="99" t="n">
        <v>-22.5</v>
      </c>
      <c r="Z568" s="99" t="n">
        <v>1</v>
      </c>
      <c r="AA568" s="94" t="inlineStr">
        <is>
          <t>AVOID</t>
        </is>
      </c>
    </row>
    <row r="569">
      <c r="A569" s="97" t="inlineStr">
        <is>
          <t>PETRONET</t>
        </is>
      </c>
      <c r="B569" s="97" t="inlineStr">
        <is>
          <t>Petronet LNG Ltd.</t>
        </is>
      </c>
      <c r="C569" s="97" t="inlineStr">
        <is>
          <t>Oil Gas &amp; Consumable Fuels</t>
        </is>
      </c>
      <c r="D569" s="97" t="inlineStr">
        <is>
          <t>Large/Midcap</t>
        </is>
      </c>
      <c r="E569" s="97" t="n">
        <v>274.7</v>
      </c>
      <c r="F569" s="97" t="n">
        <v>1.95</v>
      </c>
      <c r="G569" s="97" t="n">
        <v>2466930</v>
      </c>
      <c r="H569" s="97" t="n">
        <v>0.86</v>
      </c>
      <c r="I569" s="97" t="n">
        <v>40935</v>
      </c>
      <c r="J569" s="97" t="inlineStr">
        <is>
          <t>Y</t>
        </is>
      </c>
      <c r="K569" s="97" t="inlineStr">
        <is>
          <t>N</t>
        </is>
      </c>
      <c r="L569" s="97" t="inlineStr">
        <is>
          <t>N</t>
        </is>
      </c>
      <c r="M569" s="97" t="n">
        <v>49.2</v>
      </c>
      <c r="N569" s="97" t="inlineStr">
        <is>
          <t>N</t>
        </is>
      </c>
      <c r="O569" s="97" t="n">
        <v>6.39</v>
      </c>
      <c r="P569" s="97" t="inlineStr">
        <is>
          <t>N</t>
        </is>
      </c>
      <c r="Q569" s="97" t="inlineStr">
        <is>
          <t>N/A</t>
        </is>
      </c>
      <c r="R569" s="97" t="inlineStr">
        <is>
          <t>N</t>
        </is>
      </c>
      <c r="S569" s="97" t="n">
        <v>-2.4</v>
      </c>
      <c r="T569" s="97" t="n">
        <v>-0.4</v>
      </c>
      <c r="U569" s="97" t="inlineStr">
        <is>
          <t>N</t>
        </is>
      </c>
      <c r="V569" s="97" t="n">
        <v>10.5</v>
      </c>
      <c r="W569" s="97" t="n">
        <v>18.6</v>
      </c>
      <c r="X569" s="97" t="n">
        <v>10.51</v>
      </c>
      <c r="Y569" s="97" t="n">
        <v>57.6</v>
      </c>
      <c r="Z569" s="97" t="n">
        <v>3</v>
      </c>
      <c r="AA569" s="92" t="inlineStr">
        <is>
          <t>AVOID</t>
        </is>
      </c>
    </row>
    <row r="570">
      <c r="A570" s="99" t="inlineStr">
        <is>
          <t>NESTLEIND</t>
        </is>
      </c>
      <c r="B570" s="99" t="inlineStr">
        <is>
          <t>Nestle India Ltd.</t>
        </is>
      </c>
      <c r="C570" s="99" t="inlineStr">
        <is>
          <t>Fast Moving Consumer Goods</t>
        </is>
      </c>
      <c r="D570" s="99" t="inlineStr">
        <is>
          <t>Large/Midcap</t>
        </is>
      </c>
      <c r="E570" s="99" t="n">
        <v>1443.5</v>
      </c>
      <c r="F570" s="99" t="n">
        <v>-0.3</v>
      </c>
      <c r="G570" s="99" t="n">
        <v>3041475</v>
      </c>
      <c r="H570" s="99" t="n">
        <v>0.85</v>
      </c>
      <c r="I570" s="99" t="n">
        <v>278854</v>
      </c>
      <c r="J570" s="99" t="inlineStr">
        <is>
          <t>Y</t>
        </is>
      </c>
      <c r="K570" s="99" t="inlineStr">
        <is>
          <t>Y</t>
        </is>
      </c>
      <c r="L570" s="99" t="inlineStr">
        <is>
          <t>Y</t>
        </is>
      </c>
      <c r="M570" s="99" t="n">
        <v>43.9</v>
      </c>
      <c r="N570" s="99" t="inlineStr">
        <is>
          <t>N</t>
        </is>
      </c>
      <c r="O570" s="99" t="n">
        <v>32.31</v>
      </c>
      <c r="P570" s="99" t="inlineStr">
        <is>
          <t>N</t>
        </is>
      </c>
      <c r="Q570" s="99" t="inlineStr">
        <is>
          <t>N/A</t>
        </is>
      </c>
      <c r="R570" s="99" t="inlineStr">
        <is>
          <t>N</t>
        </is>
      </c>
      <c r="S570" s="99" t="n">
        <v>3.7</v>
      </c>
      <c r="T570" s="99" t="n">
        <v>-0.6</v>
      </c>
      <c r="U570" s="99" t="inlineStr">
        <is>
          <t>N</t>
        </is>
      </c>
      <c r="V570" s="99" t="n">
        <v>73.09999999999999</v>
      </c>
      <c r="W570" s="99" t="inlineStr">
        <is>
          <t>N/A</t>
        </is>
      </c>
      <c r="X570" s="99" t="n">
        <v>8.619999999999999</v>
      </c>
      <c r="Y570" s="99" t="n">
        <v>-4</v>
      </c>
      <c r="Z570" s="99" t="n">
        <v>3</v>
      </c>
      <c r="AA570" s="94" t="inlineStr">
        <is>
          <t>AVOID</t>
        </is>
      </c>
    </row>
    <row r="571">
      <c r="A571" s="97" t="inlineStr">
        <is>
          <t>KAJARIACER</t>
        </is>
      </c>
      <c r="B571" s="97" t="inlineStr">
        <is>
          <t>Kajaria Ceramics Ltd.</t>
        </is>
      </c>
      <c r="C571" s="97" t="inlineStr">
        <is>
          <t>Consumer Durables</t>
        </is>
      </c>
      <c r="D571" s="97" t="inlineStr">
        <is>
          <t>BSE Smallcap</t>
        </is>
      </c>
      <c r="E571" s="97" t="n">
        <v>1214.9</v>
      </c>
      <c r="F571" s="97" t="n">
        <v>0.44</v>
      </c>
      <c r="G571" s="97" t="n">
        <v>130038</v>
      </c>
      <c r="H571" s="97" t="n">
        <v>0.53</v>
      </c>
      <c r="I571" s="97" t="n">
        <v>19171</v>
      </c>
      <c r="J571" s="97" t="inlineStr">
        <is>
          <t>Y</t>
        </is>
      </c>
      <c r="K571" s="97" t="inlineStr">
        <is>
          <t>Y</t>
        </is>
      </c>
      <c r="L571" s="97" t="inlineStr">
        <is>
          <t>Y</t>
        </is>
      </c>
      <c r="M571" s="97" t="n">
        <v>49.7</v>
      </c>
      <c r="N571" s="97" t="inlineStr">
        <is>
          <t>N</t>
        </is>
      </c>
      <c r="O571" s="97" t="n">
        <v>28.04</v>
      </c>
      <c r="P571" s="97" t="inlineStr">
        <is>
          <t>N</t>
        </is>
      </c>
      <c r="Q571" s="97" t="inlineStr">
        <is>
          <t>N/A</t>
        </is>
      </c>
      <c r="R571" s="97" t="inlineStr">
        <is>
          <t>N</t>
        </is>
      </c>
      <c r="S571" s="97" t="n">
        <v>1.8</v>
      </c>
      <c r="T571" s="97" t="n">
        <v>-0.7</v>
      </c>
      <c r="U571" s="97" t="inlineStr">
        <is>
          <t>N</t>
        </is>
      </c>
      <c r="V571" s="97" t="n">
        <v>39.8</v>
      </c>
      <c r="W571" s="97" t="n">
        <v>16.5</v>
      </c>
      <c r="X571" s="97" t="n">
        <v>7.3</v>
      </c>
      <c r="Y571" s="97" t="n">
        <v>77.59999999999999</v>
      </c>
      <c r="Z571" s="97" t="n">
        <v>5</v>
      </c>
      <c r="AA571" s="92" t="inlineStr">
        <is>
          <t>WATCHLIST</t>
        </is>
      </c>
    </row>
    <row r="572">
      <c r="A572" s="99" t="inlineStr">
        <is>
          <t>PREMIERENE</t>
        </is>
      </c>
      <c r="B572" s="99" t="inlineStr">
        <is>
          <t>Premier Energies Ltd.</t>
        </is>
      </c>
      <c r="C572" s="99" t="inlineStr">
        <is>
          <t>Capital Goods</t>
        </is>
      </c>
      <c r="D572" s="99" t="inlineStr">
        <is>
          <t>Large/Midcap</t>
        </is>
      </c>
      <c r="E572" s="99" t="n">
        <v>1019.3</v>
      </c>
      <c r="F572" s="99" t="n">
        <v>-0.53</v>
      </c>
      <c r="G572" s="99" t="n">
        <v>934272</v>
      </c>
      <c r="H572" s="99" t="n">
        <v>0.87</v>
      </c>
      <c r="I572" s="99" t="n">
        <v>46930</v>
      </c>
      <c r="J572" s="99" t="inlineStr">
        <is>
          <t>Y</t>
        </is>
      </c>
      <c r="K572" s="99" t="inlineStr">
        <is>
          <t>N</t>
        </is>
      </c>
      <c r="L572" s="99" t="inlineStr">
        <is>
          <t>Y</t>
        </is>
      </c>
      <c r="M572" s="99" t="n">
        <v>49.2</v>
      </c>
      <c r="N572" s="99" t="inlineStr">
        <is>
          <t>N</t>
        </is>
      </c>
      <c r="O572" s="99" t="n">
        <v>35.49</v>
      </c>
      <c r="P572" s="99" t="inlineStr">
        <is>
          <t>N</t>
        </is>
      </c>
      <c r="Q572" s="99" t="inlineStr">
        <is>
          <t>N/A</t>
        </is>
      </c>
      <c r="R572" s="99" t="inlineStr">
        <is>
          <t>N</t>
        </is>
      </c>
      <c r="S572" s="99" t="n">
        <v>-2.7</v>
      </c>
      <c r="T572" s="99" t="n">
        <v>-1.4</v>
      </c>
      <c r="U572" s="99" t="inlineStr">
        <is>
          <t>N</t>
        </is>
      </c>
      <c r="V572" s="99" t="n">
        <v>30.9</v>
      </c>
      <c r="W572" s="99" t="n">
        <v>42.3</v>
      </c>
      <c r="X572" s="99" t="n">
        <v>86</v>
      </c>
      <c r="Y572" s="99" t="n">
        <v>16.6</v>
      </c>
      <c r="Z572" s="99" t="n">
        <v>4</v>
      </c>
      <c r="AA572" s="94" t="inlineStr">
        <is>
          <t>AVOID</t>
        </is>
      </c>
    </row>
    <row r="573">
      <c r="A573" s="97" t="inlineStr">
        <is>
          <t>SBFC</t>
        </is>
      </c>
      <c r="B573" s="97" t="inlineStr">
        <is>
          <t>SBFC Finance Ltd.</t>
        </is>
      </c>
      <c r="C573" s="97" t="inlineStr">
        <is>
          <t>Financial Services</t>
        </is>
      </c>
      <c r="D573" s="97" t="inlineStr">
        <is>
          <t>NSE Smallcap</t>
        </is>
      </c>
      <c r="E573" s="97" t="n">
        <v>92.18000000000001</v>
      </c>
      <c r="F573" s="97" t="n">
        <v>1.83</v>
      </c>
      <c r="G573" s="97" t="n">
        <v>696691</v>
      </c>
      <c r="H573" s="97" t="n">
        <v>1.09</v>
      </c>
      <c r="I573" s="97" t="n">
        <v>10001</v>
      </c>
      <c r="J573" s="97" t="inlineStr">
        <is>
          <t>Y</t>
        </is>
      </c>
      <c r="K573" s="97" t="inlineStr">
        <is>
          <t>Y</t>
        </is>
      </c>
      <c r="L573" s="97" t="inlineStr">
        <is>
          <t>N</t>
        </is>
      </c>
      <c r="M573" s="97" t="n">
        <v>48.7</v>
      </c>
      <c r="N573" s="97" t="inlineStr">
        <is>
          <t>N</t>
        </is>
      </c>
      <c r="O573" s="97" t="n">
        <v>1.97</v>
      </c>
      <c r="P573" s="97" t="inlineStr">
        <is>
          <t>N</t>
        </is>
      </c>
      <c r="Q573" s="97" t="inlineStr">
        <is>
          <t>N/A</t>
        </is>
      </c>
      <c r="R573" s="97" t="inlineStr">
        <is>
          <t>N</t>
        </is>
      </c>
      <c r="S573" s="97" t="n">
        <v>1.7</v>
      </c>
      <c r="T573" s="97" t="n">
        <v>-1.5</v>
      </c>
      <c r="U573" s="97" t="inlineStr">
        <is>
          <t>N</t>
        </is>
      </c>
      <c r="V573" s="97" t="n">
        <v>22</v>
      </c>
      <c r="W573" s="97" t="inlineStr">
        <is>
          <t>N/A</t>
        </is>
      </c>
      <c r="X573" s="97" t="n">
        <v>195.69</v>
      </c>
      <c r="Y573" s="97" t="n">
        <v>4</v>
      </c>
      <c r="Z573" s="97" t="n">
        <v>3</v>
      </c>
      <c r="AA573" s="92" t="inlineStr">
        <is>
          <t>AVOID</t>
        </is>
      </c>
    </row>
    <row r="574">
      <c r="A574" s="99" t="inlineStr">
        <is>
          <t>HINDUNILVR</t>
        </is>
      </c>
      <c r="B574" s="99" t="inlineStr">
        <is>
          <t>Hindustan Unilever Ltd.</t>
        </is>
      </c>
      <c r="C574" s="99" t="inlineStr">
        <is>
          <t>Fast Moving Consumer Goods</t>
        </is>
      </c>
      <c r="D574" s="99" t="inlineStr">
        <is>
          <t>Large/Midcap</t>
        </is>
      </c>
      <c r="E574" s="99" t="n">
        <v>2174.6</v>
      </c>
      <c r="F574" s="99" t="n">
        <v>1.38</v>
      </c>
      <c r="G574" s="99" t="n">
        <v>698681</v>
      </c>
      <c r="H574" s="99" t="n">
        <v>0.64</v>
      </c>
      <c r="I574" s="99" t="n">
        <v>510942</v>
      </c>
      <c r="J574" s="99" t="inlineStr">
        <is>
          <t>Y</t>
        </is>
      </c>
      <c r="K574" s="99" t="inlineStr">
        <is>
          <t>Y</t>
        </is>
      </c>
      <c r="L574" s="99" t="inlineStr">
        <is>
          <t>N</t>
        </is>
      </c>
      <c r="M574" s="99" t="n">
        <v>43.4</v>
      </c>
      <c r="N574" s="99" t="inlineStr">
        <is>
          <t>N</t>
        </is>
      </c>
      <c r="O574" s="99" t="n">
        <v>35.11</v>
      </c>
      <c r="P574" s="99" t="inlineStr">
        <is>
          <t>N</t>
        </is>
      </c>
      <c r="Q574" s="99" t="inlineStr">
        <is>
          <t>N/A</t>
        </is>
      </c>
      <c r="R574" s="99" t="inlineStr">
        <is>
          <t>N</t>
        </is>
      </c>
      <c r="S574" s="99" t="n">
        <v>0.3</v>
      </c>
      <c r="T574" s="99" t="n">
        <v>-2</v>
      </c>
      <c r="U574" s="99" t="inlineStr">
        <is>
          <t>N</t>
        </is>
      </c>
      <c r="V574" s="99" t="n">
        <v>47.4</v>
      </c>
      <c r="W574" s="99" t="n">
        <v>21.6</v>
      </c>
      <c r="X574" s="99" t="n">
        <v>3.02</v>
      </c>
      <c r="Y574" s="99" t="n">
        <v>-54.7</v>
      </c>
      <c r="Z574" s="99" t="n">
        <v>3</v>
      </c>
      <c r="AA574" s="94" t="inlineStr">
        <is>
          <t>AVOID</t>
        </is>
      </c>
    </row>
    <row r="575">
      <c r="A575" s="97" t="inlineStr">
        <is>
          <t>AMBUJACEM</t>
        </is>
      </c>
      <c r="B575" s="97" t="inlineStr">
        <is>
          <t>Ambuja Cements Ltd.</t>
        </is>
      </c>
      <c r="C575" s="97" t="inlineStr">
        <is>
          <t>Construction Materials</t>
        </is>
      </c>
      <c r="D575" s="97" t="inlineStr">
        <is>
          <t>Large/Midcap</t>
        </is>
      </c>
      <c r="E575" s="97" t="n">
        <v>430.95</v>
      </c>
      <c r="F575" s="97" t="n">
        <v>1.36</v>
      </c>
      <c r="G575" s="97" t="n">
        <v>1140841</v>
      </c>
      <c r="H575" s="97" t="n">
        <v>0.82</v>
      </c>
      <c r="I575" s="97" t="n">
        <v>107083</v>
      </c>
      <c r="J575" s="97" t="inlineStr">
        <is>
          <t>Y</t>
        </is>
      </c>
      <c r="K575" s="97" t="inlineStr">
        <is>
          <t>Y</t>
        </is>
      </c>
      <c r="L575" s="97" t="inlineStr">
        <is>
          <t>N</t>
        </is>
      </c>
      <c r="M575" s="97" t="n">
        <v>46.8</v>
      </c>
      <c r="N575" s="97" t="inlineStr">
        <is>
          <t>N</t>
        </is>
      </c>
      <c r="O575" s="97" t="n">
        <v>10.13</v>
      </c>
      <c r="P575" s="97" t="inlineStr">
        <is>
          <t>N</t>
        </is>
      </c>
      <c r="Q575" s="97" t="inlineStr">
        <is>
          <t>N/A</t>
        </is>
      </c>
      <c r="R575" s="97" t="inlineStr">
        <is>
          <t>N</t>
        </is>
      </c>
      <c r="S575" s="97" t="n">
        <v>1.9</v>
      </c>
      <c r="T575" s="97" t="n">
        <v>-2.1</v>
      </c>
      <c r="U575" s="97" t="inlineStr">
        <is>
          <t>N</t>
        </is>
      </c>
      <c r="V575" s="97" t="n">
        <v>22.3</v>
      </c>
      <c r="W575" s="97" t="n">
        <v>8.300000000000001</v>
      </c>
      <c r="X575" s="97" t="n">
        <v>1.21</v>
      </c>
      <c r="Y575" s="97" t="n">
        <v>798.5</v>
      </c>
      <c r="Z575" s="97" t="n">
        <v>3</v>
      </c>
      <c r="AA575" s="92" t="inlineStr">
        <is>
          <t>AVOID</t>
        </is>
      </c>
    </row>
    <row r="576">
      <c r="A576" s="99" t="inlineStr">
        <is>
          <t>RITES</t>
        </is>
      </c>
      <c r="B576" s="99" t="inlineStr">
        <is>
          <t>RITES Ltd.</t>
        </is>
      </c>
      <c r="C576" s="99" t="inlineStr">
        <is>
          <t>Construction</t>
        </is>
      </c>
      <c r="D576" s="99" t="inlineStr">
        <is>
          <t>BSE Smallcap</t>
        </is>
      </c>
      <c r="E576" s="99" t="n">
        <v>213.7</v>
      </c>
      <c r="F576" s="99" t="n">
        <v>0.15</v>
      </c>
      <c r="G576" s="99" t="n">
        <v>351076</v>
      </c>
      <c r="H576" s="99" t="n">
        <v>0.84</v>
      </c>
      <c r="I576" s="99" t="n">
        <v>10436</v>
      </c>
      <c r="J576" s="99" t="inlineStr">
        <is>
          <t>Y</t>
        </is>
      </c>
      <c r="K576" s="99" t="inlineStr">
        <is>
          <t>Y</t>
        </is>
      </c>
      <c r="L576" s="99" t="inlineStr">
        <is>
          <t>N</t>
        </is>
      </c>
      <c r="M576" s="99" t="n">
        <v>47.8</v>
      </c>
      <c r="N576" s="99" t="inlineStr">
        <is>
          <t>N</t>
        </is>
      </c>
      <c r="O576" s="99" t="n">
        <v>7.36</v>
      </c>
      <c r="P576" s="99" t="inlineStr">
        <is>
          <t>N</t>
        </is>
      </c>
      <c r="Q576" s="99" t="inlineStr">
        <is>
          <t>N/A</t>
        </is>
      </c>
      <c r="R576" s="99" t="inlineStr">
        <is>
          <t>N</t>
        </is>
      </c>
      <c r="S576" s="99" t="n">
        <v>2.6</v>
      </c>
      <c r="T576" s="99" t="n">
        <v>-2.1</v>
      </c>
      <c r="U576" s="99" t="inlineStr">
        <is>
          <t>N</t>
        </is>
      </c>
      <c r="V576" s="99" t="n">
        <v>25.4</v>
      </c>
      <c r="W576" s="99" t="n">
        <v>16.4</v>
      </c>
      <c r="X576" s="99" t="n">
        <v>0.24</v>
      </c>
      <c r="Y576" s="99" t="n">
        <v>27.4</v>
      </c>
      <c r="Z576" s="99" t="n">
        <v>4</v>
      </c>
      <c r="AA576" s="94" t="inlineStr">
        <is>
          <t>AVOID</t>
        </is>
      </c>
    </row>
    <row r="577">
      <c r="A577" s="97" t="inlineStr">
        <is>
          <t>SBIN</t>
        </is>
      </c>
      <c r="B577" s="97" t="inlineStr">
        <is>
          <t>State Bank of India</t>
        </is>
      </c>
      <c r="C577" s="97" t="inlineStr">
        <is>
          <t>Financial Services</t>
        </is>
      </c>
      <c r="D577" s="97" t="inlineStr">
        <is>
          <t>Large/Midcap</t>
        </is>
      </c>
      <c r="E577" s="97" t="n">
        <v>1020.6</v>
      </c>
      <c r="F577" s="97" t="n">
        <v>0.55</v>
      </c>
      <c r="G577" s="97" t="n">
        <v>6093002</v>
      </c>
      <c r="H577" s="97" t="n">
        <v>0.54</v>
      </c>
      <c r="I577" s="97" t="n">
        <v>942077</v>
      </c>
      <c r="J577" s="97" t="inlineStr">
        <is>
          <t>Y</t>
        </is>
      </c>
      <c r="K577" s="97" t="inlineStr">
        <is>
          <t>Y</t>
        </is>
      </c>
      <c r="L577" s="97" t="inlineStr">
        <is>
          <t>Y</t>
        </is>
      </c>
      <c r="M577" s="97" t="n">
        <v>44.6</v>
      </c>
      <c r="N577" s="97" t="inlineStr">
        <is>
          <t>N</t>
        </is>
      </c>
      <c r="O577" s="97" t="n">
        <v>20.32</v>
      </c>
      <c r="P577" s="97" t="inlineStr">
        <is>
          <t>N</t>
        </is>
      </c>
      <c r="Q577" s="97" t="inlineStr">
        <is>
          <t>N/A</t>
        </is>
      </c>
      <c r="R577" s="97" t="inlineStr">
        <is>
          <t>N</t>
        </is>
      </c>
      <c r="S577" s="97" t="n">
        <v>-2.1</v>
      </c>
      <c r="T577" s="97" t="n">
        <v>-2.4</v>
      </c>
      <c r="U577" s="97" t="inlineStr">
        <is>
          <t>N</t>
        </is>
      </c>
      <c r="V577" s="97" t="n">
        <v>11.1</v>
      </c>
      <c r="W577" s="97" t="n">
        <v>15.5</v>
      </c>
      <c r="X577" s="97" t="inlineStr">
        <is>
          <t>N/A</t>
        </is>
      </c>
      <c r="Y577" s="97" t="n">
        <v>-7.9</v>
      </c>
      <c r="Z577" s="97" t="n">
        <v>4</v>
      </c>
      <c r="AA577" s="92" t="inlineStr">
        <is>
          <t>AVOID</t>
        </is>
      </c>
    </row>
    <row r="578">
      <c r="A578" s="99" t="inlineStr">
        <is>
          <t>SUNDARMFIN</t>
        </is>
      </c>
      <c r="B578" s="99" t="inlineStr">
        <is>
          <t>Sundaram Finance Ltd.</t>
        </is>
      </c>
      <c r="C578" s="99" t="inlineStr">
        <is>
          <t>Financial Services</t>
        </is>
      </c>
      <c r="D578" s="99" t="inlineStr">
        <is>
          <t>Large/Midcap</t>
        </is>
      </c>
      <c r="E578" s="99" t="n">
        <v>4447.8</v>
      </c>
      <c r="F578" s="99" t="n">
        <v>0.73</v>
      </c>
      <c r="G578" s="99" t="n">
        <v>50414</v>
      </c>
      <c r="H578" s="99" t="n">
        <v>1.06</v>
      </c>
      <c r="I578" s="99" t="n">
        <v>48681</v>
      </c>
      <c r="J578" s="99" t="inlineStr">
        <is>
          <t>Y</t>
        </is>
      </c>
      <c r="K578" s="99" t="inlineStr">
        <is>
          <t>Y</t>
        </is>
      </c>
      <c r="L578" s="99" t="inlineStr">
        <is>
          <t>N</t>
        </is>
      </c>
      <c r="M578" s="99" t="n">
        <v>40</v>
      </c>
      <c r="N578" s="99" t="inlineStr">
        <is>
          <t>N</t>
        </is>
      </c>
      <c r="O578" s="99" t="n">
        <v>106.09</v>
      </c>
      <c r="P578" s="99" t="inlineStr">
        <is>
          <t>N</t>
        </is>
      </c>
      <c r="Q578" s="99" t="inlineStr">
        <is>
          <t>N/A</t>
        </is>
      </c>
      <c r="R578" s="99" t="inlineStr">
        <is>
          <t>N</t>
        </is>
      </c>
      <c r="S578" s="99" t="n">
        <v>-3.1</v>
      </c>
      <c r="T578" s="99" t="n">
        <v>-3.1</v>
      </c>
      <c r="U578" s="99" t="inlineStr">
        <is>
          <t>N</t>
        </is>
      </c>
      <c r="V578" s="99" t="n">
        <v>23.6</v>
      </c>
      <c r="W578" s="99" t="n">
        <v>14.7</v>
      </c>
      <c r="X578" s="99" t="n">
        <v>409.16</v>
      </c>
      <c r="Y578" s="99" t="n">
        <v>2.4</v>
      </c>
      <c r="Z578" s="99" t="n">
        <v>3</v>
      </c>
      <c r="AA578" s="94" t="inlineStr">
        <is>
          <t>AVOID</t>
        </is>
      </c>
    </row>
    <row r="579">
      <c r="A579" s="97" t="inlineStr">
        <is>
          <t>ADANIPOWER</t>
        </is>
      </c>
      <c r="B579" s="97" t="inlineStr">
        <is>
          <t>Adani Power Ltd.</t>
        </is>
      </c>
      <c r="C579" s="97" t="inlineStr">
        <is>
          <t>Power</t>
        </is>
      </c>
      <c r="D579" s="97" t="inlineStr">
        <is>
          <t>Large/Midcap</t>
        </is>
      </c>
      <c r="E579" s="97" t="n">
        <v>213.96</v>
      </c>
      <c r="F579" s="97" t="n">
        <v>0.14</v>
      </c>
      <c r="G579" s="97" t="n">
        <v>14546955</v>
      </c>
      <c r="H579" s="97" t="n">
        <v>0.4</v>
      </c>
      <c r="I579" s="97" t="n">
        <v>412615</v>
      </c>
      <c r="J579" s="97" t="inlineStr">
        <is>
          <t>Y</t>
        </is>
      </c>
      <c r="K579" s="97" t="inlineStr">
        <is>
          <t>N</t>
        </is>
      </c>
      <c r="L579" s="97" t="inlineStr">
        <is>
          <t>Y</t>
        </is>
      </c>
      <c r="M579" s="97" t="n">
        <v>45.4</v>
      </c>
      <c r="N579" s="97" t="inlineStr">
        <is>
          <t>N</t>
        </is>
      </c>
      <c r="O579" s="97" t="n">
        <v>6.57</v>
      </c>
      <c r="P579" s="97" t="inlineStr">
        <is>
          <t>N</t>
        </is>
      </c>
      <c r="Q579" s="97" t="inlineStr">
        <is>
          <t>N/A</t>
        </is>
      </c>
      <c r="R579" s="97" t="inlineStr">
        <is>
          <t>N</t>
        </is>
      </c>
      <c r="S579" s="97" t="n">
        <v>-6.4</v>
      </c>
      <c r="T579" s="97" t="n">
        <v>-3.2</v>
      </c>
      <c r="U579" s="97" t="inlineStr">
        <is>
          <t>N</t>
        </is>
      </c>
      <c r="V579" s="97" t="n">
        <v>28.9</v>
      </c>
      <c r="W579" s="97" t="inlineStr">
        <is>
          <t>N/A</t>
        </is>
      </c>
      <c r="X579" s="97" t="n">
        <v>82.33</v>
      </c>
      <c r="Y579" s="97" t="n">
        <v>19.6</v>
      </c>
      <c r="Z579" s="97" t="n">
        <v>3</v>
      </c>
      <c r="AA579" s="92" t="inlineStr">
        <is>
          <t>AVOID</t>
        </is>
      </c>
    </row>
    <row r="580">
      <c r="A580" s="99" t="inlineStr">
        <is>
          <t>IOB</t>
        </is>
      </c>
      <c r="B580" s="99" t="inlineStr">
        <is>
          <t>Indian Overseas Bank</t>
        </is>
      </c>
      <c r="C580" s="99" t="inlineStr">
        <is>
          <t>Financial Services</t>
        </is>
      </c>
      <c r="D580" s="99" t="inlineStr">
        <is>
          <t>NSE Smallcap</t>
        </is>
      </c>
      <c r="E580" s="99" t="n">
        <v>33.88</v>
      </c>
      <c r="F580" s="99" t="n">
        <v>0.18</v>
      </c>
      <c r="G580" s="99" t="n">
        <v>2789486</v>
      </c>
      <c r="H580" s="99" t="n">
        <v>0.31</v>
      </c>
      <c r="I580" s="99" t="n">
        <v>65703</v>
      </c>
      <c r="J580" s="99" t="inlineStr">
        <is>
          <t>Y</t>
        </is>
      </c>
      <c r="K580" s="99" t="inlineStr">
        <is>
          <t>N</t>
        </is>
      </c>
      <c r="L580" s="99" t="inlineStr">
        <is>
          <t>N</t>
        </is>
      </c>
      <c r="M580" s="99" t="n">
        <v>47.2</v>
      </c>
      <c r="N580" s="99" t="inlineStr">
        <is>
          <t>N</t>
        </is>
      </c>
      <c r="O580" s="99" t="n">
        <v>0.85</v>
      </c>
      <c r="P580" s="99" t="inlineStr">
        <is>
          <t>N</t>
        </is>
      </c>
      <c r="Q580" s="99" t="inlineStr">
        <is>
          <t>N/A</t>
        </is>
      </c>
      <c r="R580" s="99" t="inlineStr">
        <is>
          <t>N</t>
        </is>
      </c>
      <c r="S580" s="99" t="n">
        <v>-1.5</v>
      </c>
      <c r="T580" s="99" t="n">
        <v>-3.3</v>
      </c>
      <c r="U580" s="99" t="inlineStr">
        <is>
          <t>N</t>
        </is>
      </c>
      <c r="V580" s="99" t="n">
        <v>11.4</v>
      </c>
      <c r="W580" s="99" t="n">
        <v>16.5</v>
      </c>
      <c r="X580" s="99" t="inlineStr">
        <is>
          <t>N/A</t>
        </is>
      </c>
      <c r="Y580" s="99" t="n">
        <v>10.3</v>
      </c>
      <c r="Z580" s="99" t="n">
        <v>3</v>
      </c>
      <c r="AA580" s="94" t="inlineStr">
        <is>
          <t>AVOID</t>
        </is>
      </c>
    </row>
    <row r="581">
      <c r="A581" s="97" t="inlineStr">
        <is>
          <t>JKTYRE</t>
        </is>
      </c>
      <c r="B581" s="97" t="inlineStr">
        <is>
          <t>JK Tyre &amp; Industries Ltd.</t>
        </is>
      </c>
      <c r="C581" s="97" t="inlineStr">
        <is>
          <t>Automobile and Auto Components</t>
        </is>
      </c>
      <c r="D581" s="97" t="inlineStr">
        <is>
          <t>NSE Smallcap</t>
        </is>
      </c>
      <c r="E581" s="97" t="n">
        <v>390.6</v>
      </c>
      <c r="F581" s="97" t="n">
        <v>0.97</v>
      </c>
      <c r="G581" s="97" t="n">
        <v>576399</v>
      </c>
      <c r="H581" s="97" t="n">
        <v>0.86</v>
      </c>
      <c r="I581" s="97" t="n">
        <v>11520</v>
      </c>
      <c r="J581" s="97" t="inlineStr">
        <is>
          <t>Y</t>
        </is>
      </c>
      <c r="K581" s="97" t="inlineStr">
        <is>
          <t>N</t>
        </is>
      </c>
      <c r="L581" s="97" t="inlineStr">
        <is>
          <t>N</t>
        </is>
      </c>
      <c r="M581" s="97" t="n">
        <v>40.4</v>
      </c>
      <c r="N581" s="97" t="inlineStr">
        <is>
          <t>N</t>
        </is>
      </c>
      <c r="O581" s="97" t="n">
        <v>11.73</v>
      </c>
      <c r="P581" s="97" t="inlineStr">
        <is>
          <t>N</t>
        </is>
      </c>
      <c r="Q581" s="97" t="inlineStr">
        <is>
          <t>N/A</t>
        </is>
      </c>
      <c r="R581" s="97" t="inlineStr">
        <is>
          <t>N</t>
        </is>
      </c>
      <c r="S581" s="97" t="n">
        <v>-1.4</v>
      </c>
      <c r="T581" s="97" t="n">
        <v>-3.6</v>
      </c>
      <c r="U581" s="97" t="inlineStr">
        <is>
          <t>N</t>
        </is>
      </c>
      <c r="V581" s="97" t="n">
        <v>14.7</v>
      </c>
      <c r="W581" s="97" t="n">
        <v>14.1</v>
      </c>
      <c r="X581" s="97" t="n">
        <v>80.55</v>
      </c>
      <c r="Y581" s="97" t="n">
        <v>-14.3</v>
      </c>
      <c r="Z581" s="97" t="n">
        <v>1</v>
      </c>
      <c r="AA581" s="92" t="inlineStr">
        <is>
          <t>AVOID</t>
        </is>
      </c>
    </row>
    <row r="582">
      <c r="A582" s="99" t="inlineStr">
        <is>
          <t>JIOFIN</t>
        </is>
      </c>
      <c r="B582" s="99" t="inlineStr">
        <is>
          <t>Jio Financial Services Ltd.</t>
        </is>
      </c>
      <c r="C582" s="99" t="inlineStr">
        <is>
          <t>Financial Services</t>
        </is>
      </c>
      <c r="D582" s="99" t="inlineStr">
        <is>
          <t>Large/Midcap</t>
        </is>
      </c>
      <c r="E582" s="99" t="n">
        <v>236.17</v>
      </c>
      <c r="F582" s="99" t="n">
        <v>0.62</v>
      </c>
      <c r="G582" s="99" t="n">
        <v>6984152</v>
      </c>
      <c r="H582" s="99" t="n">
        <v>0.5600000000000001</v>
      </c>
      <c r="I582" s="99" t="n">
        <v>155946</v>
      </c>
      <c r="J582" s="99" t="inlineStr">
        <is>
          <t>Y</t>
        </is>
      </c>
      <c r="K582" s="99" t="inlineStr">
        <is>
          <t>N</t>
        </is>
      </c>
      <c r="L582" s="99" t="inlineStr">
        <is>
          <t>N</t>
        </is>
      </c>
      <c r="M582" s="99" t="n">
        <v>43.7</v>
      </c>
      <c r="N582" s="99" t="inlineStr">
        <is>
          <t>N</t>
        </is>
      </c>
      <c r="O582" s="99" t="n">
        <v>6.23</v>
      </c>
      <c r="P582" s="99" t="inlineStr">
        <is>
          <t>N</t>
        </is>
      </c>
      <c r="Q582" s="99" t="inlineStr">
        <is>
          <t>N/A</t>
        </is>
      </c>
      <c r="R582" s="99" t="inlineStr">
        <is>
          <t>N</t>
        </is>
      </c>
      <c r="S582" s="99" t="n">
        <v>-1.1</v>
      </c>
      <c r="T582" s="99" t="n">
        <v>-3.7</v>
      </c>
      <c r="U582" s="99" t="inlineStr">
        <is>
          <t>N</t>
        </is>
      </c>
      <c r="V582" s="99" t="n">
        <v>74</v>
      </c>
      <c r="W582" s="99" t="inlineStr">
        <is>
          <t>N/A</t>
        </is>
      </c>
      <c r="X582" s="99" t="n">
        <v>16.29</v>
      </c>
      <c r="Y582" s="99" t="n">
        <v>205</v>
      </c>
      <c r="Z582" s="99" t="n">
        <v>2</v>
      </c>
      <c r="AA582" s="94" t="inlineStr">
        <is>
          <t>AVOID</t>
        </is>
      </c>
    </row>
    <row r="583">
      <c r="A583" s="97" t="inlineStr">
        <is>
          <t>SUZLON</t>
        </is>
      </c>
      <c r="B583" s="97" t="inlineStr">
        <is>
          <t>Suzlon Energy Ltd.</t>
        </is>
      </c>
      <c r="C583" s="97" t="inlineStr">
        <is>
          <t>Capital Goods</t>
        </is>
      </c>
      <c r="D583" s="97" t="inlineStr">
        <is>
          <t>Large/Midcap</t>
        </is>
      </c>
      <c r="E583" s="97" t="n">
        <v>53.15</v>
      </c>
      <c r="F583" s="97" t="n">
        <v>1.66</v>
      </c>
      <c r="G583" s="97" t="n">
        <v>45205048</v>
      </c>
      <c r="H583" s="97" t="n">
        <v>0.91</v>
      </c>
      <c r="I583" s="97" t="n">
        <v>73049</v>
      </c>
      <c r="J583" s="97" t="inlineStr">
        <is>
          <t>Y</t>
        </is>
      </c>
      <c r="K583" s="97" t="inlineStr">
        <is>
          <t>N</t>
        </is>
      </c>
      <c r="L583" s="97" t="inlineStr">
        <is>
          <t>Y</t>
        </is>
      </c>
      <c r="M583" s="97" t="n">
        <v>41.2</v>
      </c>
      <c r="N583" s="97" t="inlineStr">
        <is>
          <t>N</t>
        </is>
      </c>
      <c r="O583" s="97" t="n">
        <v>1.1</v>
      </c>
      <c r="P583" s="97" t="inlineStr">
        <is>
          <t>N</t>
        </is>
      </c>
      <c r="Q583" s="97" t="inlineStr">
        <is>
          <t>N/A</t>
        </is>
      </c>
      <c r="R583" s="97" t="inlineStr">
        <is>
          <t>N</t>
        </is>
      </c>
      <c r="S583" s="97" t="n">
        <v>-6.7</v>
      </c>
      <c r="T583" s="97" t="n">
        <v>-4</v>
      </c>
      <c r="U583" s="97" t="inlineStr">
        <is>
          <t>N</t>
        </is>
      </c>
      <c r="V583" s="97" t="n">
        <v>22.6</v>
      </c>
      <c r="W583" s="97" t="n">
        <v>40.6</v>
      </c>
      <c r="X583" s="97" t="n">
        <v>5.87</v>
      </c>
      <c r="Y583" s="97" t="n">
        <v>150.3</v>
      </c>
      <c r="Z583" s="97" t="n">
        <v>4</v>
      </c>
      <c r="AA583" s="92" t="inlineStr">
        <is>
          <t>AVOID</t>
        </is>
      </c>
    </row>
    <row r="584">
      <c r="A584" s="99" t="inlineStr">
        <is>
          <t>BANKBARODA</t>
        </is>
      </c>
      <c r="B584" s="99" t="inlineStr">
        <is>
          <t>Bank of Baroda</t>
        </is>
      </c>
      <c r="C584" s="99" t="inlineStr">
        <is>
          <t>Financial Services</t>
        </is>
      </c>
      <c r="D584" s="99" t="inlineStr">
        <is>
          <t>Large/Midcap</t>
        </is>
      </c>
      <c r="E584" s="99" t="n">
        <v>244</v>
      </c>
      <c r="F584" s="99" t="n">
        <v>-0.99</v>
      </c>
      <c r="G584" s="99" t="n">
        <v>14707217</v>
      </c>
      <c r="H584" s="99" t="n">
        <v>1.94</v>
      </c>
      <c r="I584" s="99" t="n">
        <v>126181</v>
      </c>
      <c r="J584" s="99" t="inlineStr">
        <is>
          <t>Y</t>
        </is>
      </c>
      <c r="K584" s="99" t="inlineStr">
        <is>
          <t>N</t>
        </is>
      </c>
      <c r="L584" s="99" t="inlineStr">
        <is>
          <t>N</t>
        </is>
      </c>
      <c r="M584" s="99" t="n">
        <v>46.2</v>
      </c>
      <c r="N584" s="99" t="inlineStr">
        <is>
          <t>N</t>
        </is>
      </c>
      <c r="O584" s="99" t="n">
        <v>6.16</v>
      </c>
      <c r="P584" s="99" t="inlineStr">
        <is>
          <t>N</t>
        </is>
      </c>
      <c r="Q584" s="99" t="inlineStr">
        <is>
          <t>N/A</t>
        </is>
      </c>
      <c r="R584" s="99" t="inlineStr">
        <is>
          <t>N</t>
        </is>
      </c>
      <c r="S584" s="99" t="n">
        <v>-12.3</v>
      </c>
      <c r="T584" s="99" t="n">
        <v>-4</v>
      </c>
      <c r="U584" s="99" t="inlineStr">
        <is>
          <t>N</t>
        </is>
      </c>
      <c r="V584" s="99" t="n">
        <v>6.9</v>
      </c>
      <c r="W584" s="99" t="n">
        <v>11.3</v>
      </c>
      <c r="X584" s="99" t="inlineStr">
        <is>
          <t>N/A</t>
        </is>
      </c>
      <c r="Y584" s="99" t="n">
        <v>-69.3</v>
      </c>
      <c r="Z584" s="99" t="n">
        <v>1</v>
      </c>
      <c r="AA584" s="94" t="inlineStr">
        <is>
          <t>AVOID</t>
        </is>
      </c>
    </row>
    <row r="585">
      <c r="A585" s="97" t="inlineStr">
        <is>
          <t>SWIGGY</t>
        </is>
      </c>
      <c r="B585" s="97" t="inlineStr">
        <is>
          <t>Swiggy Ltd.</t>
        </is>
      </c>
      <c r="C585" s="97" t="inlineStr">
        <is>
          <t>Consumer Services</t>
        </is>
      </c>
      <c r="D585" s="97" t="inlineStr">
        <is>
          <t>Large/Midcap</t>
        </is>
      </c>
      <c r="E585" s="97" t="n">
        <v>257.98</v>
      </c>
      <c r="F585" s="97" t="n">
        <v>2.61</v>
      </c>
      <c r="G585" s="97" t="n">
        <v>23908041</v>
      </c>
      <c r="H585" s="97" t="n">
        <v>1.46</v>
      </c>
      <c r="I585" s="97" t="n">
        <v>67231</v>
      </c>
      <c r="J585" s="97" t="inlineStr">
        <is>
          <t>Y</t>
        </is>
      </c>
      <c r="K585" s="97" t="inlineStr">
        <is>
          <t>Y</t>
        </is>
      </c>
      <c r="L585" s="97" t="inlineStr">
        <is>
          <t>N</t>
        </is>
      </c>
      <c r="M585" s="97" t="n">
        <v>45.7</v>
      </c>
      <c r="N585" s="97" t="inlineStr">
        <is>
          <t>N</t>
        </is>
      </c>
      <c r="O585" s="97" t="n">
        <v>11.76</v>
      </c>
      <c r="P585" s="97" t="inlineStr">
        <is>
          <t>N</t>
        </is>
      </c>
      <c r="Q585" s="97" t="inlineStr">
        <is>
          <t>N/A</t>
        </is>
      </c>
      <c r="R585" s="97" t="inlineStr">
        <is>
          <t>N</t>
        </is>
      </c>
      <c r="S585" s="97" t="n">
        <v>7.4</v>
      </c>
      <c r="T585" s="97" t="n">
        <v>-4.2</v>
      </c>
      <c r="U585" s="97" t="inlineStr">
        <is>
          <t>N</t>
        </is>
      </c>
      <c r="V585" s="97" t="inlineStr">
        <is>
          <t>N/A</t>
        </is>
      </c>
      <c r="W585" s="97" t="n">
        <v>-29.1</v>
      </c>
      <c r="X585" s="97" t="n">
        <v>13.93</v>
      </c>
      <c r="Y585" s="97" t="n">
        <v>24.9</v>
      </c>
      <c r="Z585" s="97" t="n">
        <v>3</v>
      </c>
      <c r="AA585" s="92" t="inlineStr">
        <is>
          <t>AVOID</t>
        </is>
      </c>
    </row>
    <row r="586">
      <c r="A586" s="99" t="inlineStr">
        <is>
          <t>SCHAEFFLER</t>
        </is>
      </c>
      <c r="B586" s="99" t="inlineStr">
        <is>
          <t>Schaeffler India Ltd.</t>
        </is>
      </c>
      <c r="C586" s="99" t="inlineStr">
        <is>
          <t>Automobile and Auto Components</t>
        </is>
      </c>
      <c r="D586" s="99" t="inlineStr">
        <is>
          <t>Large/Midcap</t>
        </is>
      </c>
      <c r="E586" s="99" t="n">
        <v>4107.7</v>
      </c>
      <c r="F586" s="99" t="n">
        <v>0.35</v>
      </c>
      <c r="G586" s="99" t="n">
        <v>79917</v>
      </c>
      <c r="H586" s="99" t="n">
        <v>1.39</v>
      </c>
      <c r="I586" s="99" t="n">
        <v>65421</v>
      </c>
      <c r="J586" s="99" t="inlineStr">
        <is>
          <t>Y</t>
        </is>
      </c>
      <c r="K586" s="99" t="inlineStr">
        <is>
          <t>N</t>
        </is>
      </c>
      <c r="L586" s="99" t="inlineStr">
        <is>
          <t>Y</t>
        </is>
      </c>
      <c r="M586" s="99" t="n">
        <v>46.4</v>
      </c>
      <c r="N586" s="99" t="inlineStr">
        <is>
          <t>N</t>
        </is>
      </c>
      <c r="O586" s="99" t="n">
        <v>96.86</v>
      </c>
      <c r="P586" s="99" t="inlineStr">
        <is>
          <t>N</t>
        </is>
      </c>
      <c r="Q586" s="99" t="inlineStr">
        <is>
          <t>N/A</t>
        </is>
      </c>
      <c r="R586" s="99" t="inlineStr">
        <is>
          <t>N</t>
        </is>
      </c>
      <c r="S586" s="99" t="n">
        <v>-1</v>
      </c>
      <c r="T586" s="99" t="n">
        <v>-4.7</v>
      </c>
      <c r="U586" s="99" t="inlineStr">
        <is>
          <t>N</t>
        </is>
      </c>
      <c r="V586" s="99" t="n">
        <v>52.3</v>
      </c>
      <c r="W586" s="99" t="n">
        <v>21.6</v>
      </c>
      <c r="X586" s="99" t="n">
        <v>0.78</v>
      </c>
      <c r="Y586" s="99" t="n">
        <v>3.1</v>
      </c>
      <c r="Z586" s="99" t="n">
        <v>4</v>
      </c>
      <c r="AA586" s="94" t="inlineStr">
        <is>
          <t>AVOID</t>
        </is>
      </c>
    </row>
    <row r="587">
      <c r="A587" s="97" t="inlineStr">
        <is>
          <t>CYIENT</t>
        </is>
      </c>
      <c r="B587" s="97" t="inlineStr">
        <is>
          <t>Cyient Ltd.</t>
        </is>
      </c>
      <c r="C587" s="97" t="inlineStr">
        <is>
          <t>Information Technology</t>
        </is>
      </c>
      <c r="D587" s="97" t="inlineStr">
        <is>
          <t>BSE Smallcap</t>
        </is>
      </c>
      <c r="E587" s="97" t="n">
        <v>825.2</v>
      </c>
      <c r="F587" s="97" t="n">
        <v>-1.77</v>
      </c>
      <c r="G587" s="97" t="n">
        <v>559577</v>
      </c>
      <c r="H587" s="97" t="n">
        <v>0.51</v>
      </c>
      <c r="I587" s="97" t="n">
        <v>8590</v>
      </c>
      <c r="J587" s="97" t="inlineStr">
        <is>
          <t>Y</t>
        </is>
      </c>
      <c r="K587" s="97" t="inlineStr">
        <is>
          <t>N</t>
        </is>
      </c>
      <c r="L587" s="97" t="inlineStr">
        <is>
          <t>N</t>
        </is>
      </c>
      <c r="M587" s="97" t="n">
        <v>42.6</v>
      </c>
      <c r="N587" s="97" t="inlineStr">
        <is>
          <t>N</t>
        </is>
      </c>
      <c r="O587" s="97" t="n">
        <v>22.85</v>
      </c>
      <c r="P587" s="97" t="inlineStr">
        <is>
          <t>N</t>
        </is>
      </c>
      <c r="Q587" s="97" t="inlineStr">
        <is>
          <t>N/A</t>
        </is>
      </c>
      <c r="R587" s="97" t="inlineStr">
        <is>
          <t>N</t>
        </is>
      </c>
      <c r="S587" s="97" t="n">
        <v>-6.6</v>
      </c>
      <c r="T587" s="97" t="n">
        <v>-4.9</v>
      </c>
      <c r="U587" s="97" t="inlineStr">
        <is>
          <t>N</t>
        </is>
      </c>
      <c r="V587" s="97" t="n">
        <v>24.7</v>
      </c>
      <c r="W587" s="97" t="inlineStr">
        <is>
          <t>N/A</t>
        </is>
      </c>
      <c r="X587" s="97" t="n">
        <v>7.53</v>
      </c>
      <c r="Y587" s="97" t="n">
        <v>90</v>
      </c>
      <c r="Z587" s="97" t="n">
        <v>2</v>
      </c>
      <c r="AA587" s="92" t="inlineStr">
        <is>
          <t>AVOID</t>
        </is>
      </c>
    </row>
    <row r="588">
      <c r="A588" s="99" t="inlineStr">
        <is>
          <t>HDFCLIFE</t>
        </is>
      </c>
      <c r="B588" s="99" t="inlineStr">
        <is>
          <t>HDFC Life Insurance Company Ltd.</t>
        </is>
      </c>
      <c r="C588" s="99" t="inlineStr">
        <is>
          <t>Financial Services</t>
        </is>
      </c>
      <c r="D588" s="99" t="inlineStr">
        <is>
          <t>Large/Midcap</t>
        </is>
      </c>
      <c r="E588" s="99" t="n">
        <v>552.85</v>
      </c>
      <c r="F588" s="99" t="n">
        <v>-0.4</v>
      </c>
      <c r="G588" s="99" t="n">
        <v>1368559</v>
      </c>
      <c r="H588" s="99" t="n">
        <v>0.76</v>
      </c>
      <c r="I588" s="99" t="n">
        <v>120075</v>
      </c>
      <c r="J588" s="99" t="inlineStr">
        <is>
          <t>Y</t>
        </is>
      </c>
      <c r="K588" s="99" t="inlineStr">
        <is>
          <t>N</t>
        </is>
      </c>
      <c r="L588" s="99" t="inlineStr">
        <is>
          <t>N</t>
        </is>
      </c>
      <c r="M588" s="99" t="n">
        <v>40.2</v>
      </c>
      <c r="N588" s="99" t="inlineStr">
        <is>
          <t>N</t>
        </is>
      </c>
      <c r="O588" s="99" t="n">
        <v>14.02</v>
      </c>
      <c r="P588" s="99" t="inlineStr">
        <is>
          <t>N</t>
        </is>
      </c>
      <c r="Q588" s="99" t="inlineStr">
        <is>
          <t>N/A</t>
        </is>
      </c>
      <c r="R588" s="99" t="inlineStr">
        <is>
          <t>N</t>
        </is>
      </c>
      <c r="S588" s="99" t="n">
        <v>-5.3</v>
      </c>
      <c r="T588" s="99" t="n">
        <v>-5.1</v>
      </c>
      <c r="U588" s="99" t="inlineStr">
        <is>
          <t>N</t>
        </is>
      </c>
      <c r="V588" s="99" t="n">
        <v>60.6</v>
      </c>
      <c r="W588" s="99" t="n">
        <v>10.8</v>
      </c>
      <c r="X588" s="99" t="n">
        <v>15.84</v>
      </c>
      <c r="Y588" s="99" t="n">
        <v>22.9</v>
      </c>
      <c r="Z588" s="99" t="n">
        <v>2</v>
      </c>
      <c r="AA588" s="94" t="inlineStr">
        <is>
          <t>AVOID</t>
        </is>
      </c>
    </row>
    <row r="589">
      <c r="A589" s="97" t="inlineStr">
        <is>
          <t>AWL</t>
        </is>
      </c>
      <c r="B589" s="97" t="inlineStr">
        <is>
          <t>AWL Agri Business Ltd.</t>
        </is>
      </c>
      <c r="C589" s="97" t="inlineStr">
        <is>
          <t>Fast Moving Consumer Goods</t>
        </is>
      </c>
      <c r="D589" s="97" t="inlineStr">
        <is>
          <t>BSE Smallcap</t>
        </is>
      </c>
      <c r="E589" s="97" t="n">
        <v>188.16</v>
      </c>
      <c r="F589" s="97" t="n">
        <v>0.39</v>
      </c>
      <c r="G589" s="97" t="n">
        <v>1118052</v>
      </c>
      <c r="H589" s="97" t="n">
        <v>0.31</v>
      </c>
      <c r="I589" s="97" t="n">
        <v>24268</v>
      </c>
      <c r="J589" s="97" t="inlineStr">
        <is>
          <t>Y</t>
        </is>
      </c>
      <c r="K589" s="97" t="inlineStr">
        <is>
          <t>N</t>
        </is>
      </c>
      <c r="L589" s="97" t="inlineStr">
        <is>
          <t>N</t>
        </is>
      </c>
      <c r="M589" s="97" t="n">
        <v>46.1</v>
      </c>
      <c r="N589" s="97" t="inlineStr">
        <is>
          <t>N</t>
        </is>
      </c>
      <c r="O589" s="97" t="n">
        <v>5.13</v>
      </c>
      <c r="P589" s="97" t="inlineStr">
        <is>
          <t>N</t>
        </is>
      </c>
      <c r="Q589" s="97" t="inlineStr">
        <is>
          <t>N/A</t>
        </is>
      </c>
      <c r="R589" s="97" t="inlineStr">
        <is>
          <t>N</t>
        </is>
      </c>
      <c r="S589" s="97" t="n">
        <v>3.6</v>
      </c>
      <c r="T589" s="97" t="n">
        <v>-5.1</v>
      </c>
      <c r="U589" s="97" t="inlineStr">
        <is>
          <t>N</t>
        </is>
      </c>
      <c r="V589" s="97" t="n">
        <v>23.3</v>
      </c>
      <c r="W589" s="97" t="n">
        <v>10.5</v>
      </c>
      <c r="X589" s="97" t="n">
        <v>10.62</v>
      </c>
      <c r="Y589" s="97" t="n">
        <v>8.699999999999999</v>
      </c>
      <c r="Z589" s="97" t="n">
        <v>2</v>
      </c>
      <c r="AA589" s="92" t="inlineStr">
        <is>
          <t>AVOID</t>
        </is>
      </c>
    </row>
    <row r="590">
      <c r="A590" s="99" t="inlineStr">
        <is>
          <t>POWERINDIA</t>
        </is>
      </c>
      <c r="B590" s="99" t="inlineStr">
        <is>
          <t>Hitachi Energy India Ltd.</t>
        </is>
      </c>
      <c r="C590" s="99" t="inlineStr">
        <is>
          <t>Capital Goods</t>
        </is>
      </c>
      <c r="D590" s="99" t="inlineStr">
        <is>
          <t>Large/Midcap</t>
        </is>
      </c>
      <c r="E590" s="99" t="n">
        <v>31070</v>
      </c>
      <c r="F590" s="99" t="n">
        <v>-3.1</v>
      </c>
      <c r="G590" s="99" t="n">
        <v>118166</v>
      </c>
      <c r="H590" s="99" t="n">
        <v>1.33</v>
      </c>
      <c r="I590" s="99" t="n">
        <v>140626</v>
      </c>
      <c r="J590" s="99" t="inlineStr">
        <is>
          <t>Y</t>
        </is>
      </c>
      <c r="K590" s="99" t="inlineStr">
        <is>
          <t>N</t>
        </is>
      </c>
      <c r="L590" s="99" t="inlineStr">
        <is>
          <t>Y</t>
        </is>
      </c>
      <c r="M590" s="99" t="n">
        <v>41.8</v>
      </c>
      <c r="N590" s="99" t="inlineStr">
        <is>
          <t>N</t>
        </is>
      </c>
      <c r="O590" s="99" t="n">
        <v>1091.43</v>
      </c>
      <c r="P590" s="99" t="inlineStr">
        <is>
          <t>N</t>
        </is>
      </c>
      <c r="Q590" s="99" t="inlineStr">
        <is>
          <t>N/A</t>
        </is>
      </c>
      <c r="R590" s="99" t="inlineStr">
        <is>
          <t>N</t>
        </is>
      </c>
      <c r="S590" s="99" t="n">
        <v>-8.300000000000001</v>
      </c>
      <c r="T590" s="99" t="n">
        <v>-5.1</v>
      </c>
      <c r="U590" s="99" t="inlineStr">
        <is>
          <t>N</t>
        </is>
      </c>
      <c r="V590" s="99" t="n">
        <v>143</v>
      </c>
      <c r="W590" s="99" t="n">
        <v>21</v>
      </c>
      <c r="X590" s="99" t="n">
        <v>1.66</v>
      </c>
      <c r="Y590" s="99" t="n">
        <v>26.4</v>
      </c>
      <c r="Z590" s="99" t="n">
        <v>4</v>
      </c>
      <c r="AA590" s="94" t="inlineStr">
        <is>
          <t>AVOID</t>
        </is>
      </c>
    </row>
    <row r="591">
      <c r="A591" s="97" t="inlineStr">
        <is>
          <t>NLCINDIA</t>
        </is>
      </c>
      <c r="B591" s="97" t="inlineStr">
        <is>
          <t>NLC India Ltd.</t>
        </is>
      </c>
      <c r="C591" s="97" t="inlineStr">
        <is>
          <t>Power</t>
        </is>
      </c>
      <c r="D591" s="97" t="inlineStr">
        <is>
          <t>Large/Midcap</t>
        </is>
      </c>
      <c r="E591" s="97" t="n">
        <v>298.45</v>
      </c>
      <c r="F591" s="97" t="n">
        <v>1.93</v>
      </c>
      <c r="G591" s="97" t="n">
        <v>2030451</v>
      </c>
      <c r="H591" s="97" t="n">
        <v>0.83</v>
      </c>
      <c r="I591" s="97" t="n">
        <v>41384</v>
      </c>
      <c r="J591" s="97" t="inlineStr">
        <is>
          <t>Y</t>
        </is>
      </c>
      <c r="K591" s="97" t="inlineStr">
        <is>
          <t>N</t>
        </is>
      </c>
      <c r="L591" s="97" t="inlineStr">
        <is>
          <t>Y</t>
        </is>
      </c>
      <c r="M591" s="97" t="n">
        <v>47.2</v>
      </c>
      <c r="N591" s="97" t="inlineStr">
        <is>
          <t>N</t>
        </is>
      </c>
      <c r="O591" s="97" t="n">
        <v>8.94</v>
      </c>
      <c r="P591" s="97" t="inlineStr">
        <is>
          <t>N</t>
        </is>
      </c>
      <c r="Q591" s="97" t="inlineStr">
        <is>
          <t>N/A</t>
        </is>
      </c>
      <c r="R591" s="97" t="inlineStr">
        <is>
          <t>N</t>
        </is>
      </c>
      <c r="S591" s="97" t="n">
        <v>-6.5</v>
      </c>
      <c r="T591" s="97" t="n">
        <v>-5.3</v>
      </c>
      <c r="U591" s="97" t="inlineStr">
        <is>
          <t>N</t>
        </is>
      </c>
      <c r="V591" s="97" t="n">
        <v>11.5</v>
      </c>
      <c r="W591" s="97" t="n">
        <v>16</v>
      </c>
      <c r="X591" s="97" t="n">
        <v>82</v>
      </c>
      <c r="Y591" s="97" t="n">
        <v>109.2</v>
      </c>
      <c r="Z591" s="97" t="n">
        <v>4</v>
      </c>
      <c r="AA591" s="92" t="inlineStr">
        <is>
          <t>AVOID</t>
        </is>
      </c>
    </row>
    <row r="592">
      <c r="A592" s="99" t="inlineStr">
        <is>
          <t>BRITANNIA</t>
        </is>
      </c>
      <c r="B592" s="99" t="inlineStr">
        <is>
          <t>Britannia Industries Ltd.</t>
        </is>
      </c>
      <c r="C592" s="99" t="inlineStr">
        <is>
          <t>Fast Moving Consumer Goods</t>
        </is>
      </c>
      <c r="D592" s="99" t="inlineStr">
        <is>
          <t>Large/Midcap</t>
        </is>
      </c>
      <c r="E592" s="99" t="n">
        <v>5379.5</v>
      </c>
      <c r="F592" s="99" t="n">
        <v>-0.16</v>
      </c>
      <c r="G592" s="99" t="n">
        <v>208047</v>
      </c>
      <c r="H592" s="99" t="n">
        <v>1.04</v>
      </c>
      <c r="I592" s="99" t="n">
        <v>129696</v>
      </c>
      <c r="J592" s="99" t="inlineStr">
        <is>
          <t>Y</t>
        </is>
      </c>
      <c r="K592" s="99" t="inlineStr">
        <is>
          <t>Y</t>
        </is>
      </c>
      <c r="L592" s="99" t="inlineStr">
        <is>
          <t>N</t>
        </is>
      </c>
      <c r="M592" s="99" t="n">
        <v>43.5</v>
      </c>
      <c r="N592" s="99" t="inlineStr">
        <is>
          <t>N</t>
        </is>
      </c>
      <c r="O592" s="99" t="n">
        <v>100.11</v>
      </c>
      <c r="P592" s="99" t="inlineStr">
        <is>
          <t>N</t>
        </is>
      </c>
      <c r="Q592" s="99" t="inlineStr">
        <is>
          <t>N/A</t>
        </is>
      </c>
      <c r="R592" s="99" t="inlineStr">
        <is>
          <t>N</t>
        </is>
      </c>
      <c r="S592" s="99" t="n">
        <v>3</v>
      </c>
      <c r="T592" s="99" t="n">
        <v>-5.4</v>
      </c>
      <c r="U592" s="99" t="inlineStr">
        <is>
          <t>N</t>
        </is>
      </c>
      <c r="V592" s="99" t="n">
        <v>51.1</v>
      </c>
      <c r="W592" s="99" t="n">
        <v>53.3</v>
      </c>
      <c r="X592" s="99" t="n">
        <v>26.88</v>
      </c>
      <c r="Y592" s="99" t="n">
        <v>-0.2</v>
      </c>
      <c r="Z592" s="99" t="n">
        <v>3</v>
      </c>
      <c r="AA592" s="94" t="inlineStr">
        <is>
          <t>AVOID</t>
        </is>
      </c>
    </row>
    <row r="593">
      <c r="A593" s="97" t="inlineStr">
        <is>
          <t>ZFCVINDIA</t>
        </is>
      </c>
      <c r="B593" s="97" t="inlineStr">
        <is>
          <t>ZF Commercial Vehicle Control Systems India Ltd.</t>
        </is>
      </c>
      <c r="C593" s="97" t="inlineStr">
        <is>
          <t>Automobile and Auto Components</t>
        </is>
      </c>
      <c r="D593" s="97" t="inlineStr">
        <is>
          <t>BSE Smallcap</t>
        </is>
      </c>
      <c r="E593" s="97" t="n">
        <v>2299.1</v>
      </c>
      <c r="F593" s="97" t="n">
        <v>-0.93</v>
      </c>
      <c r="G593" s="97" t="n">
        <v>160091</v>
      </c>
      <c r="H593" s="97" t="n">
        <v>0.68</v>
      </c>
      <c r="I593" s="97" t="n">
        <v>26165</v>
      </c>
      <c r="J593" s="97" t="inlineStr">
        <is>
          <t>Y</t>
        </is>
      </c>
      <c r="K593" s="97" t="inlineStr">
        <is>
          <t>N</t>
        </is>
      </c>
      <c r="L593" s="97" t="inlineStr">
        <is>
          <t>N</t>
        </is>
      </c>
      <c r="M593" s="97" t="n">
        <v>42.3</v>
      </c>
      <c r="N593" s="97" t="inlineStr">
        <is>
          <t>N</t>
        </is>
      </c>
      <c r="O593" s="97" t="n">
        <v>90.56</v>
      </c>
      <c r="P593" s="97" t="inlineStr">
        <is>
          <t>N</t>
        </is>
      </c>
      <c r="Q593" s="97" t="inlineStr">
        <is>
          <t>N/A</t>
        </is>
      </c>
      <c r="R593" s="97" t="inlineStr">
        <is>
          <t>N</t>
        </is>
      </c>
      <c r="S593" s="97" t="n">
        <v>-11.7</v>
      </c>
      <c r="T593" s="97" t="n">
        <v>-5.6</v>
      </c>
      <c r="U593" s="97" t="inlineStr">
        <is>
          <t>N</t>
        </is>
      </c>
      <c r="V593" s="97" t="n">
        <v>2.6</v>
      </c>
      <c r="W593" s="97" t="inlineStr">
        <is>
          <t>N/A</t>
        </is>
      </c>
      <c r="X593" s="97" t="inlineStr">
        <is>
          <t>N/A</t>
        </is>
      </c>
      <c r="Y593" s="97" t="n">
        <v>-28.6</v>
      </c>
      <c r="Z593" s="97" t="n">
        <v>1</v>
      </c>
      <c r="AA593" s="92" t="inlineStr">
        <is>
          <t>AVOID</t>
        </is>
      </c>
    </row>
    <row r="594">
      <c r="A594" s="99" t="inlineStr">
        <is>
          <t>TATACONSUM</t>
        </is>
      </c>
      <c r="B594" s="99" t="inlineStr">
        <is>
          <t>Tata Consumer Products Ltd.</t>
        </is>
      </c>
      <c r="C594" s="99" t="inlineStr">
        <is>
          <t>Fast Moving Consumer Goods</t>
        </is>
      </c>
      <c r="D594" s="99" t="inlineStr">
        <is>
          <t>Large/Midcap</t>
        </is>
      </c>
      <c r="E594" s="99" t="n">
        <v>1088</v>
      </c>
      <c r="F594" s="99" t="n">
        <v>-1.78</v>
      </c>
      <c r="G594" s="99" t="n">
        <v>1644917</v>
      </c>
      <c r="H594" s="99" t="n">
        <v>1.04</v>
      </c>
      <c r="I594" s="99" t="n">
        <v>109594</v>
      </c>
      <c r="J594" s="99" t="inlineStr">
        <is>
          <t>Y</t>
        </is>
      </c>
      <c r="K594" s="99" t="inlineStr">
        <is>
          <t>N</t>
        </is>
      </c>
      <c r="L594" s="99" t="inlineStr">
        <is>
          <t>N</t>
        </is>
      </c>
      <c r="M594" s="99" t="n">
        <v>40.3</v>
      </c>
      <c r="N594" s="99" t="inlineStr">
        <is>
          <t>N</t>
        </is>
      </c>
      <c r="O594" s="99" t="n">
        <v>22.23</v>
      </c>
      <c r="P594" s="99" t="inlineStr">
        <is>
          <t>N</t>
        </is>
      </c>
      <c r="Q594" s="99" t="inlineStr">
        <is>
          <t>N/A</t>
        </is>
      </c>
      <c r="R594" s="99" t="inlineStr">
        <is>
          <t>N</t>
        </is>
      </c>
      <c r="S594" s="99" t="n">
        <v>-3.6</v>
      </c>
      <c r="T594" s="99" t="n">
        <v>-5.7</v>
      </c>
      <c r="U594" s="99" t="inlineStr">
        <is>
          <t>N</t>
        </is>
      </c>
      <c r="V594" s="99" t="n">
        <v>67</v>
      </c>
      <c r="W594" s="99" t="inlineStr">
        <is>
          <t>N/A</t>
        </is>
      </c>
      <c r="X594" s="99" t="n">
        <v>12.16</v>
      </c>
      <c r="Y594" s="99" t="n">
        <v>1.9</v>
      </c>
      <c r="Z594" s="99" t="n">
        <v>2</v>
      </c>
      <c r="AA594" s="94" t="inlineStr">
        <is>
          <t>AVOID</t>
        </is>
      </c>
    </row>
    <row r="595">
      <c r="A595" s="97" t="inlineStr">
        <is>
          <t>LGEINDIA</t>
        </is>
      </c>
      <c r="B595" s="97" t="inlineStr">
        <is>
          <t>LG Electronics India Ltd.</t>
        </is>
      </c>
      <c r="C595" s="97" t="inlineStr">
        <is>
          <t>Consumer Durables</t>
        </is>
      </c>
      <c r="D595" s="97" t="inlineStr">
        <is>
          <t>Large/Midcap</t>
        </is>
      </c>
      <c r="E595" s="97" t="n">
        <v>1527.2</v>
      </c>
      <c r="F595" s="97" t="n">
        <v>-0.09</v>
      </c>
      <c r="G595" s="97" t="n">
        <v>203768</v>
      </c>
      <c r="H595" s="97" t="n">
        <v>1.01</v>
      </c>
      <c r="I595" s="97" t="n">
        <v>103635</v>
      </c>
      <c r="J595" s="97" t="inlineStr">
        <is>
          <t>Y</t>
        </is>
      </c>
      <c r="K595" s="97" t="inlineStr">
        <is>
          <t>N</t>
        </is>
      </c>
      <c r="L595" s="97" t="inlineStr">
        <is>
          <t>N/A</t>
        </is>
      </c>
      <c r="M595" s="97" t="n">
        <v>42</v>
      </c>
      <c r="N595" s="97" t="inlineStr">
        <is>
          <t>N</t>
        </is>
      </c>
      <c r="O595" s="97" t="n">
        <v>30.06</v>
      </c>
      <c r="P595" s="97" t="inlineStr">
        <is>
          <t>N</t>
        </is>
      </c>
      <c r="Q595" s="97" t="inlineStr">
        <is>
          <t>N/A</t>
        </is>
      </c>
      <c r="R595" s="97" t="inlineStr">
        <is>
          <t>N</t>
        </is>
      </c>
      <c r="S595" s="97" t="n">
        <v>-2.6</v>
      </c>
      <c r="T595" s="97" t="n">
        <v>-5.7</v>
      </c>
      <c r="U595" s="97" t="inlineStr">
        <is>
          <t>N</t>
        </is>
      </c>
      <c r="V595" s="97" t="n">
        <v>61.3</v>
      </c>
      <c r="W595" s="97" t="n">
        <v>24.7</v>
      </c>
      <c r="X595" s="97" t="n">
        <v>5.99</v>
      </c>
      <c r="Y595" s="97" t="n">
        <v>672.5</v>
      </c>
      <c r="Z595" s="97" t="n">
        <v>3</v>
      </c>
      <c r="AA595" s="92" t="inlineStr">
        <is>
          <t>AVOID</t>
        </is>
      </c>
    </row>
    <row r="596">
      <c r="A596" s="99" t="inlineStr">
        <is>
          <t>ITC</t>
        </is>
      </c>
      <c r="B596" s="99" t="inlineStr">
        <is>
          <t>ITC Ltd.</t>
        </is>
      </c>
      <c r="C596" s="99" t="inlineStr">
        <is>
          <t>Fast Moving Consumer Goods</t>
        </is>
      </c>
      <c r="D596" s="99" t="inlineStr">
        <is>
          <t>Large/Midcap</t>
        </is>
      </c>
      <c r="E596" s="99" t="n">
        <v>285.85</v>
      </c>
      <c r="F596" s="99" t="n">
        <v>0.85</v>
      </c>
      <c r="G596" s="99" t="n">
        <v>19312804</v>
      </c>
      <c r="H596" s="99" t="n">
        <v>0.98</v>
      </c>
      <c r="I596" s="99" t="n">
        <v>358155</v>
      </c>
      <c r="J596" s="99" t="inlineStr">
        <is>
          <t>Y</t>
        </is>
      </c>
      <c r="K596" s="99" t="inlineStr">
        <is>
          <t>N</t>
        </is>
      </c>
      <c r="L596" s="99" t="inlineStr">
        <is>
          <t>N</t>
        </is>
      </c>
      <c r="M596" s="99" t="n">
        <v>45.2</v>
      </c>
      <c r="N596" s="99" t="inlineStr">
        <is>
          <t>N</t>
        </is>
      </c>
      <c r="O596" s="99" t="n">
        <v>4.38</v>
      </c>
      <c r="P596" s="99" t="inlineStr">
        <is>
          <t>N</t>
        </is>
      </c>
      <c r="Q596" s="99" t="inlineStr">
        <is>
          <t>N/A</t>
        </is>
      </c>
      <c r="R596" s="99" t="inlineStr">
        <is>
          <t>N</t>
        </is>
      </c>
      <c r="S596" s="99" t="n">
        <v>-1.2</v>
      </c>
      <c r="T596" s="99" t="n">
        <v>-6.4</v>
      </c>
      <c r="U596" s="99" t="inlineStr">
        <is>
          <t>N</t>
        </is>
      </c>
      <c r="V596" s="99" t="n">
        <v>17.2</v>
      </c>
      <c r="W596" s="99" t="n">
        <v>29.3</v>
      </c>
      <c r="X596" s="99" t="n">
        <v>3.29</v>
      </c>
      <c r="Y596" s="99" t="n">
        <v>9.300000000000001</v>
      </c>
      <c r="Z596" s="99" t="n">
        <v>3</v>
      </c>
      <c r="AA596" s="94" t="inlineStr">
        <is>
          <t>AVOID</t>
        </is>
      </c>
    </row>
    <row r="597">
      <c r="A597" s="97" t="inlineStr">
        <is>
          <t>SCI</t>
        </is>
      </c>
      <c r="B597" s="97" t="inlineStr">
        <is>
          <t>Shipping Corporation of India Ltd.</t>
        </is>
      </c>
      <c r="C597" s="97" t="inlineStr">
        <is>
          <t>Services</t>
        </is>
      </c>
      <c r="D597" s="97" t="inlineStr">
        <is>
          <t>NSE Smallcap</t>
        </is>
      </c>
      <c r="E597" s="97" t="n">
        <v>283.8</v>
      </c>
      <c r="F597" s="97" t="n">
        <v>3.16</v>
      </c>
      <c r="G597" s="97" t="n">
        <v>2204031</v>
      </c>
      <c r="H597" s="97" t="n">
        <v>1.19</v>
      </c>
      <c r="I597" s="97" t="n">
        <v>13219</v>
      </c>
      <c r="J597" s="97" t="inlineStr">
        <is>
          <t>Y</t>
        </is>
      </c>
      <c r="K597" s="97" t="inlineStr">
        <is>
          <t>N</t>
        </is>
      </c>
      <c r="L597" s="97" t="inlineStr">
        <is>
          <t>Y</t>
        </is>
      </c>
      <c r="M597" s="97" t="n">
        <v>44.8</v>
      </c>
      <c r="N597" s="97" t="inlineStr">
        <is>
          <t>N</t>
        </is>
      </c>
      <c r="O597" s="97" t="n">
        <v>9.67</v>
      </c>
      <c r="P597" s="97" t="inlineStr">
        <is>
          <t>N</t>
        </is>
      </c>
      <c r="Q597" s="97" t="inlineStr">
        <is>
          <t>N/A</t>
        </is>
      </c>
      <c r="R597" s="97" t="inlineStr">
        <is>
          <t>N</t>
        </is>
      </c>
      <c r="S597" s="97" t="n">
        <v>-8.699999999999999</v>
      </c>
      <c r="T597" s="97" t="n">
        <v>-6.4</v>
      </c>
      <c r="U597" s="97" t="inlineStr">
        <is>
          <t>N</t>
        </is>
      </c>
      <c r="V597" s="97" t="n">
        <v>9.5</v>
      </c>
      <c r="W597" s="97" t="inlineStr">
        <is>
          <t>N/A</t>
        </is>
      </c>
      <c r="X597" s="97" t="n">
        <v>29.45</v>
      </c>
      <c r="Y597" s="97" t="n">
        <v>-0.1</v>
      </c>
      <c r="Z597" s="97" t="n">
        <v>2</v>
      </c>
      <c r="AA597" s="92" t="inlineStr">
        <is>
          <t>AVOID</t>
        </is>
      </c>
    </row>
    <row r="598">
      <c r="A598" s="99" t="inlineStr">
        <is>
          <t>DEVYANI</t>
        </is>
      </c>
      <c r="B598" s="99" t="inlineStr">
        <is>
          <t>Devyani International Ltd.</t>
        </is>
      </c>
      <c r="C598" s="99" t="inlineStr">
        <is>
          <t>Consumer Services</t>
        </is>
      </c>
      <c r="D598" s="99" t="inlineStr">
        <is>
          <t>BSE Smallcap</t>
        </is>
      </c>
      <c r="E598" s="99" t="n">
        <v>116.06</v>
      </c>
      <c r="F598" s="99" t="n">
        <v>3.35</v>
      </c>
      <c r="G598" s="99" t="n">
        <v>4449216</v>
      </c>
      <c r="H598" s="99" t="n">
        <v>2.58</v>
      </c>
      <c r="I598" s="99" t="n">
        <v>14309</v>
      </c>
      <c r="J598" s="99" t="inlineStr">
        <is>
          <t>Y</t>
        </is>
      </c>
      <c r="K598" s="99" t="inlineStr">
        <is>
          <t>Y</t>
        </is>
      </c>
      <c r="L598" s="99" t="inlineStr">
        <is>
          <t>N</t>
        </is>
      </c>
      <c r="M598" s="99" t="n">
        <v>49.2</v>
      </c>
      <c r="N598" s="99" t="inlineStr">
        <is>
          <t>N</t>
        </is>
      </c>
      <c r="O598" s="99" t="n">
        <v>3.03</v>
      </c>
      <c r="P598" s="99" t="inlineStr">
        <is>
          <t>Y</t>
        </is>
      </c>
      <c r="Q598" s="99" t="inlineStr">
        <is>
          <t>N/A</t>
        </is>
      </c>
      <c r="R598" s="99" t="inlineStr">
        <is>
          <t>N</t>
        </is>
      </c>
      <c r="S598" s="99" t="n">
        <v>3.1</v>
      </c>
      <c r="T598" s="99" t="n">
        <v>-6.5</v>
      </c>
      <c r="U598" s="99" t="inlineStr">
        <is>
          <t>N</t>
        </is>
      </c>
      <c r="V598" s="99" t="inlineStr">
        <is>
          <t>N/A</t>
        </is>
      </c>
      <c r="W598" s="99" t="n">
        <v>-2.6</v>
      </c>
      <c r="X598" s="99" t="n">
        <v>203.33</v>
      </c>
      <c r="Y598" s="99" t="n">
        <v>3.3</v>
      </c>
      <c r="Z598" s="99" t="n">
        <v>4</v>
      </c>
      <c r="AA598" s="94" t="inlineStr">
        <is>
          <t>AVOID</t>
        </is>
      </c>
    </row>
    <row r="599">
      <c r="A599" s="97" t="inlineStr">
        <is>
          <t>MANYAVAR</t>
        </is>
      </c>
      <c r="B599" s="97" t="inlineStr">
        <is>
          <t>Vedant Fashions Limited</t>
        </is>
      </c>
      <c r="C599" s="97" t="n"/>
      <c r="D599" s="97" t="inlineStr">
        <is>
          <t>BSE Smallcap</t>
        </is>
      </c>
      <c r="E599" s="97" t="n">
        <v>402.3</v>
      </c>
      <c r="F599" s="97" t="n">
        <v>0.04</v>
      </c>
      <c r="G599" s="97" t="n">
        <v>99319</v>
      </c>
      <c r="H599" s="97" t="n">
        <v>0.25</v>
      </c>
      <c r="I599" s="97" t="n">
        <v>9969</v>
      </c>
      <c r="J599" s="97" t="inlineStr">
        <is>
          <t>Y</t>
        </is>
      </c>
      <c r="K599" s="97" t="inlineStr">
        <is>
          <t>N</t>
        </is>
      </c>
      <c r="L599" s="97" t="inlineStr">
        <is>
          <t>N</t>
        </is>
      </c>
      <c r="M599" s="97" t="n">
        <v>49.9</v>
      </c>
      <c r="N599" s="97" t="inlineStr">
        <is>
          <t>N</t>
        </is>
      </c>
      <c r="O599" s="97" t="n">
        <v>12.36</v>
      </c>
      <c r="P599" s="97" t="inlineStr">
        <is>
          <t>N</t>
        </is>
      </c>
      <c r="Q599" s="97" t="inlineStr">
        <is>
          <t>N/A</t>
        </is>
      </c>
      <c r="R599" s="97" t="inlineStr">
        <is>
          <t>N</t>
        </is>
      </c>
      <c r="S599" s="97" t="n">
        <v>-2.2</v>
      </c>
      <c r="T599" s="97" t="n">
        <v>-8</v>
      </c>
      <c r="U599" s="97" t="inlineStr">
        <is>
          <t>N</t>
        </is>
      </c>
      <c r="V599" s="97" t="n">
        <v>26.6</v>
      </c>
      <c r="W599" s="97" t="inlineStr">
        <is>
          <t>N/A</t>
        </is>
      </c>
      <c r="X599" s="97" t="n">
        <v>23.3</v>
      </c>
      <c r="Y599" s="97" t="n">
        <v>-15.3</v>
      </c>
      <c r="Z599" s="97" t="n">
        <v>1</v>
      </c>
      <c r="AA599" s="92" t="inlineStr">
        <is>
          <t>AVOID</t>
        </is>
      </c>
    </row>
    <row r="600">
      <c r="A600" s="99" t="inlineStr">
        <is>
          <t>IRCTC</t>
        </is>
      </c>
      <c r="B600" s="99" t="inlineStr">
        <is>
          <t>Indian Railway Catering And Tourism Corporation Ltd.</t>
        </is>
      </c>
      <c r="C600" s="99" t="inlineStr">
        <is>
          <t>Consumer Services</t>
        </is>
      </c>
      <c r="D600" s="99" t="inlineStr">
        <is>
          <t>Large/Midcap</t>
        </is>
      </c>
      <c r="E600" s="99" t="n">
        <v>494</v>
      </c>
      <c r="F600" s="99" t="n">
        <v>-0.21</v>
      </c>
      <c r="G600" s="99" t="n">
        <v>517297</v>
      </c>
      <c r="H600" s="99" t="n">
        <v>0.79</v>
      </c>
      <c r="I600" s="99" t="n">
        <v>39520</v>
      </c>
      <c r="J600" s="99" t="inlineStr">
        <is>
          <t>Y</t>
        </is>
      </c>
      <c r="K600" s="99" t="inlineStr">
        <is>
          <t>N</t>
        </is>
      </c>
      <c r="L600" s="99" t="inlineStr">
        <is>
          <t>N</t>
        </is>
      </c>
      <c r="M600" s="99" t="n">
        <v>43.2</v>
      </c>
      <c r="N600" s="99" t="inlineStr">
        <is>
          <t>N</t>
        </is>
      </c>
      <c r="O600" s="99" t="n">
        <v>7.9</v>
      </c>
      <c r="P600" s="99" t="inlineStr">
        <is>
          <t>N</t>
        </is>
      </c>
      <c r="Q600" s="99" t="inlineStr">
        <is>
          <t>N/A</t>
        </is>
      </c>
      <c r="R600" s="99" t="inlineStr">
        <is>
          <t>N</t>
        </is>
      </c>
      <c r="S600" s="99" t="n">
        <v>-3.7</v>
      </c>
      <c r="T600" s="99" t="n">
        <v>-8</v>
      </c>
      <c r="U600" s="99" t="inlineStr">
        <is>
          <t>N</t>
        </is>
      </c>
      <c r="V600" s="99" t="n">
        <v>28.4</v>
      </c>
      <c r="W600" s="99" t="n">
        <v>35</v>
      </c>
      <c r="X600" s="99" t="n">
        <v>1.87</v>
      </c>
      <c r="Y600" s="99" t="n">
        <v>-17.2</v>
      </c>
      <c r="Z600" s="99" t="n">
        <v>2</v>
      </c>
      <c r="AA600" s="94" t="inlineStr">
        <is>
          <t>AVOID</t>
        </is>
      </c>
    </row>
    <row r="601">
      <c r="A601" s="97" t="inlineStr">
        <is>
          <t>POLICYBZR</t>
        </is>
      </c>
      <c r="B601" s="97" t="inlineStr">
        <is>
          <t>PB Fintech Ltd.</t>
        </is>
      </c>
      <c r="C601" s="97" t="inlineStr">
        <is>
          <t>Financial Services</t>
        </is>
      </c>
      <c r="D601" s="97" t="inlineStr">
        <is>
          <t>Large/Midcap</t>
        </is>
      </c>
      <c r="E601" s="97" t="n">
        <v>1537.2</v>
      </c>
      <c r="F601" s="97" t="n">
        <v>0.6899999999999999</v>
      </c>
      <c r="G601" s="97" t="n">
        <v>1154630</v>
      </c>
      <c r="H601" s="97" t="n">
        <v>0.97</v>
      </c>
      <c r="I601" s="97" t="n">
        <v>71764</v>
      </c>
      <c r="J601" s="97" t="inlineStr">
        <is>
          <t>Y</t>
        </is>
      </c>
      <c r="K601" s="97" t="inlineStr">
        <is>
          <t>N</t>
        </is>
      </c>
      <c r="L601" s="97" t="inlineStr">
        <is>
          <t>N</t>
        </is>
      </c>
      <c r="M601" s="97" t="n">
        <v>43.2</v>
      </c>
      <c r="N601" s="97" t="inlineStr">
        <is>
          <t>N</t>
        </is>
      </c>
      <c r="O601" s="97" t="n">
        <v>43.79</v>
      </c>
      <c r="P601" s="97" t="inlineStr">
        <is>
          <t>N</t>
        </is>
      </c>
      <c r="Q601" s="97" t="inlineStr">
        <is>
          <t>N/A</t>
        </is>
      </c>
      <c r="R601" s="97" t="inlineStr">
        <is>
          <t>N</t>
        </is>
      </c>
      <c r="S601" s="97" t="n">
        <v>-4.6</v>
      </c>
      <c r="T601" s="97" t="n">
        <v>-8.300000000000001</v>
      </c>
      <c r="U601" s="97" t="inlineStr">
        <is>
          <t>N</t>
        </is>
      </c>
      <c r="V601" s="97" t="n">
        <v>107.5</v>
      </c>
      <c r="W601" s="97" t="n">
        <v>9.699999999999999</v>
      </c>
      <c r="X601" s="97" t="n">
        <v>4.92</v>
      </c>
      <c r="Y601" s="97" t="n">
        <v>37.9</v>
      </c>
      <c r="Z601" s="97" t="n">
        <v>2</v>
      </c>
      <c r="AA601" s="92" t="inlineStr">
        <is>
          <t>AVOID</t>
        </is>
      </c>
    </row>
    <row r="602">
      <c r="A602" s="99" t="inlineStr">
        <is>
          <t>NMDC</t>
        </is>
      </c>
      <c r="B602" s="99" t="inlineStr">
        <is>
          <t>NMDC Ltd.</t>
        </is>
      </c>
      <c r="C602" s="99" t="inlineStr">
        <is>
          <t>Metals &amp; Mining</t>
        </is>
      </c>
      <c r="D602" s="99" t="inlineStr">
        <is>
          <t>Large/Midcap</t>
        </is>
      </c>
      <c r="E602" s="99" t="n">
        <v>83.56</v>
      </c>
      <c r="F602" s="99" t="n">
        <v>1.11</v>
      </c>
      <c r="G602" s="99" t="n">
        <v>16131661</v>
      </c>
      <c r="H602" s="99" t="n">
        <v>1.28</v>
      </c>
      <c r="I602" s="99" t="n">
        <v>73429</v>
      </c>
      <c r="J602" s="99" t="inlineStr">
        <is>
          <t>Y</t>
        </is>
      </c>
      <c r="K602" s="99" t="inlineStr">
        <is>
          <t>N</t>
        </is>
      </c>
      <c r="L602" s="99" t="inlineStr">
        <is>
          <t>Y</t>
        </is>
      </c>
      <c r="M602" s="99" t="n">
        <v>41.5</v>
      </c>
      <c r="N602" s="99" t="inlineStr">
        <is>
          <t>N</t>
        </is>
      </c>
      <c r="O602" s="99" t="n">
        <v>1.61</v>
      </c>
      <c r="P602" s="99" t="inlineStr">
        <is>
          <t>N</t>
        </is>
      </c>
      <c r="Q602" s="99" t="inlineStr">
        <is>
          <t>N/A</t>
        </is>
      </c>
      <c r="R602" s="99" t="inlineStr">
        <is>
          <t>N</t>
        </is>
      </c>
      <c r="S602" s="99" t="n">
        <v>-1.4</v>
      </c>
      <c r="T602" s="99" t="n">
        <v>-8.5</v>
      </c>
      <c r="U602" s="99" t="inlineStr">
        <is>
          <t>N</t>
        </is>
      </c>
      <c r="V602" s="99" t="n">
        <v>9.9</v>
      </c>
      <c r="W602" s="99" t="n">
        <v>23.4</v>
      </c>
      <c r="X602" s="99" t="n">
        <v>18.8</v>
      </c>
      <c r="Y602" s="99" t="n">
        <v>15.4</v>
      </c>
      <c r="Z602" s="99" t="n">
        <v>4</v>
      </c>
      <c r="AA602" s="94" t="inlineStr">
        <is>
          <t>AVOID</t>
        </is>
      </c>
    </row>
    <row r="603">
      <c r="A603" s="97" t="inlineStr">
        <is>
          <t>SAPPHIRE</t>
        </is>
      </c>
      <c r="B603" s="97" t="inlineStr">
        <is>
          <t>Sapphire Foods India Ltd.</t>
        </is>
      </c>
      <c r="C603" s="97" t="inlineStr">
        <is>
          <t>Consumer Services</t>
        </is>
      </c>
      <c r="D603" s="97" t="inlineStr">
        <is>
          <t>BSE Smallcap</t>
        </is>
      </c>
      <c r="E603" s="97" t="n">
        <v>187.09</v>
      </c>
      <c r="F603" s="97" t="n">
        <v>4.45</v>
      </c>
      <c r="G603" s="97" t="n">
        <v>5604160</v>
      </c>
      <c r="H603" s="97" t="n">
        <v>2.57</v>
      </c>
      <c r="I603" s="97" t="n">
        <v>6020</v>
      </c>
      <c r="J603" s="97" t="inlineStr">
        <is>
          <t>Y</t>
        </is>
      </c>
      <c r="K603" s="97" t="inlineStr">
        <is>
          <t>Y</t>
        </is>
      </c>
      <c r="L603" s="97" t="inlineStr">
        <is>
          <t>N</t>
        </is>
      </c>
      <c r="M603" s="97" t="n">
        <v>47.3</v>
      </c>
      <c r="N603" s="97" t="inlineStr">
        <is>
          <t>N</t>
        </is>
      </c>
      <c r="O603" s="97" t="n">
        <v>6.68</v>
      </c>
      <c r="P603" s="97" t="inlineStr">
        <is>
          <t>Y</t>
        </is>
      </c>
      <c r="Q603" s="97" t="inlineStr">
        <is>
          <t>N/A</t>
        </is>
      </c>
      <c r="R603" s="97" t="inlineStr">
        <is>
          <t>N</t>
        </is>
      </c>
      <c r="S603" s="97" t="n">
        <v>4</v>
      </c>
      <c r="T603" s="97" t="n">
        <v>-8.6</v>
      </c>
      <c r="U603" s="97" t="inlineStr">
        <is>
          <t>N</t>
        </is>
      </c>
      <c r="V603" s="97" t="inlineStr">
        <is>
          <t>N/A</t>
        </is>
      </c>
      <c r="W603" s="97" t="inlineStr">
        <is>
          <t>N/A</t>
        </is>
      </c>
      <c r="X603" s="97" t="n">
        <v>102.06</v>
      </c>
      <c r="Y603" s="97" t="n">
        <v>211.4</v>
      </c>
      <c r="Z603" s="97" t="n">
        <v>4</v>
      </c>
      <c r="AA603" s="92" t="inlineStr">
        <is>
          <t>AVOID</t>
        </is>
      </c>
    </row>
    <row r="604">
      <c r="A604" s="99" t="inlineStr">
        <is>
          <t>IGL</t>
        </is>
      </c>
      <c r="B604" s="99" t="inlineStr">
        <is>
          <t>Indraprastha Gas Ltd.</t>
        </is>
      </c>
      <c r="C604" s="99" t="inlineStr">
        <is>
          <t>Oil Gas &amp; Consumable Fuels</t>
        </is>
      </c>
      <c r="D604" s="99" t="inlineStr">
        <is>
          <t>BSE Smallcap</t>
        </is>
      </c>
      <c r="E604" s="99" t="n">
        <v>150.27</v>
      </c>
      <c r="F604" s="99" t="n">
        <v>0.63</v>
      </c>
      <c r="G604" s="99" t="n">
        <v>1779530</v>
      </c>
      <c r="H604" s="99" t="n">
        <v>1.33</v>
      </c>
      <c r="I604" s="99" t="n">
        <v>21038</v>
      </c>
      <c r="J604" s="99" t="inlineStr">
        <is>
          <t>Y</t>
        </is>
      </c>
      <c r="K604" s="99" t="inlineStr">
        <is>
          <t>N</t>
        </is>
      </c>
      <c r="L604" s="99" t="inlineStr">
        <is>
          <t>N</t>
        </is>
      </c>
      <c r="M604" s="99" t="n">
        <v>44.9</v>
      </c>
      <c r="N604" s="99" t="inlineStr">
        <is>
          <t>N</t>
        </is>
      </c>
      <c r="O604" s="99" t="n">
        <v>3.13</v>
      </c>
      <c r="P604" s="99" t="inlineStr">
        <is>
          <t>N</t>
        </is>
      </c>
      <c r="Q604" s="99" t="inlineStr">
        <is>
          <t>N/A</t>
        </is>
      </c>
      <c r="R604" s="99" t="inlineStr">
        <is>
          <t>N</t>
        </is>
      </c>
      <c r="S604" s="99" t="n">
        <v>-11.6</v>
      </c>
      <c r="T604" s="99" t="n">
        <v>-9.1</v>
      </c>
      <c r="U604" s="99" t="inlineStr">
        <is>
          <t>N</t>
        </is>
      </c>
      <c r="V604" s="99" t="n">
        <v>13.5</v>
      </c>
      <c r="W604" s="99" t="n">
        <v>13.9</v>
      </c>
      <c r="X604" s="99" t="n">
        <v>0.85</v>
      </c>
      <c r="Y604" s="99" t="n">
        <v>-13.5</v>
      </c>
      <c r="Z604" s="99" t="n">
        <v>1</v>
      </c>
      <c r="AA604" s="94" t="inlineStr">
        <is>
          <t>AVOID</t>
        </is>
      </c>
    </row>
    <row r="605">
      <c r="A605" s="97" t="inlineStr">
        <is>
          <t>GRSE</t>
        </is>
      </c>
      <c r="B605" s="97" t="inlineStr">
        <is>
          <t>Garden Reach Shipbuilders &amp; Engineers Ltd.</t>
        </is>
      </c>
      <c r="C605" s="97" t="inlineStr">
        <is>
          <t>Capital Goods</t>
        </is>
      </c>
      <c r="D605" s="97" t="inlineStr">
        <is>
          <t>BSE Smallcap</t>
        </is>
      </c>
      <c r="E605" s="97" t="n">
        <v>2647.5</v>
      </c>
      <c r="F605" s="97" t="n">
        <v>3.18</v>
      </c>
      <c r="G605" s="97" t="n">
        <v>479760</v>
      </c>
      <c r="H605" s="97" t="n">
        <v>1.69</v>
      </c>
      <c r="I605" s="97" t="n">
        <v>30328</v>
      </c>
      <c r="J605" s="97" t="inlineStr">
        <is>
          <t>Y</t>
        </is>
      </c>
      <c r="K605" s="97" t="inlineStr">
        <is>
          <t>N</t>
        </is>
      </c>
      <c r="L605" s="97" t="inlineStr">
        <is>
          <t>Y</t>
        </is>
      </c>
      <c r="M605" s="97" t="n">
        <v>44.3</v>
      </c>
      <c r="N605" s="97" t="inlineStr">
        <is>
          <t>N</t>
        </is>
      </c>
      <c r="O605" s="97" t="n">
        <v>56.03</v>
      </c>
      <c r="P605" s="97" t="inlineStr">
        <is>
          <t>N</t>
        </is>
      </c>
      <c r="Q605" s="97" t="inlineStr">
        <is>
          <t>N/A</t>
        </is>
      </c>
      <c r="R605" s="97" t="inlineStr">
        <is>
          <t>N</t>
        </is>
      </c>
      <c r="S605" s="97" t="n">
        <v>-2.6</v>
      </c>
      <c r="T605" s="97" t="n">
        <v>-9.300000000000001</v>
      </c>
      <c r="U605" s="97" t="inlineStr">
        <is>
          <t>N</t>
        </is>
      </c>
      <c r="V605" s="97" t="n">
        <v>42.7</v>
      </c>
      <c r="W605" s="97" t="n">
        <v>31.8</v>
      </c>
      <c r="X605" s="97" t="n">
        <v>1.42</v>
      </c>
      <c r="Y605" s="97" t="n">
        <v>42.1</v>
      </c>
      <c r="Z605" s="97" t="n">
        <v>4</v>
      </c>
      <c r="AA605" s="92" t="inlineStr">
        <is>
          <t>AVOID</t>
        </is>
      </c>
    </row>
    <row r="606">
      <c r="A606" s="99" t="inlineStr">
        <is>
          <t>HINDCOPPER</t>
        </is>
      </c>
      <c r="B606" s="99" t="inlineStr">
        <is>
          <t>Hindustan Copper Ltd.</t>
        </is>
      </c>
      <c r="C606" s="99" t="inlineStr">
        <is>
          <t>Metals &amp; Mining</t>
        </is>
      </c>
      <c r="D606" s="99" t="inlineStr">
        <is>
          <t>NSE Smallcap</t>
        </is>
      </c>
      <c r="E606" s="99" t="n">
        <v>482.4</v>
      </c>
      <c r="F606" s="99" t="n">
        <v>-0.16</v>
      </c>
      <c r="G606" s="99" t="n">
        <v>1932275</v>
      </c>
      <c r="H606" s="99" t="n">
        <v>0.59</v>
      </c>
      <c r="I606" s="99" t="n">
        <v>46649</v>
      </c>
      <c r="J606" s="99" t="inlineStr">
        <is>
          <t>Y</t>
        </is>
      </c>
      <c r="K606" s="99" t="inlineStr">
        <is>
          <t>N</t>
        </is>
      </c>
      <c r="L606" s="99" t="inlineStr">
        <is>
          <t>N</t>
        </is>
      </c>
      <c r="M606" s="99" t="n">
        <v>40.3</v>
      </c>
      <c r="N606" s="99" t="inlineStr">
        <is>
          <t>N</t>
        </is>
      </c>
      <c r="O606" s="99" t="n">
        <v>12.74</v>
      </c>
      <c r="P606" s="99" t="inlineStr">
        <is>
          <t>N</t>
        </is>
      </c>
      <c r="Q606" s="99" t="inlineStr">
        <is>
          <t>N/A</t>
        </is>
      </c>
      <c r="R606" s="99" t="inlineStr">
        <is>
          <t>N</t>
        </is>
      </c>
      <c r="S606" s="99" t="n">
        <v>-1.6</v>
      </c>
      <c r="T606" s="99" t="n">
        <v>-9.4</v>
      </c>
      <c r="U606" s="99" t="inlineStr">
        <is>
          <t>N</t>
        </is>
      </c>
      <c r="V606" s="99" t="n">
        <v>50.8</v>
      </c>
      <c r="W606" s="99" t="n">
        <v>30.6</v>
      </c>
      <c r="X606" s="99" t="n">
        <v>3.32</v>
      </c>
      <c r="Y606" s="99" t="n">
        <v>184.4</v>
      </c>
      <c r="Z606" s="99" t="n">
        <v>3</v>
      </c>
      <c r="AA606" s="94" t="inlineStr">
        <is>
          <t>AVOID</t>
        </is>
      </c>
    </row>
    <row r="607">
      <c r="A607" s="97" t="inlineStr">
        <is>
          <t>SIGNATURE</t>
        </is>
      </c>
      <c r="B607" s="97" t="inlineStr">
        <is>
          <t>Signatureglobal (India) Ltd.</t>
        </is>
      </c>
      <c r="C607" s="97" t="inlineStr">
        <is>
          <t>Realty</t>
        </is>
      </c>
      <c r="D607" s="97" t="inlineStr">
        <is>
          <t>BSE Smallcap</t>
        </is>
      </c>
      <c r="E607" s="97" t="n">
        <v>768.35</v>
      </c>
      <c r="F607" s="97" t="n">
        <v>0.14</v>
      </c>
      <c r="G607" s="97" t="n">
        <v>208099</v>
      </c>
      <c r="H607" s="97" t="n">
        <v>0.95</v>
      </c>
      <c r="I607" s="97" t="n">
        <v>11125</v>
      </c>
      <c r="J607" s="97" t="inlineStr">
        <is>
          <t>Y</t>
        </is>
      </c>
      <c r="K607" s="97" t="inlineStr">
        <is>
          <t>N</t>
        </is>
      </c>
      <c r="L607" s="97" t="inlineStr">
        <is>
          <t>N</t>
        </is>
      </c>
      <c r="M607" s="97" t="n">
        <v>46</v>
      </c>
      <c r="N607" s="97" t="inlineStr">
        <is>
          <t>N</t>
        </is>
      </c>
      <c r="O607" s="97" t="n">
        <v>39.48</v>
      </c>
      <c r="P607" s="97" t="inlineStr">
        <is>
          <t>N</t>
        </is>
      </c>
      <c r="Q607" s="97" t="inlineStr">
        <is>
          <t>N/A</t>
        </is>
      </c>
      <c r="R607" s="97" t="inlineStr">
        <is>
          <t>N</t>
        </is>
      </c>
      <c r="S607" s="97" t="n">
        <v>1.8</v>
      </c>
      <c r="T607" s="97" t="n">
        <v>-9.6</v>
      </c>
      <c r="U607" s="97" t="inlineStr">
        <is>
          <t>N</t>
        </is>
      </c>
      <c r="V607" s="97" t="n">
        <v>10.2</v>
      </c>
      <c r="W607" s="97" t="n">
        <v>84.90000000000001</v>
      </c>
      <c r="X607" s="97" t="n">
        <v>161.04</v>
      </c>
      <c r="Y607" s="97" t="n">
        <v>2641.8</v>
      </c>
      <c r="Z607" s="97" t="n">
        <v>3</v>
      </c>
      <c r="AA607" s="92" t="inlineStr">
        <is>
          <t>AVOID</t>
        </is>
      </c>
    </row>
    <row r="608">
      <c r="A608" s="99" t="inlineStr">
        <is>
          <t>EIDPARRY</t>
        </is>
      </c>
      <c r="B608" s="99" t="inlineStr">
        <is>
          <t>E.I.D. Parry (India) Ltd.</t>
        </is>
      </c>
      <c r="C608" s="99" t="inlineStr">
        <is>
          <t>Fast Moving Consumer Goods</t>
        </is>
      </c>
      <c r="D608" s="99" t="inlineStr">
        <is>
          <t>BSE Smallcap</t>
        </is>
      </c>
      <c r="E608" s="99" t="n">
        <v>758</v>
      </c>
      <c r="F608" s="99" t="n">
        <v>-0.15</v>
      </c>
      <c r="G608" s="99" t="n">
        <v>128554</v>
      </c>
      <c r="H608" s="99" t="n">
        <v>0.62</v>
      </c>
      <c r="I608" s="99" t="n">
        <v>13723</v>
      </c>
      <c r="J608" s="99" t="inlineStr">
        <is>
          <t>Y</t>
        </is>
      </c>
      <c r="K608" s="99" t="inlineStr">
        <is>
          <t>Y</t>
        </is>
      </c>
      <c r="L608" s="99" t="inlineStr">
        <is>
          <t>N</t>
        </is>
      </c>
      <c r="M608" s="99" t="n">
        <v>47.3</v>
      </c>
      <c r="N608" s="99" t="inlineStr">
        <is>
          <t>N</t>
        </is>
      </c>
      <c r="O608" s="99" t="n">
        <v>22.17</v>
      </c>
      <c r="P608" s="99" t="inlineStr">
        <is>
          <t>N</t>
        </is>
      </c>
      <c r="Q608" s="99" t="inlineStr">
        <is>
          <t>N/A</t>
        </is>
      </c>
      <c r="R608" s="99" t="inlineStr">
        <is>
          <t>N</t>
        </is>
      </c>
      <c r="S608" s="99" t="n">
        <v>7</v>
      </c>
      <c r="T608" s="99" t="n">
        <v>-9.9</v>
      </c>
      <c r="U608" s="99" t="inlineStr">
        <is>
          <t>N</t>
        </is>
      </c>
      <c r="V608" s="99" t="n">
        <v>24.2</v>
      </c>
      <c r="W608" s="99" t="n">
        <v>9.9</v>
      </c>
      <c r="X608" s="99" t="n">
        <v>23.65</v>
      </c>
      <c r="Y608" s="99" t="n">
        <v>-243.6</v>
      </c>
      <c r="Z608" s="99" t="n">
        <v>2</v>
      </c>
      <c r="AA608" s="94" t="inlineStr">
        <is>
          <t>AVOID</t>
        </is>
      </c>
    </row>
    <row r="609">
      <c r="A609" s="97" t="inlineStr">
        <is>
          <t>GICRE</t>
        </is>
      </c>
      <c r="B609" s="97" t="inlineStr">
        <is>
          <t>General Insurance Corporation of India</t>
        </is>
      </c>
      <c r="C609" s="97" t="inlineStr">
        <is>
          <t>Financial Services</t>
        </is>
      </c>
      <c r="D609" s="97" t="inlineStr">
        <is>
          <t>Large/Midcap</t>
        </is>
      </c>
      <c r="E609" s="97" t="n">
        <v>357.5</v>
      </c>
      <c r="F609" s="97" t="n">
        <v>-0.65</v>
      </c>
      <c r="G609" s="97" t="n">
        <v>188457</v>
      </c>
      <c r="H609" s="97" t="n">
        <v>0.58</v>
      </c>
      <c r="I609" s="97" t="n">
        <v>63018</v>
      </c>
      <c r="J609" s="97" t="inlineStr">
        <is>
          <t>Y</t>
        </is>
      </c>
      <c r="K609" s="97" t="inlineStr">
        <is>
          <t>N</t>
        </is>
      </c>
      <c r="L609" s="97" t="inlineStr">
        <is>
          <t>N</t>
        </is>
      </c>
      <c r="M609" s="97" t="n">
        <v>45.9</v>
      </c>
      <c r="N609" s="97" t="inlineStr">
        <is>
          <t>N</t>
        </is>
      </c>
      <c r="O609" s="97" t="n">
        <v>5.91</v>
      </c>
      <c r="P609" s="97" t="inlineStr">
        <is>
          <t>N</t>
        </is>
      </c>
      <c r="Q609" s="97" t="inlineStr">
        <is>
          <t>N/A</t>
        </is>
      </c>
      <c r="R609" s="97" t="inlineStr">
        <is>
          <t>N</t>
        </is>
      </c>
      <c r="S609" s="97" t="n">
        <v>-0.7</v>
      </c>
      <c r="T609" s="97" t="n">
        <v>-10.2</v>
      </c>
      <c r="U609" s="97" t="inlineStr">
        <is>
          <t>N</t>
        </is>
      </c>
      <c r="V609" s="97" t="n">
        <v>6.5</v>
      </c>
      <c r="W609" s="97" t="n">
        <v>10.7</v>
      </c>
      <c r="X609" s="97" t="inlineStr">
        <is>
          <t>N/A</t>
        </is>
      </c>
      <c r="Y609" s="97" t="n">
        <v>46.8</v>
      </c>
      <c r="Z609" s="97" t="n">
        <v>2</v>
      </c>
      <c r="AA609" s="92" t="inlineStr">
        <is>
          <t>AVOID</t>
        </is>
      </c>
    </row>
    <row r="610">
      <c r="A610" s="99" t="inlineStr">
        <is>
          <t>EMAMILTD</t>
        </is>
      </c>
      <c r="B610" s="99" t="inlineStr">
        <is>
          <t>Emami Ltd.</t>
        </is>
      </c>
      <c r="C610" s="99" t="inlineStr">
        <is>
          <t>Fast Moving Consumer Goods</t>
        </is>
      </c>
      <c r="D610" s="99" t="inlineStr">
        <is>
          <t>BSE Smallcap</t>
        </is>
      </c>
      <c r="E610" s="99" t="n">
        <v>407.9</v>
      </c>
      <c r="F610" s="99" t="n">
        <v>-2.01</v>
      </c>
      <c r="G610" s="99" t="n">
        <v>694321</v>
      </c>
      <c r="H610" s="99" t="n">
        <v>0.84</v>
      </c>
      <c r="I610" s="99" t="n">
        <v>18075</v>
      </c>
      <c r="J610" s="99" t="inlineStr">
        <is>
          <t>Y</t>
        </is>
      </c>
      <c r="K610" s="99" t="inlineStr">
        <is>
          <t>Y</t>
        </is>
      </c>
      <c r="L610" s="99" t="inlineStr">
        <is>
          <t>N</t>
        </is>
      </c>
      <c r="M610" s="99" t="n">
        <v>44.8</v>
      </c>
      <c r="N610" s="99" t="inlineStr">
        <is>
          <t>N</t>
        </is>
      </c>
      <c r="O610" s="99" t="n">
        <v>11.73</v>
      </c>
      <c r="P610" s="99" t="inlineStr">
        <is>
          <t>N</t>
        </is>
      </c>
      <c r="Q610" s="99" t="inlineStr">
        <is>
          <t>N/A</t>
        </is>
      </c>
      <c r="R610" s="99" t="inlineStr">
        <is>
          <t>N</t>
        </is>
      </c>
      <c r="S610" s="99" t="n">
        <v>3</v>
      </c>
      <c r="T610" s="99" t="n">
        <v>-10.5</v>
      </c>
      <c r="U610" s="99" t="inlineStr">
        <is>
          <t>N</t>
        </is>
      </c>
      <c r="V610" s="99" t="n">
        <v>23.3</v>
      </c>
      <c r="W610" s="99" t="n">
        <v>27.6</v>
      </c>
      <c r="X610" s="99" t="n">
        <v>5.54</v>
      </c>
      <c r="Y610" s="99" t="n">
        <v>-55.2</v>
      </c>
      <c r="Z610" s="99" t="n">
        <v>3</v>
      </c>
      <c r="AA610" s="94" t="inlineStr">
        <is>
          <t>AVOID</t>
        </is>
      </c>
    </row>
    <row r="611">
      <c r="A611" s="97" t="inlineStr">
        <is>
          <t>HINDZINC</t>
        </is>
      </c>
      <c r="B611" s="97" t="inlineStr">
        <is>
          <t>Hindustan Zinc Ltd.</t>
        </is>
      </c>
      <c r="C611" s="97" t="inlineStr">
        <is>
          <t>Metals &amp; Mining</t>
        </is>
      </c>
      <c r="D611" s="97" t="inlineStr">
        <is>
          <t>Large/Midcap</t>
        </is>
      </c>
      <c r="E611" s="97" t="n">
        <v>529.65</v>
      </c>
      <c r="F611" s="97" t="n">
        <v>-0.43</v>
      </c>
      <c r="G611" s="97" t="n">
        <v>4726406</v>
      </c>
      <c r="H611" s="97" t="n">
        <v>1.42</v>
      </c>
      <c r="I611" s="97" t="n">
        <v>223794</v>
      </c>
      <c r="J611" s="97" t="inlineStr">
        <is>
          <t>Y</t>
        </is>
      </c>
      <c r="K611" s="97" t="inlineStr">
        <is>
          <t>N</t>
        </is>
      </c>
      <c r="L611" s="97" t="inlineStr">
        <is>
          <t>N</t>
        </is>
      </c>
      <c r="M611" s="97" t="n">
        <v>48.7</v>
      </c>
      <c r="N611" s="97" t="inlineStr">
        <is>
          <t>N</t>
        </is>
      </c>
      <c r="O611" s="97" t="n">
        <v>11.82</v>
      </c>
      <c r="P611" s="97" t="inlineStr">
        <is>
          <t>N</t>
        </is>
      </c>
      <c r="Q611" s="97" t="inlineStr">
        <is>
          <t>N/A</t>
        </is>
      </c>
      <c r="R611" s="97" t="inlineStr">
        <is>
          <t>N</t>
        </is>
      </c>
      <c r="S611" s="97" t="n">
        <v>2.5</v>
      </c>
      <c r="T611" s="97" t="n">
        <v>-10.7</v>
      </c>
      <c r="U611" s="97" t="inlineStr">
        <is>
          <t>N</t>
        </is>
      </c>
      <c r="V611" s="97" t="n">
        <v>13.1</v>
      </c>
      <c r="W611" s="97" t="inlineStr">
        <is>
          <t>N/A</t>
        </is>
      </c>
      <c r="X611" s="97" t="n">
        <v>39.03</v>
      </c>
      <c r="Y611" s="97" t="n">
        <v>8.699999999999999</v>
      </c>
      <c r="Z611" s="97" t="n">
        <v>2</v>
      </c>
      <c r="AA611" s="92" t="inlineStr">
        <is>
          <t>AVOID</t>
        </is>
      </c>
    </row>
    <row r="612">
      <c r="A612" s="99" t="inlineStr">
        <is>
          <t>COALINDIA</t>
        </is>
      </c>
      <c r="B612" s="99" t="inlineStr">
        <is>
          <t>Coal India Ltd.</t>
        </is>
      </c>
      <c r="C612" s="99" t="inlineStr">
        <is>
          <t>Oil Gas &amp; Consumable Fuels</t>
        </is>
      </c>
      <c r="D612" s="99" t="inlineStr">
        <is>
          <t>Large/Midcap</t>
        </is>
      </c>
      <c r="E612" s="99" t="n">
        <v>427.5</v>
      </c>
      <c r="F612" s="99" t="n">
        <v>0.02</v>
      </c>
      <c r="G612" s="99" t="n">
        <v>5241433</v>
      </c>
      <c r="H612" s="99" t="n">
        <v>0.92</v>
      </c>
      <c r="I612" s="99" t="n">
        <v>263457</v>
      </c>
      <c r="J612" s="99" t="inlineStr">
        <is>
          <t>Y</t>
        </is>
      </c>
      <c r="K612" s="99" t="inlineStr">
        <is>
          <t>N</t>
        </is>
      </c>
      <c r="L612" s="99" t="inlineStr">
        <is>
          <t>Y</t>
        </is>
      </c>
      <c r="M612" s="99" t="n">
        <v>45.1</v>
      </c>
      <c r="N612" s="99" t="inlineStr">
        <is>
          <t>N</t>
        </is>
      </c>
      <c r="O612" s="99" t="n">
        <v>5.67</v>
      </c>
      <c r="P612" s="99" t="inlineStr">
        <is>
          <t>N</t>
        </is>
      </c>
      <c r="Q612" s="99" t="inlineStr">
        <is>
          <t>N/A</t>
        </is>
      </c>
      <c r="R612" s="99" t="inlineStr">
        <is>
          <t>N</t>
        </is>
      </c>
      <c r="S612" s="99" t="n">
        <v>-1.6</v>
      </c>
      <c r="T612" s="99" t="n">
        <v>-10.8</v>
      </c>
      <c r="U612" s="99" t="inlineStr">
        <is>
          <t>N</t>
        </is>
      </c>
      <c r="V612" s="99" t="n">
        <v>8.5</v>
      </c>
      <c r="W612" s="99" t="n">
        <v>28.1</v>
      </c>
      <c r="X612" s="99" t="n">
        <v>11.63</v>
      </c>
      <c r="Y612" s="99" t="n">
        <v>51.4</v>
      </c>
      <c r="Z612" s="99" t="n">
        <v>4</v>
      </c>
      <c r="AA612" s="94" t="inlineStr">
        <is>
          <t>AVOID</t>
        </is>
      </c>
    </row>
    <row r="613">
      <c r="A613" s="97" t="inlineStr">
        <is>
          <t>ABREL</t>
        </is>
      </c>
      <c r="B613" s="97" t="inlineStr">
        <is>
          <t>Aditya Birla Real Estate Ltd.</t>
        </is>
      </c>
      <c r="C613" s="97" t="inlineStr">
        <is>
          <t>Realty</t>
        </is>
      </c>
      <c r="D613" s="97" t="inlineStr">
        <is>
          <t>BSE Smallcap</t>
        </is>
      </c>
      <c r="E613" s="97" t="n">
        <v>1374.2</v>
      </c>
      <c r="F613" s="97" t="n">
        <v>-1.71</v>
      </c>
      <c r="G613" s="97" t="n">
        <v>113460</v>
      </c>
      <c r="H613" s="97" t="n">
        <v>1.11</v>
      </c>
      <c r="I613" s="97" t="n">
        <v>15483</v>
      </c>
      <c r="J613" s="97" t="inlineStr">
        <is>
          <t>Y</t>
        </is>
      </c>
      <c r="K613" s="97" t="inlineStr">
        <is>
          <t>Y</t>
        </is>
      </c>
      <c r="L613" s="97" t="inlineStr">
        <is>
          <t>N</t>
        </is>
      </c>
      <c r="M613" s="97" t="n">
        <v>43.3</v>
      </c>
      <c r="N613" s="97" t="inlineStr">
        <is>
          <t>N</t>
        </is>
      </c>
      <c r="O613" s="97" t="n">
        <v>45.58</v>
      </c>
      <c r="P613" s="97" t="inlineStr">
        <is>
          <t>N</t>
        </is>
      </c>
      <c r="Q613" s="97" t="inlineStr">
        <is>
          <t>N/A</t>
        </is>
      </c>
      <c r="R613" s="97" t="inlineStr">
        <is>
          <t>N</t>
        </is>
      </c>
      <c r="S613" s="97" t="n">
        <v>2.5</v>
      </c>
      <c r="T613" s="97" t="n">
        <v>-10.8</v>
      </c>
      <c r="U613" s="97" t="inlineStr">
        <is>
          <t>N</t>
        </is>
      </c>
      <c r="V613" s="97" t="inlineStr">
        <is>
          <t>N/A</t>
        </is>
      </c>
      <c r="W613" s="97" t="n">
        <v>-8.9</v>
      </c>
      <c r="X613" s="97" t="n">
        <v>152.37</v>
      </c>
      <c r="Y613" s="97" t="n">
        <v>114.9</v>
      </c>
      <c r="Z613" s="97" t="n">
        <v>3</v>
      </c>
      <c r="AA613" s="92" t="inlineStr">
        <is>
          <t>AVOID</t>
        </is>
      </c>
    </row>
    <row r="614">
      <c r="A614" s="99" t="inlineStr">
        <is>
          <t>SYNGENE</t>
        </is>
      </c>
      <c r="B614" s="99" t="inlineStr">
        <is>
          <t>Syngene International Ltd.</t>
        </is>
      </c>
      <c r="C614" s="99" t="inlineStr">
        <is>
          <t>Healthcare</t>
        </is>
      </c>
      <c r="D614" s="99" t="inlineStr">
        <is>
          <t>BSE Smallcap</t>
        </is>
      </c>
      <c r="E614" s="99" t="n">
        <v>413.85</v>
      </c>
      <c r="F614" s="99" t="n">
        <v>1.77</v>
      </c>
      <c r="G614" s="99" t="n">
        <v>530732</v>
      </c>
      <c r="H614" s="99" t="n">
        <v>0.6899999999999999</v>
      </c>
      <c r="I614" s="99" t="n">
        <v>16658</v>
      </c>
      <c r="J614" s="99" t="inlineStr">
        <is>
          <t>Y</t>
        </is>
      </c>
      <c r="K614" s="99" t="inlineStr">
        <is>
          <t>N</t>
        </is>
      </c>
      <c r="L614" s="99" t="inlineStr">
        <is>
          <t>N</t>
        </is>
      </c>
      <c r="M614" s="99" t="n">
        <v>41.1</v>
      </c>
      <c r="N614" s="99" t="inlineStr">
        <is>
          <t>N</t>
        </is>
      </c>
      <c r="O614" s="99" t="n">
        <v>10.6</v>
      </c>
      <c r="P614" s="99" t="inlineStr">
        <is>
          <t>N</t>
        </is>
      </c>
      <c r="Q614" s="99" t="inlineStr">
        <is>
          <t>N/A</t>
        </is>
      </c>
      <c r="R614" s="99" t="inlineStr">
        <is>
          <t>N</t>
        </is>
      </c>
      <c r="S614" s="99" t="n">
        <v>-4.9</v>
      </c>
      <c r="T614" s="99" t="n">
        <v>-10.9</v>
      </c>
      <c r="U614" s="99" t="inlineStr">
        <is>
          <t>N</t>
        </is>
      </c>
      <c r="V614" s="99" t="n">
        <v>51.5</v>
      </c>
      <c r="W614" s="99" t="n">
        <v>6.6</v>
      </c>
      <c r="X614" s="99" t="n">
        <v>9.470000000000001</v>
      </c>
      <c r="Y614" s="99" t="n">
        <v>886</v>
      </c>
      <c r="Z614" s="99" t="n">
        <v>2</v>
      </c>
      <c r="AA614" s="94" t="inlineStr">
        <is>
          <t>AVOID</t>
        </is>
      </c>
    </row>
    <row r="615">
      <c r="A615" s="97" t="inlineStr">
        <is>
          <t>MUTHOOTFIN</t>
        </is>
      </c>
      <c r="B615" s="97" t="inlineStr">
        <is>
          <t>Muthoot Finance Ltd.</t>
        </is>
      </c>
      <c r="C615" s="97" t="inlineStr">
        <is>
          <t>Financial Services</t>
        </is>
      </c>
      <c r="D615" s="97" t="inlineStr">
        <is>
          <t>Large/Midcap</t>
        </is>
      </c>
      <c r="E615" s="97" t="n">
        <v>3025.9</v>
      </c>
      <c r="F615" s="97" t="n">
        <v>1.31</v>
      </c>
      <c r="G615" s="97" t="n">
        <v>517845</v>
      </c>
      <c r="H615" s="97" t="n">
        <v>0.83</v>
      </c>
      <c r="I615" s="97" t="n">
        <v>121480</v>
      </c>
      <c r="J615" s="97" t="inlineStr">
        <is>
          <t>Y</t>
        </is>
      </c>
      <c r="K615" s="97" t="inlineStr">
        <is>
          <t>N</t>
        </is>
      </c>
      <c r="L615" s="97" t="inlineStr">
        <is>
          <t>N</t>
        </is>
      </c>
      <c r="M615" s="97" t="n">
        <v>40.4</v>
      </c>
      <c r="N615" s="97" t="inlineStr">
        <is>
          <t>N</t>
        </is>
      </c>
      <c r="O615" s="97" t="n">
        <v>82.51000000000001</v>
      </c>
      <c r="P615" s="97" t="inlineStr">
        <is>
          <t>N</t>
        </is>
      </c>
      <c r="Q615" s="97" t="inlineStr">
        <is>
          <t>N/A</t>
        </is>
      </c>
      <c r="R615" s="97" t="inlineStr">
        <is>
          <t>N</t>
        </is>
      </c>
      <c r="S615" s="97" t="n">
        <v>0.3</v>
      </c>
      <c r="T615" s="97" t="n">
        <v>-11.2</v>
      </c>
      <c r="U615" s="97" t="inlineStr">
        <is>
          <t>N</t>
        </is>
      </c>
      <c r="V615" s="97" t="n">
        <v>11.3</v>
      </c>
      <c r="W615" s="97" t="n">
        <v>30.4</v>
      </c>
      <c r="X615" s="97" t="n">
        <v>379.71</v>
      </c>
      <c r="Y615" s="97" t="n">
        <v>19.5</v>
      </c>
      <c r="Z615" s="97" t="n">
        <v>3</v>
      </c>
      <c r="AA615" s="92" t="inlineStr">
        <is>
          <t>AVOID</t>
        </is>
      </c>
    </row>
    <row r="616">
      <c r="A616" s="99" t="inlineStr">
        <is>
          <t>LTFOODS</t>
        </is>
      </c>
      <c r="B616" s="99" t="inlineStr">
        <is>
          <t>LT Foods Ltd.</t>
        </is>
      </c>
      <c r="C616" s="99" t="inlineStr">
        <is>
          <t>Fast Moving Consumer Goods</t>
        </is>
      </c>
      <c r="D616" s="99" t="inlineStr">
        <is>
          <t>BSE Smallcap</t>
        </is>
      </c>
      <c r="E616" s="99" t="n">
        <v>375.6</v>
      </c>
      <c r="F616" s="99" t="n">
        <v>0.63</v>
      </c>
      <c r="G616" s="99" t="n">
        <v>220480</v>
      </c>
      <c r="H616" s="99" t="n">
        <v>0.82</v>
      </c>
      <c r="I616" s="99" t="n">
        <v>13071</v>
      </c>
      <c r="J616" s="99" t="inlineStr">
        <is>
          <t>Y</t>
        </is>
      </c>
      <c r="K616" s="99" t="inlineStr">
        <is>
          <t>N</t>
        </is>
      </c>
      <c r="L616" s="99" t="inlineStr">
        <is>
          <t>N</t>
        </is>
      </c>
      <c r="M616" s="99" t="n">
        <v>46.3</v>
      </c>
      <c r="N616" s="99" t="inlineStr">
        <is>
          <t>N</t>
        </is>
      </c>
      <c r="O616" s="99" t="n">
        <v>9.49</v>
      </c>
      <c r="P616" s="99" t="inlineStr">
        <is>
          <t>N</t>
        </is>
      </c>
      <c r="Q616" s="99" t="inlineStr">
        <is>
          <t>N/A</t>
        </is>
      </c>
      <c r="R616" s="99" t="inlineStr">
        <is>
          <t>N</t>
        </is>
      </c>
      <c r="S616" s="99" t="n">
        <v>-2.3</v>
      </c>
      <c r="T616" s="99" t="n">
        <v>-11.2</v>
      </c>
      <c r="U616" s="99" t="inlineStr">
        <is>
          <t>N</t>
        </is>
      </c>
      <c r="V616" s="99" t="n">
        <v>20.9</v>
      </c>
      <c r="W616" s="99" t="n">
        <v>14.9</v>
      </c>
      <c r="X616" s="99" t="n">
        <v>28.49</v>
      </c>
      <c r="Y616" s="99" t="n">
        <v>-13.8</v>
      </c>
      <c r="Z616" s="99" t="n">
        <v>1</v>
      </c>
      <c r="AA616" s="94" t="inlineStr">
        <is>
          <t>AVOID</t>
        </is>
      </c>
    </row>
    <row r="617">
      <c r="A617" s="97" t="inlineStr">
        <is>
          <t>JKLAKSHMI</t>
        </is>
      </c>
      <c r="B617" s="97" t="inlineStr">
        <is>
          <t>JK LAKSHMI CEMENT LTD.</t>
        </is>
      </c>
      <c r="C617" s="97" t="n"/>
      <c r="D617" s="97" t="inlineStr">
        <is>
          <t>BSE Smallcap</t>
        </is>
      </c>
      <c r="E617" s="97" t="n">
        <v>572.5</v>
      </c>
      <c r="F617" s="97" t="n">
        <v>-0.18</v>
      </c>
      <c r="G617" s="97" t="n">
        <v>65616</v>
      </c>
      <c r="H617" s="97" t="n">
        <v>0.8</v>
      </c>
      <c r="I617" s="97" t="n">
        <v>7128</v>
      </c>
      <c r="J617" s="97" t="inlineStr">
        <is>
          <t>Y</t>
        </is>
      </c>
      <c r="K617" s="97" t="inlineStr">
        <is>
          <t>N</t>
        </is>
      </c>
      <c r="L617" s="97" t="inlineStr">
        <is>
          <t>N</t>
        </is>
      </c>
      <c r="M617" s="97" t="n">
        <v>49.8</v>
      </c>
      <c r="N617" s="97" t="inlineStr">
        <is>
          <t>N</t>
        </is>
      </c>
      <c r="O617" s="97" t="n">
        <v>12.87</v>
      </c>
      <c r="P617" s="97" t="inlineStr">
        <is>
          <t>N</t>
        </is>
      </c>
      <c r="Q617" s="97" t="inlineStr">
        <is>
          <t>N/A</t>
        </is>
      </c>
      <c r="R617" s="97" t="inlineStr">
        <is>
          <t>N</t>
        </is>
      </c>
      <c r="S617" s="97" t="n">
        <v>-2.4</v>
      </c>
      <c r="T617" s="97" t="n">
        <v>-11.3</v>
      </c>
      <c r="U617" s="97" t="inlineStr">
        <is>
          <t>N</t>
        </is>
      </c>
      <c r="V617" s="97" t="n">
        <v>17.3</v>
      </c>
      <c r="W617" s="97" t="n">
        <v>11.1</v>
      </c>
      <c r="X617" s="97" t="n">
        <v>66.59</v>
      </c>
      <c r="Y617" s="97" t="n">
        <v>118</v>
      </c>
      <c r="Z617" s="97" t="n">
        <v>2</v>
      </c>
      <c r="AA617" s="92" t="inlineStr">
        <is>
          <t>AVOID</t>
        </is>
      </c>
    </row>
    <row r="618">
      <c r="A618" s="99" t="inlineStr">
        <is>
          <t>SAIL</t>
        </is>
      </c>
      <c r="B618" s="99" t="inlineStr">
        <is>
          <t>Steel Authority of India Ltd.</t>
        </is>
      </c>
      <c r="C618" s="99" t="inlineStr">
        <is>
          <t>Metals &amp; Mining</t>
        </is>
      </c>
      <c r="D618" s="99" t="inlineStr">
        <is>
          <t>Large/Midcap</t>
        </is>
      </c>
      <c r="E618" s="99" t="n">
        <v>162.62</v>
      </c>
      <c r="F618" s="99" t="n">
        <v>0.72</v>
      </c>
      <c r="G618" s="99" t="n">
        <v>13672214</v>
      </c>
      <c r="H618" s="99" t="n">
        <v>1.33</v>
      </c>
      <c r="I618" s="99" t="n">
        <v>67171</v>
      </c>
      <c r="J618" s="99" t="inlineStr">
        <is>
          <t>Y</t>
        </is>
      </c>
      <c r="K618" s="99" t="inlineStr">
        <is>
          <t>N</t>
        </is>
      </c>
      <c r="L618" s="99" t="inlineStr">
        <is>
          <t>Y</t>
        </is>
      </c>
      <c r="M618" s="99" t="n">
        <v>42.8</v>
      </c>
      <c r="N618" s="99" t="inlineStr">
        <is>
          <t>N</t>
        </is>
      </c>
      <c r="O618" s="99" t="n">
        <v>4.27</v>
      </c>
      <c r="P618" s="99" t="inlineStr">
        <is>
          <t>N</t>
        </is>
      </c>
      <c r="Q618" s="99" t="inlineStr">
        <is>
          <t>N/A</t>
        </is>
      </c>
      <c r="R618" s="99" t="inlineStr">
        <is>
          <t>N</t>
        </is>
      </c>
      <c r="S618" s="99" t="n">
        <v>-4.5</v>
      </c>
      <c r="T618" s="99" t="n">
        <v>-11.5</v>
      </c>
      <c r="U618" s="99" t="inlineStr">
        <is>
          <t>N</t>
        </is>
      </c>
      <c r="V618" s="99" t="n">
        <v>15.6</v>
      </c>
      <c r="W618" s="99" t="inlineStr">
        <is>
          <t>N/A</t>
        </is>
      </c>
      <c r="X618" s="99" t="n">
        <v>52.9</v>
      </c>
      <c r="Y618" s="99" t="n">
        <v>-10.4</v>
      </c>
      <c r="Z618" s="99" t="n">
        <v>2</v>
      </c>
      <c r="AA618" s="94" t="inlineStr">
        <is>
          <t>AVOID</t>
        </is>
      </c>
    </row>
    <row r="619">
      <c r="A619" s="97" t="inlineStr">
        <is>
          <t>NTPC</t>
        </is>
      </c>
      <c r="B619" s="97" t="inlineStr">
        <is>
          <t>NTPC Ltd.</t>
        </is>
      </c>
      <c r="C619" s="97" t="inlineStr">
        <is>
          <t>Power</t>
        </is>
      </c>
      <c r="D619" s="97" t="inlineStr">
        <is>
          <t>Large/Midcap</t>
        </is>
      </c>
      <c r="E619" s="97" t="n">
        <v>350.8</v>
      </c>
      <c r="F619" s="97" t="n">
        <v>1.04</v>
      </c>
      <c r="G619" s="97" t="n">
        <v>12350753</v>
      </c>
      <c r="H619" s="97" t="n">
        <v>1.83</v>
      </c>
      <c r="I619" s="97" t="n">
        <v>340159</v>
      </c>
      <c r="J619" s="97" t="inlineStr">
        <is>
          <t>Y</t>
        </is>
      </c>
      <c r="K619" s="97" t="inlineStr">
        <is>
          <t>N</t>
        </is>
      </c>
      <c r="L619" s="97" t="inlineStr">
        <is>
          <t>N</t>
        </is>
      </c>
      <c r="M619" s="97" t="n">
        <v>46.1</v>
      </c>
      <c r="N619" s="97" t="inlineStr">
        <is>
          <t>N</t>
        </is>
      </c>
      <c r="O619" s="97" t="n">
        <v>5.97</v>
      </c>
      <c r="P619" s="97" t="inlineStr">
        <is>
          <t>N</t>
        </is>
      </c>
      <c r="Q619" s="97" t="inlineStr">
        <is>
          <t>N/A</t>
        </is>
      </c>
      <c r="R619" s="97" t="inlineStr">
        <is>
          <t>N</t>
        </is>
      </c>
      <c r="S619" s="97" t="n">
        <v>-0.1</v>
      </c>
      <c r="T619" s="97" t="n">
        <v>-11.7</v>
      </c>
      <c r="U619" s="97" t="inlineStr">
        <is>
          <t>N</t>
        </is>
      </c>
      <c r="V619" s="97" t="n">
        <v>10.6</v>
      </c>
      <c r="W619" s="97" t="inlineStr">
        <is>
          <t>N/A</t>
        </is>
      </c>
      <c r="X619" s="97" t="n">
        <v>118.13</v>
      </c>
      <c r="Y619" s="97" t="n">
        <v>-35.9</v>
      </c>
      <c r="Z619" s="97" t="n">
        <v>1</v>
      </c>
      <c r="AA619" s="92" t="inlineStr">
        <is>
          <t>AVOID</t>
        </is>
      </c>
    </row>
    <row r="620">
      <c r="A620" s="99" t="inlineStr">
        <is>
          <t>DMART</t>
        </is>
      </c>
      <c r="B620" s="99" t="inlineStr">
        <is>
          <t>Avenue Supermarts Ltd.</t>
        </is>
      </c>
      <c r="C620" s="99" t="inlineStr">
        <is>
          <t>Consumer Services</t>
        </is>
      </c>
      <c r="D620" s="99" t="inlineStr">
        <is>
          <t>Large/Midcap</t>
        </is>
      </c>
      <c r="E620" s="99" t="n">
        <v>4027.7</v>
      </c>
      <c r="F620" s="99" t="n">
        <v>0.22</v>
      </c>
      <c r="G620" s="99" t="n">
        <v>384728</v>
      </c>
      <c r="H620" s="99" t="n">
        <v>0.83</v>
      </c>
      <c r="I620" s="99" t="n">
        <v>262705</v>
      </c>
      <c r="J620" s="99" t="inlineStr">
        <is>
          <t>Y</t>
        </is>
      </c>
      <c r="K620" s="99" t="inlineStr">
        <is>
          <t>N</t>
        </is>
      </c>
      <c r="L620" s="99" t="inlineStr">
        <is>
          <t>N</t>
        </is>
      </c>
      <c r="M620" s="99" t="n">
        <v>44.4</v>
      </c>
      <c r="N620" s="99" t="inlineStr">
        <is>
          <t>N</t>
        </is>
      </c>
      <c r="O620" s="99" t="n">
        <v>82.97</v>
      </c>
      <c r="P620" s="99" t="inlineStr">
        <is>
          <t>N</t>
        </is>
      </c>
      <c r="Q620" s="99" t="inlineStr">
        <is>
          <t>N/A</t>
        </is>
      </c>
      <c r="R620" s="99" t="inlineStr">
        <is>
          <t>N</t>
        </is>
      </c>
      <c r="S620" s="99" t="n">
        <v>-6</v>
      </c>
      <c r="T620" s="99" t="n">
        <v>-11.8</v>
      </c>
      <c r="U620" s="99" t="inlineStr">
        <is>
          <t>N</t>
        </is>
      </c>
      <c r="V620" s="99" t="n">
        <v>85.5</v>
      </c>
      <c r="W620" s="99" t="inlineStr">
        <is>
          <t>N/A</t>
        </is>
      </c>
      <c r="X620" s="99" t="n">
        <v>9.91</v>
      </c>
      <c r="Y620" s="99" t="n">
        <v>31.1</v>
      </c>
      <c r="Z620" s="99" t="n">
        <v>2</v>
      </c>
      <c r="AA620" s="94" t="inlineStr">
        <is>
          <t>AVOID</t>
        </is>
      </c>
    </row>
    <row r="621">
      <c r="A621" s="97" t="inlineStr">
        <is>
          <t>CENTRALBK</t>
        </is>
      </c>
      <c r="B621" s="97" t="inlineStr">
        <is>
          <t>Central Bank of India</t>
        </is>
      </c>
      <c r="C621" s="97" t="inlineStr">
        <is>
          <t>Financial Services</t>
        </is>
      </c>
      <c r="D621" s="97" t="inlineStr">
        <is>
          <t>NSE Smallcap</t>
        </is>
      </c>
      <c r="E621" s="97" t="n">
        <v>31.25</v>
      </c>
      <c r="F621" s="97" t="n">
        <v>0.71</v>
      </c>
      <c r="G621" s="97" t="n">
        <v>7486343</v>
      </c>
      <c r="H621" s="97" t="n">
        <v>0.87</v>
      </c>
      <c r="I621" s="97" t="n">
        <v>28286</v>
      </c>
      <c r="J621" s="97" t="inlineStr">
        <is>
          <t>Y</t>
        </is>
      </c>
      <c r="K621" s="97" t="inlineStr">
        <is>
          <t>N</t>
        </is>
      </c>
      <c r="L621" s="97" t="inlineStr">
        <is>
          <t>N</t>
        </is>
      </c>
      <c r="M621" s="97" t="n">
        <v>42.9</v>
      </c>
      <c r="N621" s="97" t="inlineStr">
        <is>
          <t>N</t>
        </is>
      </c>
      <c r="O621" s="97" t="n">
        <v>0.83</v>
      </c>
      <c r="P621" s="97" t="inlineStr">
        <is>
          <t>N</t>
        </is>
      </c>
      <c r="Q621" s="97" t="inlineStr">
        <is>
          <t>N/A</t>
        </is>
      </c>
      <c r="R621" s="97" t="inlineStr">
        <is>
          <t>N</t>
        </is>
      </c>
      <c r="S621" s="97" t="n">
        <v>-2.7</v>
      </c>
      <c r="T621" s="97" t="n">
        <v>-12.4</v>
      </c>
      <c r="U621" s="97" t="inlineStr">
        <is>
          <t>N</t>
        </is>
      </c>
      <c r="V621" s="97" t="n">
        <v>6.2</v>
      </c>
      <c r="W621" s="97" t="n">
        <v>11.6</v>
      </c>
      <c r="X621" s="97" t="inlineStr">
        <is>
          <t>N/A</t>
        </is>
      </c>
      <c r="Y621" s="97" t="n">
        <v>77.40000000000001</v>
      </c>
      <c r="Z621" s="97" t="n">
        <v>2</v>
      </c>
      <c r="AA621" s="92" t="inlineStr">
        <is>
          <t>AVOID</t>
        </is>
      </c>
    </row>
    <row r="622">
      <c r="A622" s="99" t="inlineStr">
        <is>
          <t>TATACHEM</t>
        </is>
      </c>
      <c r="B622" s="99" t="inlineStr">
        <is>
          <t>Tata Chemicals Ltd.</t>
        </is>
      </c>
      <c r="C622" s="99" t="inlineStr">
        <is>
          <t>Chemicals</t>
        </is>
      </c>
      <c r="D622" s="99" t="inlineStr">
        <is>
          <t>BSE Smallcap</t>
        </is>
      </c>
      <c r="E622" s="99" t="n">
        <v>685.35</v>
      </c>
      <c r="F622" s="99" t="n">
        <v>0.88</v>
      </c>
      <c r="G622" s="99" t="n">
        <v>264678</v>
      </c>
      <c r="H622" s="99" t="n">
        <v>0.79</v>
      </c>
      <c r="I622" s="99" t="n">
        <v>17805</v>
      </c>
      <c r="J622" s="99" t="inlineStr">
        <is>
          <t>Y</t>
        </is>
      </c>
      <c r="K622" s="99" t="inlineStr">
        <is>
          <t>N</t>
        </is>
      </c>
      <c r="L622" s="99" t="inlineStr">
        <is>
          <t>N</t>
        </is>
      </c>
      <c r="M622" s="99" t="n">
        <v>44.5</v>
      </c>
      <c r="N622" s="99" t="inlineStr">
        <is>
          <t>N</t>
        </is>
      </c>
      <c r="O622" s="99" t="n">
        <v>15.04</v>
      </c>
      <c r="P622" s="99" t="inlineStr">
        <is>
          <t>N</t>
        </is>
      </c>
      <c r="Q622" s="99" t="inlineStr">
        <is>
          <t>N/A</t>
        </is>
      </c>
      <c r="R622" s="99" t="inlineStr">
        <is>
          <t>N</t>
        </is>
      </c>
      <c r="S622" s="99" t="n">
        <v>-7.9</v>
      </c>
      <c r="T622" s="99" t="n">
        <v>-12.6</v>
      </c>
      <c r="U622" s="99" t="inlineStr">
        <is>
          <t>N</t>
        </is>
      </c>
      <c r="V622" s="99" t="inlineStr">
        <is>
          <t>N/A</t>
        </is>
      </c>
      <c r="W622" s="99" t="n">
        <v>-7.7</v>
      </c>
      <c r="X622" s="99" t="n">
        <v>36.08</v>
      </c>
      <c r="Y622" s="99" t="n">
        <v>-2192.5</v>
      </c>
      <c r="Z622" s="99" t="n">
        <v>1</v>
      </c>
      <c r="AA622" s="94" t="inlineStr">
        <is>
          <t>AVOID</t>
        </is>
      </c>
    </row>
    <row r="623">
      <c r="A623" s="97" t="inlineStr">
        <is>
          <t>TATAELXSI</t>
        </is>
      </c>
      <c r="B623" s="97" t="inlineStr">
        <is>
          <t>Tata Elxsi Ltd.</t>
        </is>
      </c>
      <c r="C623" s="97" t="inlineStr">
        <is>
          <t>Information Technology</t>
        </is>
      </c>
      <c r="D623" s="97" t="inlineStr">
        <is>
          <t>Large/Midcap</t>
        </is>
      </c>
      <c r="E623" s="97" t="n">
        <v>3538</v>
      </c>
      <c r="F623" s="97" t="n">
        <v>4.44</v>
      </c>
      <c r="G623" s="97" t="n">
        <v>1304975</v>
      </c>
      <c r="H623" s="97" t="n">
        <v>3.15</v>
      </c>
      <c r="I623" s="97" t="n">
        <v>22144</v>
      </c>
      <c r="J623" s="97" t="inlineStr">
        <is>
          <t>Y</t>
        </is>
      </c>
      <c r="K623" s="97" t="inlineStr">
        <is>
          <t>N</t>
        </is>
      </c>
      <c r="L623" s="97" t="inlineStr">
        <is>
          <t>N</t>
        </is>
      </c>
      <c r="M623" s="97" t="n">
        <v>44.1</v>
      </c>
      <c r="N623" s="97" t="inlineStr">
        <is>
          <t>N</t>
        </is>
      </c>
      <c r="O623" s="97" t="n">
        <v>111.31</v>
      </c>
      <c r="P623" s="97" t="inlineStr">
        <is>
          <t>Y</t>
        </is>
      </c>
      <c r="Q623" s="97" t="inlineStr">
        <is>
          <t>N/A</t>
        </is>
      </c>
      <c r="R623" s="97" t="inlineStr">
        <is>
          <t>N</t>
        </is>
      </c>
      <c r="S623" s="97" t="n">
        <v>-11.9</v>
      </c>
      <c r="T623" s="97" t="n">
        <v>-12.8</v>
      </c>
      <c r="U623" s="97" t="inlineStr">
        <is>
          <t>N</t>
        </is>
      </c>
      <c r="V623" s="97" t="n">
        <v>33.8</v>
      </c>
      <c r="W623" s="97" t="inlineStr">
        <is>
          <t>N/A</t>
        </is>
      </c>
      <c r="X623" s="97" t="n">
        <v>5.34</v>
      </c>
      <c r="Y623" s="97" t="n">
        <v>-22.6</v>
      </c>
      <c r="Z623" s="97" t="n">
        <v>2</v>
      </c>
      <c r="AA623" s="92" t="inlineStr">
        <is>
          <t>AVOID</t>
        </is>
      </c>
    </row>
    <row r="624">
      <c r="A624" s="99" t="inlineStr">
        <is>
          <t>CESC</t>
        </is>
      </c>
      <c r="B624" s="99" t="inlineStr">
        <is>
          <t>CESC Ltd.</t>
        </is>
      </c>
      <c r="C624" s="99" t="inlineStr">
        <is>
          <t>Power</t>
        </is>
      </c>
      <c r="D624" s="99" t="inlineStr">
        <is>
          <t>BSE Smallcap</t>
        </is>
      </c>
      <c r="E624" s="99" t="n">
        <v>162.32</v>
      </c>
      <c r="F624" s="99" t="n">
        <v>-0.53</v>
      </c>
      <c r="G624" s="99" t="n">
        <v>766356</v>
      </c>
      <c r="H624" s="99" t="n">
        <v>1.47</v>
      </c>
      <c r="I624" s="99" t="n">
        <v>21517</v>
      </c>
      <c r="J624" s="99" t="inlineStr">
        <is>
          <t>Y</t>
        </is>
      </c>
      <c r="K624" s="99" t="inlineStr">
        <is>
          <t>N</t>
        </is>
      </c>
      <c r="L624" s="99" t="inlineStr">
        <is>
          <t>N</t>
        </is>
      </c>
      <c r="M624" s="99" t="n">
        <v>40.1</v>
      </c>
      <c r="N624" s="99" t="inlineStr">
        <is>
          <t>N</t>
        </is>
      </c>
      <c r="O624" s="99" t="n">
        <v>3.38</v>
      </c>
      <c r="P624" s="99" t="inlineStr">
        <is>
          <t>N</t>
        </is>
      </c>
      <c r="Q624" s="99" t="inlineStr">
        <is>
          <t>N/A</t>
        </is>
      </c>
      <c r="R624" s="99" t="inlineStr">
        <is>
          <t>N</t>
        </is>
      </c>
      <c r="S624" s="99" t="n">
        <v>-3.1</v>
      </c>
      <c r="T624" s="99" t="n">
        <v>-13</v>
      </c>
      <c r="U624" s="99" t="inlineStr">
        <is>
          <t>N</t>
        </is>
      </c>
      <c r="V624" s="99" t="n">
        <v>14</v>
      </c>
      <c r="W624" s="99" t="n">
        <v>12.5</v>
      </c>
      <c r="X624" s="99" t="n">
        <v>164.31</v>
      </c>
      <c r="Y624" s="99" t="n">
        <v>54</v>
      </c>
      <c r="Z624" s="99" t="n">
        <v>2</v>
      </c>
      <c r="AA624" s="94" t="inlineStr">
        <is>
          <t>AVOID</t>
        </is>
      </c>
    </row>
    <row r="625">
      <c r="A625" s="97" t="inlineStr">
        <is>
          <t>JPPOWER</t>
        </is>
      </c>
      <c r="B625" s="97" t="inlineStr">
        <is>
          <t>Jaiprakash Power Ventures Ltd.</t>
        </is>
      </c>
      <c r="C625" s="97" t="inlineStr">
        <is>
          <t>Power</t>
        </is>
      </c>
      <c r="D625" s="97" t="inlineStr">
        <is>
          <t>BSE Smallcap</t>
        </is>
      </c>
      <c r="E625" s="97" t="n">
        <v>17.01</v>
      </c>
      <c r="F625" s="97" t="n">
        <v>0.35</v>
      </c>
      <c r="G625" s="97" t="n">
        <v>28221162</v>
      </c>
      <c r="H625" s="97" t="n">
        <v>0.7</v>
      </c>
      <c r="I625" s="97" t="n">
        <v>11658</v>
      </c>
      <c r="J625" s="97" t="inlineStr">
        <is>
          <t>Y</t>
        </is>
      </c>
      <c r="K625" s="97" t="inlineStr">
        <is>
          <t>N</t>
        </is>
      </c>
      <c r="L625" s="97" t="inlineStr">
        <is>
          <t>N</t>
        </is>
      </c>
      <c r="M625" s="97" t="n">
        <v>41.7</v>
      </c>
      <c r="N625" s="97" t="inlineStr">
        <is>
          <t>N</t>
        </is>
      </c>
      <c r="O625" s="97" t="n">
        <v>0.54</v>
      </c>
      <c r="P625" s="97" t="inlineStr">
        <is>
          <t>N</t>
        </is>
      </c>
      <c r="Q625" s="97" t="inlineStr">
        <is>
          <t>N/A</t>
        </is>
      </c>
      <c r="R625" s="97" t="inlineStr">
        <is>
          <t>N</t>
        </is>
      </c>
      <c r="S625" s="97" t="n">
        <v>-4.9</v>
      </c>
      <c r="T625" s="97" t="n">
        <v>-13.3</v>
      </c>
      <c r="U625" s="97" t="inlineStr">
        <is>
          <t>N</t>
        </is>
      </c>
      <c r="V625" s="97" t="n">
        <v>24.3</v>
      </c>
      <c r="W625" s="97" t="inlineStr">
        <is>
          <t>N/A</t>
        </is>
      </c>
      <c r="X625" s="97" t="n">
        <v>26.63</v>
      </c>
      <c r="Y625" s="97" t="n">
        <v>3606.7</v>
      </c>
      <c r="Z625" s="97" t="n">
        <v>2</v>
      </c>
      <c r="AA625" s="92" t="inlineStr">
        <is>
          <t>AVOID</t>
        </is>
      </c>
    </row>
    <row r="626">
      <c r="A626" s="99" t="inlineStr">
        <is>
          <t>NATIONALUM</t>
        </is>
      </c>
      <c r="B626" s="99" t="inlineStr">
        <is>
          <t>National Aluminium Co. Ltd.</t>
        </is>
      </c>
      <c r="C626" s="99" t="inlineStr">
        <is>
          <t>Metals &amp; Mining</t>
        </is>
      </c>
      <c r="D626" s="99" t="inlineStr">
        <is>
          <t>Large/Midcap</t>
        </is>
      </c>
      <c r="E626" s="99" t="n">
        <v>339.35</v>
      </c>
      <c r="F626" s="99" t="n">
        <v>-1.32</v>
      </c>
      <c r="G626" s="99" t="n">
        <v>3868006</v>
      </c>
      <c r="H626" s="99" t="n">
        <v>1.03</v>
      </c>
      <c r="I626" s="99" t="n">
        <v>62326</v>
      </c>
      <c r="J626" s="99" t="inlineStr">
        <is>
          <t>Y</t>
        </is>
      </c>
      <c r="K626" s="99" t="inlineStr">
        <is>
          <t>N</t>
        </is>
      </c>
      <c r="L626" s="99" t="inlineStr">
        <is>
          <t>N</t>
        </is>
      </c>
      <c r="M626" s="99" t="n">
        <v>47.4</v>
      </c>
      <c r="N626" s="99" t="inlineStr">
        <is>
          <t>N</t>
        </is>
      </c>
      <c r="O626" s="99" t="n">
        <v>9.890000000000001</v>
      </c>
      <c r="P626" s="99" t="inlineStr">
        <is>
          <t>N</t>
        </is>
      </c>
      <c r="Q626" s="99" t="inlineStr">
        <is>
          <t>N/A</t>
        </is>
      </c>
      <c r="R626" s="99" t="inlineStr">
        <is>
          <t>N</t>
        </is>
      </c>
      <c r="S626" s="99" t="n">
        <v>2.4</v>
      </c>
      <c r="T626" s="99" t="n">
        <v>-14.2</v>
      </c>
      <c r="U626" s="99" t="inlineStr">
        <is>
          <t>N</t>
        </is>
      </c>
      <c r="V626" s="99" t="n">
        <v>10.3</v>
      </c>
      <c r="W626" s="99" t="n">
        <v>29.4</v>
      </c>
      <c r="X626" s="99" t="n">
        <v>0.28</v>
      </c>
      <c r="Y626" s="99" t="n">
        <v>11.6</v>
      </c>
      <c r="Z626" s="99" t="n">
        <v>3</v>
      </c>
      <c r="AA626" s="94" t="inlineStr">
        <is>
          <t>AVOID</t>
        </is>
      </c>
    </row>
    <row r="627">
      <c r="A627" s="97" t="inlineStr">
        <is>
          <t>SARDAEN</t>
        </is>
      </c>
      <c r="B627" s="97" t="inlineStr">
        <is>
          <t>Sarda Energy and Minerals Ltd.</t>
        </is>
      </c>
      <c r="C627" s="97" t="inlineStr">
        <is>
          <t>Metals &amp; Mining</t>
        </is>
      </c>
      <c r="D627" s="97" t="inlineStr">
        <is>
          <t>BSE Smallcap</t>
        </is>
      </c>
      <c r="E627" s="97" t="n">
        <v>502.25</v>
      </c>
      <c r="F627" s="97" t="n">
        <v>-0.04</v>
      </c>
      <c r="G627" s="97" t="n">
        <v>131350</v>
      </c>
      <c r="H627" s="97" t="n">
        <v>0.75</v>
      </c>
      <c r="I627" s="97" t="n">
        <v>18052</v>
      </c>
      <c r="J627" s="97" t="inlineStr">
        <is>
          <t>Y</t>
        </is>
      </c>
      <c r="K627" s="97" t="inlineStr">
        <is>
          <t>N</t>
        </is>
      </c>
      <c r="L627" s="97" t="inlineStr">
        <is>
          <t>N</t>
        </is>
      </c>
      <c r="M627" s="97" t="n">
        <v>47.9</v>
      </c>
      <c r="N627" s="97" t="inlineStr">
        <is>
          <t>N</t>
        </is>
      </c>
      <c r="O627" s="97" t="n">
        <v>11.5</v>
      </c>
      <c r="P627" s="97" t="inlineStr">
        <is>
          <t>N</t>
        </is>
      </c>
      <c r="Q627" s="97" t="inlineStr">
        <is>
          <t>N/A</t>
        </is>
      </c>
      <c r="R627" s="97" t="inlineStr">
        <is>
          <t>N</t>
        </is>
      </c>
      <c r="S627" s="97" t="n">
        <v>-3.4</v>
      </c>
      <c r="T627" s="97" t="n">
        <v>-14.9</v>
      </c>
      <c r="U627" s="97" t="inlineStr">
        <is>
          <t>N</t>
        </is>
      </c>
      <c r="V627" s="97" t="n">
        <v>16.3</v>
      </c>
      <c r="W627" s="97" t="n">
        <v>16</v>
      </c>
      <c r="X627" s="97" t="n">
        <v>35.2</v>
      </c>
      <c r="Y627" s="97" t="n">
        <v>-17</v>
      </c>
      <c r="Z627" s="97" t="n">
        <v>2</v>
      </c>
      <c r="AA627" s="92" t="inlineStr">
        <is>
          <t>AVOID</t>
        </is>
      </c>
    </row>
    <row r="628">
      <c r="A628" s="99" t="inlineStr">
        <is>
          <t>IRFC</t>
        </is>
      </c>
      <c r="B628" s="99" t="inlineStr">
        <is>
          <t>Indian Railway Finance Corporation Ltd.</t>
        </is>
      </c>
      <c r="C628" s="99" t="inlineStr">
        <is>
          <t>Financial Services</t>
        </is>
      </c>
      <c r="D628" s="99" t="inlineStr">
        <is>
          <t>Large/Midcap</t>
        </is>
      </c>
      <c r="E628" s="99" t="n">
        <v>88.13</v>
      </c>
      <c r="F628" s="99" t="n">
        <v>0.58</v>
      </c>
      <c r="G628" s="99" t="n">
        <v>5143354</v>
      </c>
      <c r="H628" s="99" t="n">
        <v>0.84</v>
      </c>
      <c r="I628" s="99" t="n">
        <v>115173</v>
      </c>
      <c r="J628" s="99" t="inlineStr">
        <is>
          <t>Y</t>
        </is>
      </c>
      <c r="K628" s="99" t="inlineStr">
        <is>
          <t>N</t>
        </is>
      </c>
      <c r="L628" s="99" t="inlineStr">
        <is>
          <t>N</t>
        </is>
      </c>
      <c r="M628" s="99" t="n">
        <v>40.8</v>
      </c>
      <c r="N628" s="99" t="inlineStr">
        <is>
          <t>N</t>
        </is>
      </c>
      <c r="O628" s="99" t="n">
        <v>1.41</v>
      </c>
      <c r="P628" s="99" t="inlineStr">
        <is>
          <t>N</t>
        </is>
      </c>
      <c r="Q628" s="99" t="inlineStr">
        <is>
          <t>N/A</t>
        </is>
      </c>
      <c r="R628" s="99" t="inlineStr">
        <is>
          <t>N</t>
        </is>
      </c>
      <c r="S628" s="99" t="n">
        <v>-3.7</v>
      </c>
      <c r="T628" s="99" t="n">
        <v>-15</v>
      </c>
      <c r="U628" s="99" t="inlineStr">
        <is>
          <t>N</t>
        </is>
      </c>
      <c r="V628" s="99" t="n">
        <v>16.4</v>
      </c>
      <c r="W628" s="99" t="n">
        <v>12.8</v>
      </c>
      <c r="X628" s="99" t="n">
        <v>773.35</v>
      </c>
      <c r="Y628" s="99" t="n">
        <v>-6.5</v>
      </c>
      <c r="Z628" s="99" t="n">
        <v>1</v>
      </c>
      <c r="AA628" s="94" t="inlineStr">
        <is>
          <t>AVOID</t>
        </is>
      </c>
    </row>
    <row r="629">
      <c r="A629" s="97" t="inlineStr">
        <is>
          <t>ONGC</t>
        </is>
      </c>
      <c r="B629" s="97" t="inlineStr">
        <is>
          <t>Oil &amp; Natural Gas Corporation Ltd.</t>
        </is>
      </c>
      <c r="C629" s="97" t="inlineStr">
        <is>
          <t>Oil Gas &amp; Consumable Fuels</t>
        </is>
      </c>
      <c r="D629" s="97" t="inlineStr">
        <is>
          <t>Large/Midcap</t>
        </is>
      </c>
      <c r="E629" s="97" t="n">
        <v>238.56</v>
      </c>
      <c r="F629" s="97" t="n">
        <v>-4.1</v>
      </c>
      <c r="G629" s="97" t="n">
        <v>19910285</v>
      </c>
      <c r="H629" s="97" t="n">
        <v>2.16</v>
      </c>
      <c r="I629" s="97" t="n">
        <v>300115</v>
      </c>
      <c r="J629" s="97" t="inlineStr">
        <is>
          <t>Y</t>
        </is>
      </c>
      <c r="K629" s="97" t="inlineStr">
        <is>
          <t>N</t>
        </is>
      </c>
      <c r="L629" s="97" t="inlineStr">
        <is>
          <t>N</t>
        </is>
      </c>
      <c r="M629" s="97" t="n">
        <v>41.5</v>
      </c>
      <c r="N629" s="97" t="inlineStr">
        <is>
          <t>N</t>
        </is>
      </c>
      <c r="O629" s="97" t="n">
        <v>4.4</v>
      </c>
      <c r="P629" s="97" t="inlineStr">
        <is>
          <t>N</t>
        </is>
      </c>
      <c r="Q629" s="97" t="inlineStr">
        <is>
          <t>N/A</t>
        </is>
      </c>
      <c r="R629" s="97" t="inlineStr">
        <is>
          <t>N</t>
        </is>
      </c>
      <c r="S629" s="97" t="n">
        <v>2.6</v>
      </c>
      <c r="T629" s="97" t="n">
        <v>-20</v>
      </c>
      <c r="U629" s="97" t="inlineStr">
        <is>
          <t>N</t>
        </is>
      </c>
      <c r="V629" s="97" t="n">
        <v>7.6</v>
      </c>
      <c r="W629" s="97" t="n">
        <v>12.7</v>
      </c>
      <c r="X629" s="97" t="n">
        <v>42.55</v>
      </c>
      <c r="Y629" s="97" t="n">
        <v>8</v>
      </c>
      <c r="Z629" s="97" t="n">
        <v>2</v>
      </c>
      <c r="AA629" s="92" t="inlineStr">
        <is>
          <t>AVOID</t>
        </is>
      </c>
    </row>
    <row r="630">
      <c r="A630" s="99" t="inlineStr">
        <is>
          <t>KAYNES</t>
        </is>
      </c>
      <c r="B630" s="99" t="inlineStr">
        <is>
          <t>Kaynes Technology India Ltd.</t>
        </is>
      </c>
      <c r="C630" s="99" t="inlineStr">
        <is>
          <t>Capital Goods</t>
        </is>
      </c>
      <c r="D630" s="99" t="inlineStr">
        <is>
          <t>BSE Smallcap</t>
        </is>
      </c>
      <c r="E630" s="99" t="n">
        <v>3181.3</v>
      </c>
      <c r="F630" s="99" t="n">
        <v>0.16</v>
      </c>
      <c r="G630" s="99" t="n">
        <v>614724</v>
      </c>
      <c r="H630" s="99" t="n">
        <v>0.95</v>
      </c>
      <c r="I630" s="99" t="n">
        <v>21326</v>
      </c>
      <c r="J630" s="99" t="inlineStr">
        <is>
          <t>Y</t>
        </is>
      </c>
      <c r="K630" s="99" t="inlineStr">
        <is>
          <t>N</t>
        </is>
      </c>
      <c r="L630" s="99" t="inlineStr">
        <is>
          <t>N</t>
        </is>
      </c>
      <c r="M630" s="99" t="n">
        <v>42.5</v>
      </c>
      <c r="N630" s="99" t="inlineStr">
        <is>
          <t>N</t>
        </is>
      </c>
      <c r="O630" s="99" t="n">
        <v>103.38</v>
      </c>
      <c r="P630" s="99" t="inlineStr">
        <is>
          <t>N</t>
        </is>
      </c>
      <c r="Q630" s="99" t="inlineStr">
        <is>
          <t>N/A</t>
        </is>
      </c>
      <c r="R630" s="99" t="inlineStr">
        <is>
          <t>N</t>
        </is>
      </c>
      <c r="S630" s="99" t="n">
        <v>-2.3</v>
      </c>
      <c r="T630" s="99" t="n">
        <v>-20.9</v>
      </c>
      <c r="U630" s="99" t="inlineStr">
        <is>
          <t>N</t>
        </is>
      </c>
      <c r="V630" s="99" t="n">
        <v>58.5</v>
      </c>
      <c r="W630" s="99" t="n">
        <v>9.6</v>
      </c>
      <c r="X630" s="99" t="n">
        <v>19.17</v>
      </c>
      <c r="Y630" s="99" t="n">
        <v>19</v>
      </c>
      <c r="Z630" s="99" t="n">
        <v>2</v>
      </c>
      <c r="AA630" s="94" t="inlineStr">
        <is>
          <t>AVOID</t>
        </is>
      </c>
    </row>
    <row r="631">
      <c r="A631" s="97" t="inlineStr">
        <is>
          <t>JAINREC</t>
        </is>
      </c>
      <c r="B631" s="97" t="inlineStr">
        <is>
          <t>Jain Resource Recycling Ltd.</t>
        </is>
      </c>
      <c r="C631" s="97" t="inlineStr">
        <is>
          <t>Metals &amp; Mining</t>
        </is>
      </c>
      <c r="D631" s="97" t="inlineStr">
        <is>
          <t>NSE Smallcap</t>
        </is>
      </c>
      <c r="E631" s="97" t="n">
        <v>338.45</v>
      </c>
      <c r="F631" s="97" t="n">
        <v>-0.75</v>
      </c>
      <c r="G631" s="97" t="n">
        <v>721453</v>
      </c>
      <c r="H631" s="97" t="n">
        <v>0.78</v>
      </c>
      <c r="I631" s="97" t="n">
        <v>11679</v>
      </c>
      <c r="J631" s="97" t="inlineStr">
        <is>
          <t>Y</t>
        </is>
      </c>
      <c r="K631" s="97" t="inlineStr">
        <is>
          <t>N</t>
        </is>
      </c>
      <c r="L631" s="97" t="inlineStr">
        <is>
          <t>N</t>
        </is>
      </c>
      <c r="M631" s="97" t="n">
        <v>44</v>
      </c>
      <c r="N631" s="97" t="inlineStr">
        <is>
          <t>N</t>
        </is>
      </c>
      <c r="O631" s="97" t="n">
        <v>13.49</v>
      </c>
      <c r="P631" s="97" t="inlineStr">
        <is>
          <t>N</t>
        </is>
      </c>
      <c r="Q631" s="97" t="inlineStr">
        <is>
          <t>N/A</t>
        </is>
      </c>
      <c r="R631" s="97" t="inlineStr">
        <is>
          <t>N</t>
        </is>
      </c>
      <c r="S631" s="97" t="n">
        <v>-2.9</v>
      </c>
      <c r="T631" s="97" t="n">
        <v>-25.9</v>
      </c>
      <c r="U631" s="97" t="inlineStr">
        <is>
          <t>N</t>
        </is>
      </c>
      <c r="V631" s="97" t="n">
        <v>32.8</v>
      </c>
      <c r="W631" s="97" t="n">
        <v>28.7</v>
      </c>
      <c r="X631" s="97" t="n">
        <v>81.89</v>
      </c>
      <c r="Y631" s="97" t="n">
        <v>-48.2</v>
      </c>
      <c r="Z631" s="97" t="n">
        <v>2</v>
      </c>
      <c r="AA631" s="92" t="inlineStr">
        <is>
          <t>AVOID</t>
        </is>
      </c>
    </row>
    <row r="633">
      <c r="A633" s="89" t="inlineStr">
        <is>
          <t>TOP CANDIDATES — DEEP DIVE (trend, entry/stop/targets) — top 25</t>
        </is>
      </c>
    </row>
    <row r="634" ht="32" customHeight="1" s="45">
      <c r="A634" s="90" t="inlineStr">
        <is>
          <t>Symbol</t>
        </is>
      </c>
      <c r="B634" s="90" t="inlineStr">
        <is>
          <t>Name</t>
        </is>
      </c>
      <c r="C634" s="90" t="inlineStr">
        <is>
          <t>Cap Segment</t>
        </is>
      </c>
      <c r="D634" s="90" t="inlineStr">
        <is>
          <t>Close</t>
        </is>
      </c>
      <c r="E634" s="90" t="inlineStr">
        <is>
          <t>Score</t>
        </is>
      </c>
      <c r="F634" s="90" t="inlineStr">
        <is>
          <t>Verdict</t>
        </is>
      </c>
      <c r="G634" s="90" t="inlineStr">
        <is>
          <t>Vol Ratio (vs 3d avg)</t>
        </is>
      </c>
      <c r="H634" s="90" t="inlineStr">
        <is>
          <t>ADX(14)</t>
        </is>
      </c>
      <c r="I634" s="90" t="inlineStr">
        <is>
          <t>Trend Strength</t>
        </is>
      </c>
      <c r="J634" s="90" t="inlineStr">
        <is>
          <t>Trend Direction</t>
        </is>
      </c>
      <c r="K634" s="90" t="inlineStr">
        <is>
          <t>20d Slope %/day</t>
        </is>
      </c>
      <c r="L634" s="90" t="inlineStr">
        <is>
          <t>Trend R^2</t>
        </is>
      </c>
      <c r="M634" s="90" t="inlineStr">
        <is>
          <t>Trend Quality (ADX x R^2)</t>
        </is>
      </c>
      <c r="N634" s="90" t="inlineStr">
        <is>
          <t>Entry</t>
        </is>
      </c>
      <c r="O634" s="90" t="inlineStr">
        <is>
          <t>Stop Loss</t>
        </is>
      </c>
      <c r="P634" s="90" t="inlineStr">
        <is>
          <t>Target 1</t>
        </is>
      </c>
      <c r="Q634" s="90" t="inlineStr">
        <is>
          <t>Target 2</t>
        </is>
      </c>
      <c r="R634" s="90" t="inlineStr">
        <is>
          <t>Risk:Reward T1/T2</t>
        </is>
      </c>
    </row>
    <row r="635">
      <c r="A635" s="97" t="inlineStr">
        <is>
          <t>CAPLIPOINT</t>
        </is>
      </c>
      <c r="B635" s="97" t="inlineStr">
        <is>
          <t>Caplin Point Laboratories Ltd.</t>
        </is>
      </c>
      <c r="C635" s="97" t="inlineStr">
        <is>
          <t>BSE Smallcap</t>
        </is>
      </c>
      <c r="D635" s="97" t="n">
        <v>2621.4</v>
      </c>
      <c r="E635" s="97" t="n">
        <v>8</v>
      </c>
      <c r="F635" s="97" t="inlineStr">
        <is>
          <t>STRONG SETUP</t>
        </is>
      </c>
      <c r="G635" s="97" t="n">
        <v>3.17</v>
      </c>
      <c r="H635" s="97" t="n">
        <v>33</v>
      </c>
      <c r="I635" s="97" t="inlineStr">
        <is>
          <t>Moderate</t>
        </is>
      </c>
      <c r="J635" s="97" t="inlineStr">
        <is>
          <t>Downtrend</t>
        </is>
      </c>
      <c r="K635" s="97" t="n">
        <v>-0.05</v>
      </c>
      <c r="L635" s="97" t="n">
        <v>0.01</v>
      </c>
      <c r="M635" s="97" t="n">
        <v>0.5</v>
      </c>
      <c r="N635" s="97" t="n">
        <v>2621.4</v>
      </c>
      <c r="O635" s="97" t="n">
        <v>2772.48</v>
      </c>
      <c r="P635" s="97" t="n">
        <v>2470.32</v>
      </c>
      <c r="Q635" s="97" t="n">
        <v>2319.24</v>
      </c>
      <c r="R635" s="97" t="inlineStr">
        <is>
          <t>1:1 / 1:2</t>
        </is>
      </c>
    </row>
    <row r="636">
      <c r="A636" s="99" t="inlineStr">
        <is>
          <t>CREDITACC</t>
        </is>
      </c>
      <c r="B636" s="99" t="inlineStr">
        <is>
          <t>CreditAccess Grameen Ltd.</t>
        </is>
      </c>
      <c r="C636" s="99" t="inlineStr">
        <is>
          <t>BSE Smallcap</t>
        </is>
      </c>
      <c r="D636" s="99" t="n">
        <v>1591.1</v>
      </c>
      <c r="E636" s="99" t="n">
        <v>8</v>
      </c>
      <c r="F636" s="99" t="inlineStr">
        <is>
          <t>STRONG SETUP</t>
        </is>
      </c>
      <c r="G636" s="99" t="n">
        <v>15.72</v>
      </c>
      <c r="H636" s="99" t="n">
        <v>25.1</v>
      </c>
      <c r="I636" s="99" t="inlineStr">
        <is>
          <t>Moderate</t>
        </is>
      </c>
      <c r="J636" s="99" t="inlineStr">
        <is>
          <t>Downtrend</t>
        </is>
      </c>
      <c r="K636" s="99" t="n">
        <v>-0.08</v>
      </c>
      <c r="L636" s="99" t="n">
        <v>0.03</v>
      </c>
      <c r="M636" s="99" t="n">
        <v>0.8</v>
      </c>
      <c r="N636" s="99" t="n">
        <v>1591.1</v>
      </c>
      <c r="O636" s="99" t="n">
        <v>1669.47</v>
      </c>
      <c r="P636" s="99" t="n">
        <v>1512.72</v>
      </c>
      <c r="Q636" s="99" t="n">
        <v>1434.35</v>
      </c>
      <c r="R636" s="99" t="inlineStr">
        <is>
          <t>1:1 / 1:2</t>
        </is>
      </c>
    </row>
    <row r="637">
      <c r="A637" s="97" t="inlineStr">
        <is>
          <t>EMCURE</t>
        </is>
      </c>
      <c r="B637" s="97" t="inlineStr">
        <is>
          <t>Emcure Pharmaceuticals Ltd.</t>
        </is>
      </c>
      <c r="C637" s="97" t="inlineStr">
        <is>
          <t>BSE Smallcap</t>
        </is>
      </c>
      <c r="D637" s="97" t="n">
        <v>1924.8</v>
      </c>
      <c r="E637" s="97" t="n">
        <v>8</v>
      </c>
      <c r="F637" s="97" t="inlineStr">
        <is>
          <t>STRONG SETUP</t>
        </is>
      </c>
      <c r="G637" s="97" t="n">
        <v>2.8</v>
      </c>
      <c r="H637" s="97" t="n">
        <v>31</v>
      </c>
      <c r="I637" s="97" t="inlineStr">
        <is>
          <t>Moderate</t>
        </is>
      </c>
      <c r="J637" s="97" t="inlineStr">
        <is>
          <t>Uptrend</t>
        </is>
      </c>
      <c r="K637" s="97" t="n">
        <v>0.17</v>
      </c>
      <c r="L637" s="97" t="n">
        <v>0.2</v>
      </c>
      <c r="M637" s="97" t="n">
        <v>6.3</v>
      </c>
      <c r="N637" s="97" t="n">
        <v>1924.8</v>
      </c>
      <c r="O637" s="97" t="n">
        <v>1840.53</v>
      </c>
      <c r="P637" s="97" t="n">
        <v>2009.07</v>
      </c>
      <c r="Q637" s="97" t="n">
        <v>2093.34</v>
      </c>
      <c r="R637" s="97" t="inlineStr">
        <is>
          <t>1:1 / 1:2</t>
        </is>
      </c>
    </row>
    <row r="638">
      <c r="A638" s="99" t="inlineStr">
        <is>
          <t>MEDANTA</t>
        </is>
      </c>
      <c r="B638" s="99" t="inlineStr">
        <is>
          <t>Global Health Ltd.</t>
        </is>
      </c>
      <c r="C638" s="99" t="inlineStr">
        <is>
          <t>Large/Midcap</t>
        </is>
      </c>
      <c r="D638" s="99" t="n">
        <v>1407.2</v>
      </c>
      <c r="E638" s="99" t="n">
        <v>8</v>
      </c>
      <c r="F638" s="99" t="inlineStr">
        <is>
          <t>STRONG SETUP</t>
        </is>
      </c>
      <c r="G638" s="99" t="n">
        <v>0.66</v>
      </c>
      <c r="H638" s="99" t="n">
        <v>20.7</v>
      </c>
      <c r="I638" s="99" t="inlineStr">
        <is>
          <t>Moderate</t>
        </is>
      </c>
      <c r="J638" s="99" t="inlineStr">
        <is>
          <t>Uptrend</t>
        </is>
      </c>
      <c r="K638" s="99" t="n">
        <v>0.17</v>
      </c>
      <c r="L638" s="99" t="n">
        <v>0.31</v>
      </c>
      <c r="M638" s="99" t="n">
        <v>6.4</v>
      </c>
      <c r="N638" s="99" t="n">
        <v>1407.2</v>
      </c>
      <c r="O638" s="99" t="n">
        <v>1356.18</v>
      </c>
      <c r="P638" s="99" t="n">
        <v>1458.22</v>
      </c>
      <c r="Q638" s="99" t="n">
        <v>1509.24</v>
      </c>
      <c r="R638" s="99" t="inlineStr">
        <is>
          <t>1:1 / 1:2</t>
        </is>
      </c>
    </row>
    <row r="639">
      <c r="A639" s="97" t="inlineStr">
        <is>
          <t>NH</t>
        </is>
      </c>
      <c r="B639" s="97" t="inlineStr">
        <is>
          <t>Narayana Hrudayalaya Ltd.</t>
        </is>
      </c>
      <c r="C639" s="97" t="inlineStr">
        <is>
          <t>BSE Smallcap</t>
        </is>
      </c>
      <c r="D639" s="97" t="n">
        <v>2054</v>
      </c>
      <c r="E639" s="97" t="n">
        <v>8</v>
      </c>
      <c r="F639" s="97" t="inlineStr">
        <is>
          <t>STRONG SETUP</t>
        </is>
      </c>
      <c r="G639" s="97" t="n">
        <v>2</v>
      </c>
      <c r="H639" s="97" t="n">
        <v>18.7</v>
      </c>
      <c r="I639" s="97" t="inlineStr">
        <is>
          <t>Weak / Range-bound</t>
        </is>
      </c>
      <c r="J639" s="97" t="inlineStr">
        <is>
          <t>Uptrend</t>
        </is>
      </c>
      <c r="K639" s="97" t="n">
        <v>0.08</v>
      </c>
      <c r="L639" s="97" t="n">
        <v>0.12</v>
      </c>
      <c r="M639" s="97" t="n">
        <v>2.3</v>
      </c>
      <c r="N639" s="97" t="n">
        <v>2054</v>
      </c>
      <c r="O639" s="97" t="n">
        <v>1984.25</v>
      </c>
      <c r="P639" s="97" t="n">
        <v>2123.75</v>
      </c>
      <c r="Q639" s="97" t="n">
        <v>2193.5</v>
      </c>
      <c r="R639" s="97" t="inlineStr">
        <is>
          <t>1:1 / 1:2</t>
        </is>
      </c>
    </row>
    <row r="640">
      <c r="A640" s="99" t="inlineStr">
        <is>
          <t>RRKABEL</t>
        </is>
      </c>
      <c r="B640" s="99" t="inlineStr">
        <is>
          <t>R R Kabel Ltd.</t>
        </is>
      </c>
      <c r="C640" s="99" t="inlineStr">
        <is>
          <t>BSE Smallcap</t>
        </is>
      </c>
      <c r="D640" s="99" t="n">
        <v>2493.6</v>
      </c>
      <c r="E640" s="99" t="n">
        <v>8</v>
      </c>
      <c r="F640" s="99" t="inlineStr">
        <is>
          <t>STRONG SETUP</t>
        </is>
      </c>
      <c r="G640" s="99" t="n">
        <v>1.33</v>
      </c>
      <c r="H640" s="99" t="n">
        <v>13.8</v>
      </c>
      <c r="I640" s="99" t="inlineStr">
        <is>
          <t>Weak / Range-bound</t>
        </is>
      </c>
      <c r="J640" s="99" t="inlineStr">
        <is>
          <t>Uptrend</t>
        </is>
      </c>
      <c r="K640" s="99" t="n">
        <v>0.07000000000000001</v>
      </c>
      <c r="L640" s="99" t="n">
        <v>0.01</v>
      </c>
      <c r="M640" s="99" t="n">
        <v>0.2</v>
      </c>
      <c r="N640" s="99" t="n">
        <v>2493.6</v>
      </c>
      <c r="O640" s="99" t="n">
        <v>2328.71</v>
      </c>
      <c r="P640" s="99" t="n">
        <v>2658.49</v>
      </c>
      <c r="Q640" s="99" t="n">
        <v>2823.39</v>
      </c>
      <c r="R640" s="99" t="inlineStr">
        <is>
          <t>1:1 / 1:2</t>
        </is>
      </c>
    </row>
    <row r="641">
      <c r="A641" s="97" t="inlineStr">
        <is>
          <t>CPPLUS</t>
        </is>
      </c>
      <c r="B641" s="97" t="inlineStr">
        <is>
          <t>Aditya Infotech Ltd.</t>
        </is>
      </c>
      <c r="C641" s="97" t="inlineStr">
        <is>
          <t>BSE Smallcap</t>
        </is>
      </c>
      <c r="D641" s="97" t="n">
        <v>3557.8</v>
      </c>
      <c r="E641" s="97" t="n">
        <v>7</v>
      </c>
      <c r="F641" s="97" t="inlineStr">
        <is>
          <t>STRONG SETUP</t>
        </is>
      </c>
      <c r="G641" s="97" t="n">
        <v>0.8</v>
      </c>
      <c r="H641" s="97" t="n">
        <v>15.8</v>
      </c>
      <c r="I641" s="97" t="inlineStr">
        <is>
          <t>Weak / Range-bound</t>
        </is>
      </c>
      <c r="J641" s="97" t="inlineStr">
        <is>
          <t>Downtrend</t>
        </is>
      </c>
      <c r="K641" s="97" t="n">
        <v>-0.04</v>
      </c>
      <c r="L641" s="97" t="n">
        <v>0.01</v>
      </c>
      <c r="M641" s="97" t="n">
        <v>0.2</v>
      </c>
      <c r="N641" s="97" t="n">
        <v>3557.8</v>
      </c>
      <c r="O641" s="97" t="n">
        <v>3784.75</v>
      </c>
      <c r="P641" s="97" t="n">
        <v>3330.85</v>
      </c>
      <c r="Q641" s="97" t="n">
        <v>3103.9</v>
      </c>
      <c r="R641" s="97" t="inlineStr">
        <is>
          <t>1:1 / 1:2</t>
        </is>
      </c>
    </row>
    <row r="642">
      <c r="A642" s="99" t="inlineStr">
        <is>
          <t>ATUL</t>
        </is>
      </c>
      <c r="B642" s="99" t="inlineStr">
        <is>
          <t>Atul Ltd.</t>
        </is>
      </c>
      <c r="C642" s="99" t="inlineStr">
        <is>
          <t>BSE Smallcap</t>
        </is>
      </c>
      <c r="D642" s="99" t="n">
        <v>6789.5</v>
      </c>
      <c r="E642" s="99" t="n">
        <v>7</v>
      </c>
      <c r="F642" s="99" t="inlineStr">
        <is>
          <t>STRONG SETUP</t>
        </is>
      </c>
      <c r="G642" s="99" t="n">
        <v>2</v>
      </c>
      <c r="H642" s="99" t="n">
        <v>34.4</v>
      </c>
      <c r="I642" s="99" t="inlineStr">
        <is>
          <t>Moderate</t>
        </is>
      </c>
      <c r="J642" s="99" t="inlineStr">
        <is>
          <t>Downtrend</t>
        </is>
      </c>
      <c r="K642" s="99" t="n">
        <v>-0.14</v>
      </c>
      <c r="L642" s="99" t="n">
        <v>0.08</v>
      </c>
      <c r="M642" s="99" t="n">
        <v>2.6</v>
      </c>
      <c r="N642" s="99" t="n">
        <v>6789.5</v>
      </c>
      <c r="O642" s="99" t="n">
        <v>7108.23</v>
      </c>
      <c r="P642" s="99" t="n">
        <v>6470.77</v>
      </c>
      <c r="Q642" s="99" t="n">
        <v>6152.04</v>
      </c>
      <c r="R642" s="99" t="inlineStr">
        <is>
          <t>1:1 / 1:2</t>
        </is>
      </c>
    </row>
    <row r="643">
      <c r="A643" s="97" t="inlineStr">
        <is>
          <t>BAJFINANCE</t>
        </is>
      </c>
      <c r="B643" s="97" t="inlineStr">
        <is>
          <t>Bajaj Finance Ltd.</t>
        </is>
      </c>
      <c r="C643" s="97" t="inlineStr">
        <is>
          <t>Large/Midcap</t>
        </is>
      </c>
      <c r="D643" s="97" t="n">
        <v>1048.3</v>
      </c>
      <c r="E643" s="97" t="n">
        <v>7</v>
      </c>
      <c r="F643" s="97" t="inlineStr">
        <is>
          <t>STRONG SETUP</t>
        </is>
      </c>
      <c r="G643" s="97" t="n">
        <v>0.6899999999999999</v>
      </c>
      <c r="H643" s="97" t="n">
        <v>38.6</v>
      </c>
      <c r="I643" s="97" t="inlineStr">
        <is>
          <t>Moderate</t>
        </is>
      </c>
      <c r="J643" s="97" t="inlineStr">
        <is>
          <t>Uptrend</t>
        </is>
      </c>
      <c r="K643" s="97" t="n">
        <v>0.19</v>
      </c>
      <c r="L643" s="97" t="n">
        <v>0.31</v>
      </c>
      <c r="M643" s="97" t="n">
        <v>12.1</v>
      </c>
      <c r="N643" s="97" t="n">
        <v>1048.3</v>
      </c>
      <c r="O643" s="97" t="n">
        <v>1009.7</v>
      </c>
      <c r="P643" s="97" t="n">
        <v>1086.9</v>
      </c>
      <c r="Q643" s="97" t="n">
        <v>1125.51</v>
      </c>
      <c r="R643" s="97" t="inlineStr">
        <is>
          <t>1:1 / 1:2</t>
        </is>
      </c>
    </row>
    <row r="644">
      <c r="A644" s="99" t="inlineStr">
        <is>
          <t>BLUEJET</t>
        </is>
      </c>
      <c r="B644" s="99" t="inlineStr">
        <is>
          <t>Blue Jet Healthcare Ltd.</t>
        </is>
      </c>
      <c r="C644" s="99" t="inlineStr">
        <is>
          <t>NSE Smallcap</t>
        </is>
      </c>
      <c r="D644" s="99" t="n">
        <v>566.9</v>
      </c>
      <c r="E644" s="99" t="n">
        <v>7</v>
      </c>
      <c r="F644" s="99" t="inlineStr">
        <is>
          <t>STRONG SETUP</t>
        </is>
      </c>
      <c r="G644" s="99" t="n">
        <v>2.45</v>
      </c>
      <c r="H644" s="99" t="n">
        <v>56.4</v>
      </c>
      <c r="I644" s="99" t="inlineStr">
        <is>
          <t>Strong</t>
        </is>
      </c>
      <c r="J644" s="99" t="inlineStr">
        <is>
          <t>Uptrend</t>
        </is>
      </c>
      <c r="K644" s="99" t="n">
        <v>0.48</v>
      </c>
      <c r="L644" s="99" t="n">
        <v>0.37</v>
      </c>
      <c r="M644" s="99" t="n">
        <v>21</v>
      </c>
      <c r="N644" s="99" t="n">
        <v>566.9</v>
      </c>
      <c r="O644" s="99" t="n">
        <v>530.51</v>
      </c>
      <c r="P644" s="99" t="n">
        <v>603.29</v>
      </c>
      <c r="Q644" s="99" t="n">
        <v>639.67</v>
      </c>
      <c r="R644" s="99" t="inlineStr">
        <is>
          <t>1:1 / 1:2</t>
        </is>
      </c>
    </row>
    <row r="645">
      <c r="A645" s="97" t="inlineStr">
        <is>
          <t>CGCL</t>
        </is>
      </c>
      <c r="B645" s="97" t="inlineStr">
        <is>
          <t>Capri Global Capital Ltd.</t>
        </is>
      </c>
      <c r="C645" s="97" t="inlineStr">
        <is>
          <t>BSE Smallcap</t>
        </is>
      </c>
      <c r="D645" s="97" t="n">
        <v>244.27</v>
      </c>
      <c r="E645" s="97" t="n">
        <v>7</v>
      </c>
      <c r="F645" s="97" t="inlineStr">
        <is>
          <t>STRONG SETUP</t>
        </is>
      </c>
      <c r="G645" s="97" t="n">
        <v>0.9399999999999999</v>
      </c>
      <c r="H645" s="97" t="n">
        <v>69.90000000000001</v>
      </c>
      <c r="I645" s="97" t="inlineStr">
        <is>
          <t>Strong</t>
        </is>
      </c>
      <c r="J645" s="97" t="inlineStr">
        <is>
          <t>Uptrend</t>
        </is>
      </c>
      <c r="K645" s="97" t="n">
        <v>0.4</v>
      </c>
      <c r="L645" s="97" t="n">
        <v>0.28</v>
      </c>
      <c r="M645" s="97" t="n">
        <v>19.9</v>
      </c>
      <c r="N645" s="97" t="n">
        <v>244.27</v>
      </c>
      <c r="O645" s="97" t="n">
        <v>230.72</v>
      </c>
      <c r="P645" s="97" t="n">
        <v>257.82</v>
      </c>
      <c r="Q645" s="97" t="n">
        <v>271.38</v>
      </c>
      <c r="R645" s="97" t="inlineStr">
        <is>
          <t>1:1 / 1:2</t>
        </is>
      </c>
    </row>
    <row r="646">
      <c r="A646" s="99" t="inlineStr">
        <is>
          <t>COFORGE</t>
        </is>
      </c>
      <c r="B646" s="99" t="inlineStr">
        <is>
          <t>Coforge Ltd.</t>
        </is>
      </c>
      <c r="C646" s="99" t="inlineStr">
        <is>
          <t>Large/Midcap</t>
        </is>
      </c>
      <c r="D646" s="99" t="n">
        <v>1528.4</v>
      </c>
      <c r="E646" s="99" t="n">
        <v>7</v>
      </c>
      <c r="F646" s="99" t="inlineStr">
        <is>
          <t>STRONG SETUP</t>
        </is>
      </c>
      <c r="G646" s="99" t="n">
        <v>2.05</v>
      </c>
      <c r="H646" s="99" t="n">
        <v>9.199999999999999</v>
      </c>
      <c r="I646" s="99" t="inlineStr">
        <is>
          <t>Weak / Range-bound</t>
        </is>
      </c>
      <c r="J646" s="99" t="inlineStr">
        <is>
          <t>Uptrend</t>
        </is>
      </c>
      <c r="K646" s="99" t="n">
        <v>0.21</v>
      </c>
      <c r="L646" s="99" t="n">
        <v>0.19</v>
      </c>
      <c r="M646" s="99" t="n">
        <v>1.7</v>
      </c>
      <c r="N646" s="99" t="n">
        <v>1528.4</v>
      </c>
      <c r="O646" s="99" t="n">
        <v>1451.64</v>
      </c>
      <c r="P646" s="99" t="n">
        <v>1605.16</v>
      </c>
      <c r="Q646" s="99" t="n">
        <v>1681.91</v>
      </c>
      <c r="R646" s="99" t="inlineStr">
        <is>
          <t>1:1 / 1:2</t>
        </is>
      </c>
    </row>
    <row r="647">
      <c r="A647" s="97" t="inlineStr">
        <is>
          <t>CAMS</t>
        </is>
      </c>
      <c r="B647" s="97" t="inlineStr">
        <is>
          <t>Computer Age Management Services Ltd.</t>
        </is>
      </c>
      <c r="C647" s="97" t="inlineStr">
        <is>
          <t>BSE Smallcap</t>
        </is>
      </c>
      <c r="D647" s="97" t="n">
        <v>785.05</v>
      </c>
      <c r="E647" s="97" t="n">
        <v>7</v>
      </c>
      <c r="F647" s="97" t="inlineStr">
        <is>
          <t>STRONG SETUP</t>
        </is>
      </c>
      <c r="G647" s="97" t="n">
        <v>1.59</v>
      </c>
      <c r="H647" s="97" t="n">
        <v>34.4</v>
      </c>
      <c r="I647" s="97" t="inlineStr">
        <is>
          <t>Moderate</t>
        </is>
      </c>
      <c r="J647" s="97" t="inlineStr">
        <is>
          <t>Downtrend</t>
        </is>
      </c>
      <c r="K647" s="97" t="n">
        <v>-0.17</v>
      </c>
      <c r="L647" s="97" t="n">
        <v>0.27</v>
      </c>
      <c r="M647" s="97" t="n">
        <v>9.1</v>
      </c>
      <c r="N647" s="97" t="n">
        <v>785.05</v>
      </c>
      <c r="O647" s="97" t="n">
        <v>817.67</v>
      </c>
      <c r="P647" s="97" t="n">
        <v>752.4299999999999</v>
      </c>
      <c r="Q647" s="97" t="n">
        <v>719.8099999999999</v>
      </c>
      <c r="R647" s="97" t="inlineStr">
        <is>
          <t>1:1 / 1:2</t>
        </is>
      </c>
    </row>
    <row r="648">
      <c r="A648" s="99" t="inlineStr">
        <is>
          <t>CUMMINSIND</t>
        </is>
      </c>
      <c r="B648" s="99" t="inlineStr">
        <is>
          <t>Cummins India Ltd.</t>
        </is>
      </c>
      <c r="C648" s="99" t="inlineStr">
        <is>
          <t>Large/Midcap</t>
        </is>
      </c>
      <c r="D648" s="99" t="n">
        <v>5600.5</v>
      </c>
      <c r="E648" s="99" t="n">
        <v>7</v>
      </c>
      <c r="F648" s="99" t="inlineStr">
        <is>
          <t>STRONG SETUP</t>
        </is>
      </c>
      <c r="G648" s="99" t="n">
        <v>1.14</v>
      </c>
      <c r="H648" s="99" t="n">
        <v>35.9</v>
      </c>
      <c r="I648" s="99" t="inlineStr">
        <is>
          <t>Moderate</t>
        </is>
      </c>
      <c r="J648" s="99" t="inlineStr">
        <is>
          <t>Uptrend</t>
        </is>
      </c>
      <c r="K648" s="99" t="n">
        <v>0.04</v>
      </c>
      <c r="L648" s="99" t="n">
        <v>0.04</v>
      </c>
      <c r="M648" s="99" t="n">
        <v>1.5</v>
      </c>
      <c r="N648" s="99" t="n">
        <v>5600.5</v>
      </c>
      <c r="O648" s="99" t="n">
        <v>5411.47</v>
      </c>
      <c r="P648" s="99" t="n">
        <v>5789.53</v>
      </c>
      <c r="Q648" s="99" t="n">
        <v>5978.57</v>
      </c>
      <c r="R648" s="99" t="inlineStr">
        <is>
          <t>1:1 / 1:2</t>
        </is>
      </c>
    </row>
    <row r="649">
      <c r="A649" s="97" t="inlineStr">
        <is>
          <t>CONCOR</t>
        </is>
      </c>
      <c r="B649" s="97" t="inlineStr">
        <is>
          <t>Container Corporation of India Ltd.</t>
        </is>
      </c>
      <c r="C649" s="97" t="inlineStr">
        <is>
          <t>Large/Midcap</t>
        </is>
      </c>
      <c r="D649" s="97" t="n">
        <v>510.5</v>
      </c>
      <c r="E649" s="97" t="n">
        <v>7</v>
      </c>
      <c r="F649" s="97" t="inlineStr">
        <is>
          <t>STRONG SETUP</t>
        </is>
      </c>
      <c r="G649" s="97" t="n">
        <v>17.07</v>
      </c>
      <c r="H649" s="97" t="n">
        <v>12.9</v>
      </c>
      <c r="I649" s="97" t="inlineStr">
        <is>
          <t>Weak / Range-bound</t>
        </is>
      </c>
      <c r="J649" s="97" t="inlineStr">
        <is>
          <t>Uptrend</t>
        </is>
      </c>
      <c r="K649" s="97" t="n">
        <v>0.23</v>
      </c>
      <c r="L649" s="97" t="n">
        <v>0.2</v>
      </c>
      <c r="M649" s="97" t="n">
        <v>2.6</v>
      </c>
      <c r="N649" s="97" t="n">
        <v>510.5</v>
      </c>
      <c r="O649" s="97" t="n">
        <v>486.82</v>
      </c>
      <c r="P649" s="97" t="n">
        <v>534.1799999999999</v>
      </c>
      <c r="Q649" s="97" t="n">
        <v>557.86</v>
      </c>
      <c r="R649" s="97" t="inlineStr">
        <is>
          <t>1:1 / 1:2</t>
        </is>
      </c>
    </row>
    <row r="650">
      <c r="A650" s="99" t="inlineStr">
        <is>
          <t>DATAPATTNS</t>
        </is>
      </c>
      <c r="B650" s="99" t="inlineStr">
        <is>
          <t>Data Patterns (India) Ltd.</t>
        </is>
      </c>
      <c r="C650" s="99" t="inlineStr">
        <is>
          <t>BSE Smallcap</t>
        </is>
      </c>
      <c r="D650" s="99" t="n">
        <v>4578.9</v>
      </c>
      <c r="E650" s="99" t="n">
        <v>7</v>
      </c>
      <c r="F650" s="99" t="inlineStr">
        <is>
          <t>STRONG SETUP</t>
        </is>
      </c>
      <c r="G650" s="99" t="n">
        <v>0.2</v>
      </c>
      <c r="H650" s="99" t="n">
        <v>39.8</v>
      </c>
      <c r="I650" s="99" t="inlineStr">
        <is>
          <t>Moderate</t>
        </is>
      </c>
      <c r="J650" s="99" t="inlineStr">
        <is>
          <t>Downtrend</t>
        </is>
      </c>
      <c r="K650" s="99" t="n">
        <v>-0.09</v>
      </c>
      <c r="L650" s="99" t="n">
        <v>0.01</v>
      </c>
      <c r="M650" s="99" t="n">
        <v>0.5</v>
      </c>
      <c r="N650" s="99" t="n">
        <v>4578.9</v>
      </c>
      <c r="O650" s="99" t="n">
        <v>4881.92</v>
      </c>
      <c r="P650" s="99" t="n">
        <v>4275.88</v>
      </c>
      <c r="Q650" s="99" t="n">
        <v>3972.86</v>
      </c>
      <c r="R650" s="99" t="inlineStr">
        <is>
          <t>1:1 / 1:2</t>
        </is>
      </c>
    </row>
    <row r="651">
      <c r="A651" s="97" t="inlineStr">
        <is>
          <t>LALPATHLAB</t>
        </is>
      </c>
      <c r="B651" s="97" t="inlineStr">
        <is>
          <t>Dr. Lal Path Labs Ltd.</t>
        </is>
      </c>
      <c r="C651" s="97" t="inlineStr">
        <is>
          <t>BSE Smallcap</t>
        </is>
      </c>
      <c r="D651" s="97" t="n">
        <v>1759.2</v>
      </c>
      <c r="E651" s="97" t="n">
        <v>7</v>
      </c>
      <c r="F651" s="97" t="inlineStr">
        <is>
          <t>STRONG SETUP</t>
        </is>
      </c>
      <c r="G651" s="97" t="n">
        <v>9.19</v>
      </c>
      <c r="H651" s="97" t="n">
        <v>19.8</v>
      </c>
      <c r="I651" s="97" t="inlineStr">
        <is>
          <t>Weak / Range-bound</t>
        </is>
      </c>
      <c r="J651" s="97" t="inlineStr">
        <is>
          <t>Uptrend</t>
        </is>
      </c>
      <c r="K651" s="97" t="n">
        <v>0.27</v>
      </c>
      <c r="L651" s="97" t="n">
        <v>0.55</v>
      </c>
      <c r="M651" s="97" t="n">
        <v>10.9</v>
      </c>
      <c r="N651" s="97" t="n">
        <v>1759.2</v>
      </c>
      <c r="O651" s="97" t="n">
        <v>1677.34</v>
      </c>
      <c r="P651" s="97" t="n">
        <v>1841.06</v>
      </c>
      <c r="Q651" s="97" t="n">
        <v>1922.91</v>
      </c>
      <c r="R651" s="97" t="inlineStr">
        <is>
          <t>1:1 / 1:2</t>
        </is>
      </c>
    </row>
    <row r="652">
      <c r="A652" s="99" t="inlineStr">
        <is>
          <t>EICHERMOT</t>
        </is>
      </c>
      <c r="B652" s="99" t="inlineStr">
        <is>
          <t>Eicher Motors Ltd.</t>
        </is>
      </c>
      <c r="C652" s="99" t="inlineStr">
        <is>
          <t>Large/Midcap</t>
        </is>
      </c>
      <c r="D652" s="99" t="n">
        <v>7769.5</v>
      </c>
      <c r="E652" s="99" t="n">
        <v>7</v>
      </c>
      <c r="F652" s="99" t="inlineStr">
        <is>
          <t>STRONG SETUP</t>
        </is>
      </c>
      <c r="G652" s="99" t="n">
        <v>0.88</v>
      </c>
      <c r="H652" s="99" t="n">
        <v>26.5</v>
      </c>
      <c r="I652" s="99" t="inlineStr">
        <is>
          <t>Moderate</t>
        </is>
      </c>
      <c r="J652" s="99" t="inlineStr">
        <is>
          <t>Uptrend</t>
        </is>
      </c>
      <c r="K652" s="99" t="n">
        <v>0.37</v>
      </c>
      <c r="L652" s="99" t="n">
        <v>0.72</v>
      </c>
      <c r="M652" s="99" t="n">
        <v>19</v>
      </c>
      <c r="N652" s="99" t="n">
        <v>7769.5</v>
      </c>
      <c r="O652" s="99" t="n">
        <v>7542.79</v>
      </c>
      <c r="P652" s="99" t="n">
        <v>7996.21</v>
      </c>
      <c r="Q652" s="99" t="n">
        <v>8222.93</v>
      </c>
      <c r="R652" s="99" t="inlineStr">
        <is>
          <t>1:1 / 1:2</t>
        </is>
      </c>
    </row>
    <row r="653">
      <c r="A653" s="97" t="inlineStr">
        <is>
          <t>ICICIBANK</t>
        </is>
      </c>
      <c r="B653" s="97" t="inlineStr">
        <is>
          <t>ICICI Bank Ltd.</t>
        </is>
      </c>
      <c r="C653" s="97" t="inlineStr">
        <is>
          <t>Large/Midcap</t>
        </is>
      </c>
      <c r="D653" s="97" t="n">
        <v>1445.7</v>
      </c>
      <c r="E653" s="97" t="n">
        <v>7</v>
      </c>
      <c r="F653" s="97" t="inlineStr">
        <is>
          <t>STRONG SETUP</t>
        </is>
      </c>
      <c r="G653" s="97" t="n">
        <v>1.01</v>
      </c>
      <c r="H653" s="97" t="n">
        <v>25.9</v>
      </c>
      <c r="I653" s="97" t="inlineStr">
        <is>
          <t>Moderate</t>
        </is>
      </c>
      <c r="J653" s="97" t="inlineStr">
        <is>
          <t>Uptrend</t>
        </is>
      </c>
      <c r="K653" s="97" t="n">
        <v>0.25</v>
      </c>
      <c r="L653" s="97" t="n">
        <v>0.61</v>
      </c>
      <c r="M653" s="97" t="n">
        <v>15.7</v>
      </c>
      <c r="N653" s="97" t="n">
        <v>1445.7</v>
      </c>
      <c r="O653" s="97" t="n">
        <v>1406.34</v>
      </c>
      <c r="P653" s="97" t="n">
        <v>1485.06</v>
      </c>
      <c r="Q653" s="97" t="n">
        <v>1524.43</v>
      </c>
      <c r="R653" s="97" t="inlineStr">
        <is>
          <t>1:1 / 1:2</t>
        </is>
      </c>
    </row>
    <row r="654">
      <c r="A654" s="99" t="inlineStr">
        <is>
          <t>J&amp;KBANK</t>
        </is>
      </c>
      <c r="B654" s="99" t="inlineStr">
        <is>
          <t>Jammu &amp; Kashmir Bank Ltd.</t>
        </is>
      </c>
      <c r="C654" s="99" t="inlineStr">
        <is>
          <t>BSE Smallcap</t>
        </is>
      </c>
      <c r="D654" s="99" t="n">
        <v>172.57</v>
      </c>
      <c r="E654" s="99" t="n">
        <v>7</v>
      </c>
      <c r="F654" s="99" t="inlineStr">
        <is>
          <t>STRONG SETUP</t>
        </is>
      </c>
      <c r="G654" s="99" t="n">
        <v>0.38</v>
      </c>
      <c r="H654" s="99" t="n">
        <v>49.6</v>
      </c>
      <c r="I654" s="99" t="inlineStr">
        <is>
          <t>Strong</t>
        </is>
      </c>
      <c r="J654" s="99" t="inlineStr">
        <is>
          <t>Uptrend</t>
        </is>
      </c>
      <c r="K654" s="99" t="n">
        <v>0.78</v>
      </c>
      <c r="L654" s="99" t="n">
        <v>0.55</v>
      </c>
      <c r="M654" s="99" t="n">
        <v>27.2</v>
      </c>
      <c r="N654" s="99" t="n">
        <v>172.57</v>
      </c>
      <c r="O654" s="99" t="n">
        <v>158.41</v>
      </c>
      <c r="P654" s="99" t="n">
        <v>186.73</v>
      </c>
      <c r="Q654" s="99" t="n">
        <v>200.88</v>
      </c>
      <c r="R654" s="99" t="inlineStr">
        <is>
          <t>1:1 / 1:2</t>
        </is>
      </c>
    </row>
    <row r="655">
      <c r="A655" s="97" t="inlineStr">
        <is>
          <t>PPLPHARMA</t>
        </is>
      </c>
      <c r="B655" s="97" t="inlineStr">
        <is>
          <t>Piramal Pharma Ltd.</t>
        </is>
      </c>
      <c r="C655" s="97" t="inlineStr">
        <is>
          <t>BSE Smallcap</t>
        </is>
      </c>
      <c r="D655" s="97" t="n">
        <v>192.05</v>
      </c>
      <c r="E655" s="97" t="n">
        <v>7</v>
      </c>
      <c r="F655" s="97" t="inlineStr">
        <is>
          <t>STRONG SETUP</t>
        </is>
      </c>
      <c r="G655" s="97" t="n">
        <v>2.1</v>
      </c>
      <c r="H655" s="97" t="n">
        <v>25.8</v>
      </c>
      <c r="I655" s="97" t="inlineStr">
        <is>
          <t>Moderate</t>
        </is>
      </c>
      <c r="J655" s="97" t="inlineStr">
        <is>
          <t>Uptrend</t>
        </is>
      </c>
      <c r="K655" s="97" t="n">
        <v>0.45</v>
      </c>
      <c r="L655" s="97" t="n">
        <v>0.6</v>
      </c>
      <c r="M655" s="97" t="n">
        <v>15.4</v>
      </c>
      <c r="N655" s="97" t="n">
        <v>192.05</v>
      </c>
      <c r="O655" s="97" t="n">
        <v>180.34</v>
      </c>
      <c r="P655" s="97" t="n">
        <v>203.76</v>
      </c>
      <c r="Q655" s="97" t="n">
        <v>215.46</v>
      </c>
      <c r="R655" s="97" t="inlineStr">
        <is>
          <t>1:1 / 1:2</t>
        </is>
      </c>
    </row>
    <row r="656">
      <c r="A656" s="99" t="inlineStr">
        <is>
          <t>RECLTD</t>
        </is>
      </c>
      <c r="B656" s="99" t="inlineStr">
        <is>
          <t>REC Ltd.</t>
        </is>
      </c>
      <c r="C656" s="99" t="inlineStr">
        <is>
          <t>Large/Midcap</t>
        </is>
      </c>
      <c r="D656" s="99" t="n">
        <v>368.15</v>
      </c>
      <c r="E656" s="99" t="n">
        <v>7</v>
      </c>
      <c r="F656" s="99" t="inlineStr">
        <is>
          <t>STRONG SETUP</t>
        </is>
      </c>
      <c r="G656" s="99" t="n">
        <v>2.86</v>
      </c>
      <c r="H656" s="99" t="n">
        <v>25.7</v>
      </c>
      <c r="I656" s="99" t="inlineStr">
        <is>
          <t>Moderate</t>
        </is>
      </c>
      <c r="J656" s="99" t="inlineStr">
        <is>
          <t>Downtrend</t>
        </is>
      </c>
      <c r="K656" s="99" t="n">
        <v>-0.04</v>
      </c>
      <c r="L656" s="99" t="n">
        <v>0.02</v>
      </c>
      <c r="M656" s="99" t="n">
        <v>0.5</v>
      </c>
      <c r="N656" s="99" t="n">
        <v>368.15</v>
      </c>
      <c r="O656" s="99" t="n">
        <v>380.15</v>
      </c>
      <c r="P656" s="99" t="n">
        <v>356.15</v>
      </c>
      <c r="Q656" s="99" t="n">
        <v>344.15</v>
      </c>
      <c r="R656" s="99" t="inlineStr">
        <is>
          <t>1:1 / 1:2</t>
        </is>
      </c>
    </row>
    <row r="657">
      <c r="A657" s="97" t="inlineStr">
        <is>
          <t>RAINBOW</t>
        </is>
      </c>
      <c r="B657" s="97" t="inlineStr">
        <is>
          <t>Rainbow Childrens Medicare Ltd.</t>
        </is>
      </c>
      <c r="C657" s="97" t="inlineStr">
        <is>
          <t>BSE Smallcap</t>
        </is>
      </c>
      <c r="D657" s="97" t="n">
        <v>1457.8</v>
      </c>
      <c r="E657" s="97" t="n">
        <v>7</v>
      </c>
      <c r="F657" s="97" t="inlineStr">
        <is>
          <t>STRONG SETUP</t>
        </is>
      </c>
      <c r="G657" s="97" t="n">
        <v>0.87</v>
      </c>
      <c r="H657" s="97" t="n">
        <v>18</v>
      </c>
      <c r="I657" s="97" t="inlineStr">
        <is>
          <t>Weak / Range-bound</t>
        </is>
      </c>
      <c r="J657" s="97" t="inlineStr">
        <is>
          <t>Uptrend</t>
        </is>
      </c>
      <c r="K657" s="97" t="n">
        <v>0.3</v>
      </c>
      <c r="L657" s="97" t="n">
        <v>0.66</v>
      </c>
      <c r="M657" s="97" t="n">
        <v>11.8</v>
      </c>
      <c r="N657" s="97" t="n">
        <v>1457.8</v>
      </c>
      <c r="O657" s="97" t="n">
        <v>1397</v>
      </c>
      <c r="P657" s="97" t="n">
        <v>1518.6</v>
      </c>
      <c r="Q657" s="97" t="n">
        <v>1579.4</v>
      </c>
      <c r="R657" s="97" t="inlineStr">
        <is>
          <t>1:1 / 1:2</t>
        </is>
      </c>
    </row>
    <row r="658">
      <c r="A658" s="99" t="inlineStr">
        <is>
          <t>SAILIFE</t>
        </is>
      </c>
      <c r="B658" s="99" t="inlineStr">
        <is>
          <t>Sai Life Sciences Ltd.</t>
        </is>
      </c>
      <c r="C658" s="99" t="inlineStr">
        <is>
          <t>BSE Smallcap</t>
        </is>
      </c>
      <c r="D658" s="99" t="n">
        <v>1232.9</v>
      </c>
      <c r="E658" s="99" t="n">
        <v>7</v>
      </c>
      <c r="F658" s="99" t="inlineStr">
        <is>
          <t>STRONG SETUP</t>
        </is>
      </c>
      <c r="G658" s="99" t="n">
        <v>0.71</v>
      </c>
      <c r="H658" s="99" t="n">
        <v>16.4</v>
      </c>
      <c r="I658" s="99" t="inlineStr">
        <is>
          <t>Weak / Range-bound</t>
        </is>
      </c>
      <c r="J658" s="99" t="inlineStr">
        <is>
          <t>Uptrend</t>
        </is>
      </c>
      <c r="K658" s="99" t="n">
        <v>0.14</v>
      </c>
      <c r="L658" s="99" t="n">
        <v>0.17</v>
      </c>
      <c r="M658" s="99" t="n">
        <v>2.8</v>
      </c>
      <c r="N658" s="99" t="n">
        <v>1232.9</v>
      </c>
      <c r="O658" s="99" t="n">
        <v>1176.7</v>
      </c>
      <c r="P658" s="99" t="n">
        <v>1289.1</v>
      </c>
      <c r="Q658" s="99" t="n">
        <v>1345.29</v>
      </c>
      <c r="R658" s="99" t="inlineStr">
        <is>
          <t>1:1 / 1:2</t>
        </is>
      </c>
    </row>
    <row r="659">
      <c r="A659" s="97" t="inlineStr">
        <is>
          <t>SHRIRAMFIN</t>
        </is>
      </c>
      <c r="B659" s="97" t="inlineStr">
        <is>
          <t>Shriram Finance Ltd.</t>
        </is>
      </c>
      <c r="C659" s="97" t="inlineStr">
        <is>
          <t>Large/Midcap</t>
        </is>
      </c>
      <c r="D659" s="97" t="n">
        <v>1005.1</v>
      </c>
      <c r="E659" s="97" t="n">
        <v>7</v>
      </c>
      <c r="F659" s="97" t="inlineStr">
        <is>
          <t>STRONG SETUP</t>
        </is>
      </c>
      <c r="G659" s="97" t="n">
        <v>2.03</v>
      </c>
      <c r="H659" s="97" t="n">
        <v>24</v>
      </c>
      <c r="I659" s="97" t="inlineStr">
        <is>
          <t>Moderate</t>
        </is>
      </c>
      <c r="J659" s="97" t="inlineStr">
        <is>
          <t>Downtrend</t>
        </is>
      </c>
      <c r="K659" s="97" t="n">
        <v>-0.08</v>
      </c>
      <c r="L659" s="97" t="n">
        <v>0.08</v>
      </c>
      <c r="M659" s="97" t="n">
        <v>1.8</v>
      </c>
      <c r="N659" s="97" t="n">
        <v>1005.1</v>
      </c>
      <c r="O659" s="97" t="n">
        <v>1056.16</v>
      </c>
      <c r="P659" s="97" t="n">
        <v>954.04</v>
      </c>
      <c r="Q659" s="97" t="n">
        <v>902.97</v>
      </c>
      <c r="R659" s="97" t="inlineStr">
        <is>
          <t>1:1 / 1:2</t>
        </is>
      </c>
    </row>
  </sheetData>
  <mergeCells count="4">
    <mergeCell ref="A1:AA1"/>
    <mergeCell ref="A491:AA491"/>
    <mergeCell ref="A633:R633"/>
    <mergeCell ref="A3:AA3"/>
  </mergeCells>
  <conditionalFormatting sqref="AA5:AA489">
    <cfRule type="cellIs" priority="1" operator="equal" dxfId="3">
      <formula>"STRONG SETUP"</formula>
    </cfRule>
    <cfRule type="cellIs" priority="2" operator="equal" dxfId="4">
      <formula>"WATCHLIST"</formula>
    </cfRule>
    <cfRule type="cellIs" priority="3" operator="equal" dxfId="5">
      <formula>"AVOID"</formula>
    </cfRule>
  </conditionalFormatting>
  <conditionalFormatting sqref="AA493:AA631">
    <cfRule type="cellIs" priority="4" operator="equal" dxfId="3">
      <formula>"STRONG SETUP"</formula>
    </cfRule>
    <cfRule type="cellIs" priority="5" operator="equal" dxfId="4">
      <formula>"WATCHLIST"</formula>
    </cfRule>
    <cfRule type="cellIs" priority="6" operator="equal" dxfId="5">
      <formula>"AVOID"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48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style="45" min="1" max="1"/>
    <col width="28" customWidth="1" style="45" min="2" max="2"/>
    <col width="18" customWidth="1" style="45" min="3" max="3"/>
    <col width="13" customWidth="1" style="45" min="4" max="4"/>
    <col width="13" customWidth="1" style="45" min="5" max="5"/>
    <col width="13" customWidth="1" style="45" min="6" max="6"/>
    <col width="13" customWidth="1" style="45" min="7" max="7"/>
    <col width="13" customWidth="1" style="45" min="8" max="8"/>
    <col width="13" customWidth="1" style="45" min="9" max="9"/>
    <col width="13" customWidth="1" style="45" min="10" max="10"/>
    <col width="13" customWidth="1" style="45" min="11" max="11"/>
    <col width="13" customWidth="1" style="45" min="12" max="12"/>
    <col width="13" customWidth="1" style="45" min="13" max="13"/>
    <col width="13" customWidth="1" style="45" min="14" max="14"/>
    <col width="13" customWidth="1" style="45" min="15" max="15"/>
    <col width="13" customWidth="1" style="45" min="16" max="16"/>
    <col width="13" customWidth="1" style="45" min="17" max="17"/>
    <col width="13" customWidth="1" style="45" min="18" max="18"/>
    <col width="13" customWidth="1" style="45" min="19" max="19"/>
    <col width="13" customWidth="1" style="45" min="20" max="20"/>
    <col width="13" customWidth="1" style="45" min="21" max="21"/>
    <col width="13" customWidth="1" style="45" min="22" max="22"/>
    <col width="13" customWidth="1" style="45" min="23" max="23"/>
    <col width="13" customWidth="1" style="45" min="24" max="24"/>
    <col width="13" customWidth="1" style="45" min="25" max="25"/>
    <col width="13" customWidth="1" style="45" min="26" max="26"/>
    <col width="13" customWidth="1" style="45" min="27" max="27"/>
  </cols>
  <sheetData>
    <row r="1">
      <c r="A1" s="88" t="inlineStr">
        <is>
          <t>Market Scan — 26 Jul 2026</t>
        </is>
      </c>
    </row>
    <row r="3">
      <c r="A3" s="89" t="inlineStr">
        <is>
          <t>FULL SCAN — 472 stocks passed liquidity filter, ranked by score</t>
        </is>
      </c>
    </row>
    <row r="4" ht="32" customHeight="1" s="45">
      <c r="A4" s="90" t="inlineStr">
        <is>
          <t>Symbol</t>
        </is>
      </c>
      <c r="B4" s="90" t="inlineStr">
        <is>
          <t>Name</t>
        </is>
      </c>
      <c r="C4" s="90" t="inlineStr">
        <is>
          <t>Sector</t>
        </is>
      </c>
      <c r="D4" s="90" t="inlineStr">
        <is>
          <t>Cap Segment</t>
        </is>
      </c>
      <c r="E4" s="90" t="inlineStr">
        <is>
          <t>Close</t>
        </is>
      </c>
      <c r="F4" s="90" t="inlineStr">
        <is>
          <t>% Chg</t>
        </is>
      </c>
      <c r="G4" s="90" t="inlineStr">
        <is>
          <t>Volume</t>
        </is>
      </c>
      <c r="H4" s="90" t="inlineStr">
        <is>
          <t>Vol Ratio (vs 3d avg)</t>
        </is>
      </c>
      <c r="I4" s="90" t="inlineStr">
        <is>
          <t>Mkt Cap (Cr)</t>
        </is>
      </c>
      <c r="J4" s="90" t="inlineStr">
        <is>
          <t>Liquidity OK?</t>
        </is>
      </c>
      <c r="K4" s="90" t="inlineStr">
        <is>
          <t>Above 50DMA?</t>
        </is>
      </c>
      <c r="L4" s="90" t="inlineStr">
        <is>
          <t>Above 200DMA?</t>
        </is>
      </c>
      <c r="M4" s="90" t="inlineStr">
        <is>
          <t>RSI(14)</t>
        </is>
      </c>
      <c r="N4" s="90" t="inlineStr">
        <is>
          <t>RSI Healthy?</t>
        </is>
      </c>
      <c r="O4" s="90" t="inlineStr">
        <is>
          <t>ATR(14)</t>
        </is>
      </c>
      <c r="P4" s="90" t="inlineStr">
        <is>
          <t>Vol Spike?</t>
        </is>
      </c>
      <c r="Q4" s="90" t="inlineStr">
        <is>
          <t>% Down from 52wH</t>
        </is>
      </c>
      <c r="R4" s="90" t="inlineStr">
        <is>
          <t>Near 52wH?</t>
        </is>
      </c>
      <c r="S4" s="90" t="inlineStr">
        <is>
          <t>RS vs Nifty 1M %</t>
        </is>
      </c>
      <c r="T4" s="90" t="inlineStr">
        <is>
          <t>RS vs Nifty 3M %</t>
        </is>
      </c>
      <c r="U4" s="90" t="inlineStr">
        <is>
          <t>RS Positive?</t>
        </is>
      </c>
      <c r="V4" s="90" t="inlineStr">
        <is>
          <t>P/E</t>
        </is>
      </c>
      <c r="W4" s="90" t="inlineStr">
        <is>
          <t>ROE %</t>
        </is>
      </c>
      <c r="X4" s="90" t="inlineStr">
        <is>
          <t>Debt/Equity</t>
        </is>
      </c>
      <c r="Y4" s="90" t="inlineStr">
        <is>
          <t>QoQ Profit Gr %</t>
        </is>
      </c>
      <c r="Z4" s="90" t="inlineStr">
        <is>
          <t>Score (0-9)</t>
        </is>
      </c>
      <c r="AA4" s="90" t="inlineStr">
        <is>
          <t>Verdict</t>
        </is>
      </c>
    </row>
    <row r="5">
      <c r="A5" s="97" t="inlineStr">
        <is>
          <t>NUVAMA</t>
        </is>
      </c>
      <c r="B5" s="97" t="inlineStr">
        <is>
          <t>Nuvama Wealth Management Ltd.</t>
        </is>
      </c>
      <c r="C5" s="97" t="inlineStr">
        <is>
          <t>Financial Services</t>
        </is>
      </c>
      <c r="D5" s="97" t="inlineStr">
        <is>
          <t>Smallcap</t>
        </is>
      </c>
      <c r="E5" s="97" t="n">
        <v>1980.1</v>
      </c>
      <c r="F5" s="97" t="n">
        <v>1.69</v>
      </c>
      <c r="G5" s="97" t="n">
        <v>3576148</v>
      </c>
      <c r="H5" s="97" t="n">
        <v>7.9</v>
      </c>
      <c r="I5" s="97" t="n">
        <v>36143</v>
      </c>
      <c r="J5" s="97" t="inlineStr">
        <is>
          <t>Y</t>
        </is>
      </c>
      <c r="K5" s="97" t="inlineStr">
        <is>
          <t>Y</t>
        </is>
      </c>
      <c r="L5" s="97" t="inlineStr">
        <is>
          <t>Y</t>
        </is>
      </c>
      <c r="M5" s="97" t="n">
        <v>59.6</v>
      </c>
      <c r="N5" s="97" t="inlineStr">
        <is>
          <t>Y</t>
        </is>
      </c>
      <c r="O5" s="97" t="n">
        <v>76.26000000000001</v>
      </c>
      <c r="P5" s="97" t="inlineStr">
        <is>
          <t>Y</t>
        </is>
      </c>
      <c r="Q5" s="97" t="inlineStr">
        <is>
          <t>N/A</t>
        </is>
      </c>
      <c r="R5" s="97" t="inlineStr">
        <is>
          <t>N</t>
        </is>
      </c>
      <c r="S5" s="97" t="n">
        <v>14.3</v>
      </c>
      <c r="T5" s="97" t="n">
        <v>49.1</v>
      </c>
      <c r="U5" s="97" t="inlineStr">
        <is>
          <t>Y</t>
        </is>
      </c>
      <c r="V5" s="97" t="n">
        <v>35.3</v>
      </c>
      <c r="W5" s="97" t="n">
        <v>27.3</v>
      </c>
      <c r="X5" s="97" t="n">
        <v>282.32</v>
      </c>
      <c r="Y5" s="97" t="n">
        <v>6</v>
      </c>
      <c r="Z5" s="97" t="n">
        <v>8</v>
      </c>
      <c r="AA5" s="92" t="inlineStr">
        <is>
          <t>STRONG SETUP</t>
        </is>
      </c>
    </row>
    <row r="6">
      <c r="A6" s="99" t="inlineStr">
        <is>
          <t>RRKABEL</t>
        </is>
      </c>
      <c r="B6" s="99" t="inlineStr">
        <is>
          <t>R R Kabel Ltd.</t>
        </is>
      </c>
      <c r="C6" s="99" t="inlineStr">
        <is>
          <t>Capital Goods</t>
        </is>
      </c>
      <c r="D6" s="99" t="inlineStr">
        <is>
          <t>Smallcap</t>
        </is>
      </c>
      <c r="E6" s="99" t="n">
        <v>2493.6</v>
      </c>
      <c r="F6" s="99" t="n">
        <v>4.85</v>
      </c>
      <c r="G6" s="99" t="n">
        <v>943722</v>
      </c>
      <c r="H6" s="99" t="n">
        <v>1.33</v>
      </c>
      <c r="I6" s="99" t="n">
        <v>28204</v>
      </c>
      <c r="J6" s="99" t="inlineStr">
        <is>
          <t>Y</t>
        </is>
      </c>
      <c r="K6" s="99" t="inlineStr">
        <is>
          <t>Y</t>
        </is>
      </c>
      <c r="L6" s="99" t="inlineStr">
        <is>
          <t>Y</t>
        </is>
      </c>
      <c r="M6" s="99" t="n">
        <v>60.9</v>
      </c>
      <c r="N6" s="99" t="inlineStr">
        <is>
          <t>Y</t>
        </is>
      </c>
      <c r="O6" s="99" t="n">
        <v>109.93</v>
      </c>
      <c r="P6" s="99" t="inlineStr">
        <is>
          <t>Y</t>
        </is>
      </c>
      <c r="Q6" s="99" t="inlineStr">
        <is>
          <t>N/A</t>
        </is>
      </c>
      <c r="R6" s="99" t="inlineStr">
        <is>
          <t>N</t>
        </is>
      </c>
      <c r="S6" s="99" t="n">
        <v>1.3</v>
      </c>
      <c r="T6" s="99" t="n">
        <v>54.2</v>
      </c>
      <c r="U6" s="99" t="inlineStr">
        <is>
          <t>Y</t>
        </is>
      </c>
      <c r="V6" s="99" t="n">
        <v>57.1</v>
      </c>
      <c r="W6" s="99" t="n">
        <v>20.8</v>
      </c>
      <c r="X6" s="99" t="n">
        <v>13.09</v>
      </c>
      <c r="Y6" s="99" t="n">
        <v>42</v>
      </c>
      <c r="Z6" s="99" t="n">
        <v>8</v>
      </c>
      <c r="AA6" s="94" t="inlineStr">
        <is>
          <t>STRONG SETUP</t>
        </is>
      </c>
    </row>
    <row r="7">
      <c r="A7" s="97" t="inlineStr">
        <is>
          <t>ACE</t>
        </is>
      </c>
      <c r="B7" s="97" t="inlineStr">
        <is>
          <t>Action Construction Equipment Ltd.</t>
        </is>
      </c>
      <c r="C7" s="97" t="inlineStr">
        <is>
          <t>Capital Goods</t>
        </is>
      </c>
      <c r="D7" s="97" t="inlineStr">
        <is>
          <t>Smallcap</t>
        </is>
      </c>
      <c r="E7" s="97" t="n">
        <v>1039.4</v>
      </c>
      <c r="F7" s="97" t="n">
        <v>6.17</v>
      </c>
      <c r="G7" s="97" t="n">
        <v>2105588</v>
      </c>
      <c r="H7" s="97" t="n">
        <v>0.87</v>
      </c>
      <c r="I7" s="97" t="n">
        <v>12372</v>
      </c>
      <c r="J7" s="97" t="inlineStr">
        <is>
          <t>Y</t>
        </is>
      </c>
      <c r="K7" s="97" t="inlineStr">
        <is>
          <t>Y</t>
        </is>
      </c>
      <c r="L7" s="97" t="inlineStr">
        <is>
          <t>Y</t>
        </is>
      </c>
      <c r="M7" s="97" t="n">
        <v>55.4</v>
      </c>
      <c r="N7" s="97" t="inlineStr">
        <is>
          <t>Y</t>
        </is>
      </c>
      <c r="O7" s="97" t="n">
        <v>39.55</v>
      </c>
      <c r="P7" s="97" t="inlineStr">
        <is>
          <t>Y</t>
        </is>
      </c>
      <c r="Q7" s="97" t="inlineStr">
        <is>
          <t>N/A</t>
        </is>
      </c>
      <c r="R7" s="97" t="inlineStr">
        <is>
          <t>N</t>
        </is>
      </c>
      <c r="S7" s="97" t="n">
        <v>6.3</v>
      </c>
      <c r="T7" s="97" t="n">
        <v>16.2</v>
      </c>
      <c r="U7" s="97" t="inlineStr">
        <is>
          <t>Y</t>
        </is>
      </c>
      <c r="V7" s="97" t="n">
        <v>28.3</v>
      </c>
      <c r="W7" s="97" t="inlineStr">
        <is>
          <t>N/A</t>
        </is>
      </c>
      <c r="X7" s="97" t="n">
        <v>0.39</v>
      </c>
      <c r="Y7" s="97" t="n">
        <v>7.7</v>
      </c>
      <c r="Z7" s="97" t="n">
        <v>7</v>
      </c>
      <c r="AA7" s="92" t="inlineStr">
        <is>
          <t>STRONG SETUP</t>
        </is>
      </c>
    </row>
    <row r="8">
      <c r="A8" s="99" t="inlineStr">
        <is>
          <t>BAJFINANCE</t>
        </is>
      </c>
      <c r="B8" s="99" t="inlineStr">
        <is>
          <t>Bajaj Finance Ltd.</t>
        </is>
      </c>
      <c r="C8" s="99" t="inlineStr">
        <is>
          <t>Financial Services</t>
        </is>
      </c>
      <c r="D8" s="99" t="inlineStr">
        <is>
          <t>Large/Midcap</t>
        </is>
      </c>
      <c r="E8" s="99" t="n">
        <v>1012.8</v>
      </c>
      <c r="F8" s="99" t="n">
        <v>-2.6</v>
      </c>
      <c r="G8" s="99" t="n">
        <v>18416962</v>
      </c>
      <c r="H8" s="99" t="n">
        <v>2.54</v>
      </c>
      <c r="I8" s="99" t="n">
        <v>629747</v>
      </c>
      <c r="J8" s="99" t="inlineStr">
        <is>
          <t>Y</t>
        </is>
      </c>
      <c r="K8" s="99" t="inlineStr">
        <is>
          <t>Y</t>
        </is>
      </c>
      <c r="L8" s="99" t="inlineStr">
        <is>
          <t>Y</t>
        </is>
      </c>
      <c r="M8" s="99" t="n">
        <v>46</v>
      </c>
      <c r="N8" s="99" t="inlineStr">
        <is>
          <t>N</t>
        </is>
      </c>
      <c r="O8" s="99" t="n">
        <v>25.14</v>
      </c>
      <c r="P8" s="99" t="inlineStr">
        <is>
          <t>Y</t>
        </is>
      </c>
      <c r="Q8" s="99" t="inlineStr">
        <is>
          <t>N/A</t>
        </is>
      </c>
      <c r="R8" s="99" t="inlineStr">
        <is>
          <t>N</t>
        </is>
      </c>
      <c r="S8" s="99" t="n">
        <v>5</v>
      </c>
      <c r="T8" s="99" t="n">
        <v>10.1</v>
      </c>
      <c r="U8" s="99" t="inlineStr">
        <is>
          <t>Y</t>
        </is>
      </c>
      <c r="V8" s="99" t="n">
        <v>33.2</v>
      </c>
      <c r="W8" s="99" t="n">
        <v>17.9</v>
      </c>
      <c r="X8" s="99" t="n">
        <v>314.83</v>
      </c>
      <c r="Y8" s="99" t="n">
        <v>37.4</v>
      </c>
      <c r="Z8" s="99" t="n">
        <v>7</v>
      </c>
      <c r="AA8" s="94" t="inlineStr">
        <is>
          <t>STRONG SETUP</t>
        </is>
      </c>
    </row>
    <row r="9">
      <c r="A9" s="97" t="inlineStr">
        <is>
          <t>BLUEJET</t>
        </is>
      </c>
      <c r="B9" s="97" t="inlineStr">
        <is>
          <t>Blue Jet Healthcare Ltd.</t>
        </is>
      </c>
      <c r="C9" s="97" t="inlineStr">
        <is>
          <t>Healthcare</t>
        </is>
      </c>
      <c r="D9" s="97" t="inlineStr">
        <is>
          <t>Smallcap</t>
        </is>
      </c>
      <c r="E9" s="97" t="n">
        <v>566.9</v>
      </c>
      <c r="F9" s="97" t="n">
        <v>-1.67</v>
      </c>
      <c r="G9" s="97" t="n">
        <v>1101312</v>
      </c>
      <c r="H9" s="97" t="n">
        <v>2.45</v>
      </c>
      <c r="I9" s="97" t="n">
        <v>9834</v>
      </c>
      <c r="J9" s="97" t="inlineStr">
        <is>
          <t>Y</t>
        </is>
      </c>
      <c r="K9" s="97" t="inlineStr">
        <is>
          <t>Y</t>
        </is>
      </c>
      <c r="L9" s="97" t="inlineStr">
        <is>
          <t>Y</t>
        </is>
      </c>
      <c r="M9" s="97" t="n">
        <v>51.5</v>
      </c>
      <c r="N9" s="97" t="inlineStr">
        <is>
          <t>Y</t>
        </is>
      </c>
      <c r="O9" s="97" t="n">
        <v>24.26</v>
      </c>
      <c r="P9" s="97" t="inlineStr">
        <is>
          <t>N</t>
        </is>
      </c>
      <c r="Q9" s="97" t="inlineStr">
        <is>
          <t>N/A</t>
        </is>
      </c>
      <c r="R9" s="97" t="inlineStr">
        <is>
          <t>N</t>
        </is>
      </c>
      <c r="S9" s="97" t="n">
        <v>8.5</v>
      </c>
      <c r="T9" s="97" t="n">
        <v>27.7</v>
      </c>
      <c r="U9" s="97" t="inlineStr">
        <is>
          <t>Y</t>
        </is>
      </c>
      <c r="V9" s="97" t="n">
        <v>39.7</v>
      </c>
      <c r="W9" s="97" t="n">
        <v>19.9</v>
      </c>
      <c r="X9" s="97" t="n">
        <v>3.1</v>
      </c>
      <c r="Y9" s="97" t="n">
        <v>60.2</v>
      </c>
      <c r="Z9" s="97" t="n">
        <v>7</v>
      </c>
      <c r="AA9" s="92" t="inlineStr">
        <is>
          <t>STRONG SETUP</t>
        </is>
      </c>
    </row>
    <row r="10">
      <c r="A10" s="99" t="inlineStr">
        <is>
          <t>CUMMINSIND</t>
        </is>
      </c>
      <c r="B10" s="99" t="inlineStr">
        <is>
          <t>Cummins India Ltd.</t>
        </is>
      </c>
      <c r="C10" s="99" t="inlineStr">
        <is>
          <t>Capital Goods</t>
        </is>
      </c>
      <c r="D10" s="99" t="inlineStr">
        <is>
          <t>Large/Midcap</t>
        </is>
      </c>
      <c r="E10" s="99" t="n">
        <v>5600.5</v>
      </c>
      <c r="F10" s="99" t="n">
        <v>0.03</v>
      </c>
      <c r="G10" s="99" t="n">
        <v>290705</v>
      </c>
      <c r="H10" s="99" t="n">
        <v>1.14</v>
      </c>
      <c r="I10" s="99" t="n">
        <v>155246</v>
      </c>
      <c r="J10" s="99" t="inlineStr">
        <is>
          <t>Y</t>
        </is>
      </c>
      <c r="K10" s="99" t="inlineStr">
        <is>
          <t>Y</t>
        </is>
      </c>
      <c r="L10" s="99" t="inlineStr">
        <is>
          <t>Y</t>
        </is>
      </c>
      <c r="M10" s="99" t="n">
        <v>54.6</v>
      </c>
      <c r="N10" s="99" t="inlineStr">
        <is>
          <t>Y</t>
        </is>
      </c>
      <c r="O10" s="99" t="n">
        <v>126.02</v>
      </c>
      <c r="P10" s="99" t="inlineStr">
        <is>
          <t>N</t>
        </is>
      </c>
      <c r="Q10" s="99" t="inlineStr">
        <is>
          <t>N/A</t>
        </is>
      </c>
      <c r="R10" s="99" t="inlineStr">
        <is>
          <t>N</t>
        </is>
      </c>
      <c r="S10" s="99" t="n">
        <v>1.1</v>
      </c>
      <c r="T10" s="99" t="n">
        <v>7.3</v>
      </c>
      <c r="U10" s="99" t="inlineStr">
        <is>
          <t>Y</t>
        </is>
      </c>
      <c r="V10" s="99" t="n">
        <v>65.8</v>
      </c>
      <c r="W10" s="99" t="n">
        <v>29.5</v>
      </c>
      <c r="X10" s="99" t="n">
        <v>0.43</v>
      </c>
      <c r="Y10" s="99" t="n">
        <v>33.6</v>
      </c>
      <c r="Z10" s="99" t="n">
        <v>7</v>
      </c>
      <c r="AA10" s="94" t="inlineStr">
        <is>
          <t>STRONG SETUP</t>
        </is>
      </c>
    </row>
    <row r="11">
      <c r="A11" s="97" t="inlineStr">
        <is>
          <t>LALPATHLAB</t>
        </is>
      </c>
      <c r="B11" s="97" t="inlineStr">
        <is>
          <t>Dr. Lal Path Labs Ltd.</t>
        </is>
      </c>
      <c r="C11" s="97" t="inlineStr">
        <is>
          <t>Healthcare</t>
        </is>
      </c>
      <c r="D11" s="97" t="inlineStr">
        <is>
          <t>Smallcap</t>
        </is>
      </c>
      <c r="E11" s="97" t="n">
        <v>1759.2</v>
      </c>
      <c r="F11" s="97" t="n">
        <v>4.27</v>
      </c>
      <c r="G11" s="97" t="n">
        <v>1445810</v>
      </c>
      <c r="H11" s="97" t="n">
        <v>9.19</v>
      </c>
      <c r="I11" s="97" t="n">
        <v>29375</v>
      </c>
      <c r="J11" s="97" t="inlineStr">
        <is>
          <t>Y</t>
        </is>
      </c>
      <c r="K11" s="97" t="inlineStr">
        <is>
          <t>Y</t>
        </is>
      </c>
      <c r="L11" s="97" t="inlineStr">
        <is>
          <t>Y</t>
        </is>
      </c>
      <c r="M11" s="97" t="n">
        <v>62.3</v>
      </c>
      <c r="N11" s="97" t="inlineStr">
        <is>
          <t>Y</t>
        </is>
      </c>
      <c r="O11" s="97" t="n">
        <v>54.57</v>
      </c>
      <c r="P11" s="97" t="inlineStr">
        <is>
          <t>Y</t>
        </is>
      </c>
      <c r="Q11" s="97" t="inlineStr">
        <is>
          <t>N/A</t>
        </is>
      </c>
      <c r="R11" s="97" t="inlineStr">
        <is>
          <t>N</t>
        </is>
      </c>
      <c r="S11" s="97" t="n">
        <v>5.2</v>
      </c>
      <c r="T11" s="97" t="n">
        <v>26.7</v>
      </c>
      <c r="U11" s="97" t="inlineStr">
        <is>
          <t>Y</t>
        </is>
      </c>
      <c r="V11" s="97" t="n">
        <v>54.3</v>
      </c>
      <c r="W11" s="97" t="inlineStr">
        <is>
          <t>N/A</t>
        </is>
      </c>
      <c r="X11" s="97" t="n">
        <v>7.83</v>
      </c>
      <c r="Y11" s="97" t="n">
        <v>29.1</v>
      </c>
      <c r="Z11" s="97" t="n">
        <v>7</v>
      </c>
      <c r="AA11" s="92" t="inlineStr">
        <is>
          <t>STRONG SETUP</t>
        </is>
      </c>
    </row>
    <row r="12">
      <c r="A12" s="99" t="inlineStr">
        <is>
          <t>EICHERMOT</t>
        </is>
      </c>
      <c r="B12" s="99" t="inlineStr">
        <is>
          <t>Eicher Motors Ltd.</t>
        </is>
      </c>
      <c r="C12" s="99" t="inlineStr">
        <is>
          <t>Automobile and Auto Components</t>
        </is>
      </c>
      <c r="D12" s="99" t="inlineStr">
        <is>
          <t>Large/Midcap</t>
        </is>
      </c>
      <c r="E12" s="99" t="n">
        <v>7628</v>
      </c>
      <c r="F12" s="99" t="n">
        <v>-1.21</v>
      </c>
      <c r="G12" s="99" t="n">
        <v>409577</v>
      </c>
      <c r="H12" s="99" t="n">
        <v>0.95</v>
      </c>
      <c r="I12" s="99" t="n">
        <v>209387</v>
      </c>
      <c r="J12" s="99" t="inlineStr">
        <is>
          <t>Y</t>
        </is>
      </c>
      <c r="K12" s="99" t="inlineStr">
        <is>
          <t>Y</t>
        </is>
      </c>
      <c r="L12" s="99" t="inlineStr">
        <is>
          <t>Y</t>
        </is>
      </c>
      <c r="M12" s="99" t="n">
        <v>58</v>
      </c>
      <c r="N12" s="99" t="inlineStr">
        <is>
          <t>Y</t>
        </is>
      </c>
      <c r="O12" s="99" t="n">
        <v>144.89</v>
      </c>
      <c r="P12" s="99" t="inlineStr">
        <is>
          <t>N</t>
        </is>
      </c>
      <c r="Q12" s="99" t="inlineStr">
        <is>
          <t>N/A</t>
        </is>
      </c>
      <c r="R12" s="99" t="inlineStr">
        <is>
          <t>N</t>
        </is>
      </c>
      <c r="S12" s="99" t="n">
        <v>1.5</v>
      </c>
      <c r="T12" s="99" t="n">
        <v>6.6</v>
      </c>
      <c r="U12" s="99" t="inlineStr">
        <is>
          <t>Y</t>
        </is>
      </c>
      <c r="V12" s="99" t="n">
        <v>38</v>
      </c>
      <c r="W12" s="99" t="n">
        <v>23.8</v>
      </c>
      <c r="X12" s="99" t="n">
        <v>2.05</v>
      </c>
      <c r="Y12" s="99" t="n">
        <v>7</v>
      </c>
      <c r="Z12" s="99" t="n">
        <v>7</v>
      </c>
      <c r="AA12" s="94" t="inlineStr">
        <is>
          <t>STRONG SETUP</t>
        </is>
      </c>
    </row>
    <row r="13">
      <c r="A13" s="97" t="inlineStr">
        <is>
          <t>EMCURE</t>
        </is>
      </c>
      <c r="B13" s="97" t="inlineStr">
        <is>
          <t>Emcure Pharmaceuticals Ltd.</t>
        </is>
      </c>
      <c r="C13" s="97" t="inlineStr">
        <is>
          <t>Healthcare</t>
        </is>
      </c>
      <c r="D13" s="97" t="inlineStr">
        <is>
          <t>Smallcap</t>
        </is>
      </c>
      <c r="E13" s="97" t="n">
        <v>1881</v>
      </c>
      <c r="F13" s="97" t="n">
        <v>0.62</v>
      </c>
      <c r="G13" s="97" t="n">
        <v>58594</v>
      </c>
      <c r="H13" s="97" t="n">
        <v>0.41</v>
      </c>
      <c r="I13" s="97" t="n">
        <v>35679</v>
      </c>
      <c r="J13" s="97" t="inlineStr">
        <is>
          <t>Y</t>
        </is>
      </c>
      <c r="K13" s="97" t="inlineStr">
        <is>
          <t>Y</t>
        </is>
      </c>
      <c r="L13" s="97" t="inlineStr">
        <is>
          <t>Y</t>
        </is>
      </c>
      <c r="M13" s="97" t="n">
        <v>56.7</v>
      </c>
      <c r="N13" s="97" t="inlineStr">
        <is>
          <t>Y</t>
        </is>
      </c>
      <c r="O13" s="97" t="n">
        <v>54.88</v>
      </c>
      <c r="P13" s="97" t="inlineStr">
        <is>
          <t>N</t>
        </is>
      </c>
      <c r="Q13" s="97" t="inlineStr">
        <is>
          <t>N/A</t>
        </is>
      </c>
      <c r="R13" s="97" t="inlineStr">
        <is>
          <t>N</t>
        </is>
      </c>
      <c r="S13" s="97" t="n">
        <v>1.1</v>
      </c>
      <c r="T13" s="97" t="n">
        <v>9.300000000000001</v>
      </c>
      <c r="U13" s="97" t="inlineStr">
        <is>
          <t>Y</t>
        </is>
      </c>
      <c r="V13" s="97" t="n">
        <v>38.6</v>
      </c>
      <c r="W13" s="97" t="n">
        <v>19.6</v>
      </c>
      <c r="X13" s="97" t="n">
        <v>30.57</v>
      </c>
      <c r="Y13" s="97" t="n">
        <v>5.6</v>
      </c>
      <c r="Z13" s="97" t="n">
        <v>7</v>
      </c>
      <c r="AA13" s="92" t="inlineStr">
        <is>
          <t>STRONG SETUP</t>
        </is>
      </c>
    </row>
    <row r="14">
      <c r="A14" s="99" t="inlineStr">
        <is>
          <t>MEDANTA</t>
        </is>
      </c>
      <c r="B14" s="99" t="inlineStr">
        <is>
          <t>Global Health Ltd.</t>
        </is>
      </c>
      <c r="C14" s="99" t="inlineStr">
        <is>
          <t>Healthcare</t>
        </is>
      </c>
      <c r="D14" s="99" t="inlineStr">
        <is>
          <t>Large/Midcap</t>
        </is>
      </c>
      <c r="E14" s="99" t="n">
        <v>1371</v>
      </c>
      <c r="F14" s="99" t="n">
        <v>-0.52</v>
      </c>
      <c r="G14" s="99" t="n">
        <v>142741</v>
      </c>
      <c r="H14" s="99" t="n">
        <v>0.29</v>
      </c>
      <c r="I14" s="99" t="n">
        <v>36841</v>
      </c>
      <c r="J14" s="99" t="inlineStr">
        <is>
          <t>Y</t>
        </is>
      </c>
      <c r="K14" s="99" t="inlineStr">
        <is>
          <t>Y</t>
        </is>
      </c>
      <c r="L14" s="99" t="inlineStr">
        <is>
          <t>Y</t>
        </is>
      </c>
      <c r="M14" s="99" t="n">
        <v>54.4</v>
      </c>
      <c r="N14" s="99" t="inlineStr">
        <is>
          <t>Y</t>
        </is>
      </c>
      <c r="O14" s="99" t="n">
        <v>34.29</v>
      </c>
      <c r="P14" s="99" t="inlineStr">
        <is>
          <t>N</t>
        </is>
      </c>
      <c r="Q14" s="99" t="inlineStr">
        <is>
          <t>N/A</t>
        </is>
      </c>
      <c r="R14" s="99" t="inlineStr">
        <is>
          <t>N</t>
        </is>
      </c>
      <c r="S14" s="99" t="n">
        <v>5.5</v>
      </c>
      <c r="T14" s="99" t="n">
        <v>21.1</v>
      </c>
      <c r="U14" s="99" t="inlineStr">
        <is>
          <t>Y</t>
        </is>
      </c>
      <c r="V14" s="99" t="n">
        <v>66.2</v>
      </c>
      <c r="W14" s="99" t="n">
        <v>15</v>
      </c>
      <c r="X14" s="99" t="n">
        <v>29.87</v>
      </c>
      <c r="Y14" s="99" t="n">
        <v>51.5</v>
      </c>
      <c r="Z14" s="99" t="n">
        <v>7</v>
      </c>
      <c r="AA14" s="94" t="inlineStr">
        <is>
          <t>STRONG SETUP</t>
        </is>
      </c>
    </row>
    <row r="15">
      <c r="A15" s="97" t="inlineStr">
        <is>
          <t>HAL</t>
        </is>
      </c>
      <c r="B15" s="97" t="inlineStr">
        <is>
          <t>Hindustan Aeronautics Ltd.</t>
        </is>
      </c>
      <c r="C15" s="97" t="inlineStr">
        <is>
          <t>Capital Goods</t>
        </is>
      </c>
      <c r="D15" s="97" t="inlineStr">
        <is>
          <t>Large/Midcap</t>
        </is>
      </c>
      <c r="E15" s="97" t="n">
        <v>4573.4</v>
      </c>
      <c r="F15" s="97" t="n">
        <v>-0.42</v>
      </c>
      <c r="G15" s="97" t="n">
        <v>467141</v>
      </c>
      <c r="H15" s="97" t="n">
        <v>0.6</v>
      </c>
      <c r="I15" s="97" t="n">
        <v>305858</v>
      </c>
      <c r="J15" s="97" t="inlineStr">
        <is>
          <t>Y</t>
        </is>
      </c>
      <c r="K15" s="97" t="inlineStr">
        <is>
          <t>Y</t>
        </is>
      </c>
      <c r="L15" s="97" t="inlineStr">
        <is>
          <t>Y</t>
        </is>
      </c>
      <c r="M15" s="97" t="n">
        <v>62.4</v>
      </c>
      <c r="N15" s="97" t="inlineStr">
        <is>
          <t>Y</t>
        </is>
      </c>
      <c r="O15" s="97" t="n">
        <v>87.90000000000001</v>
      </c>
      <c r="P15" s="97" t="inlineStr">
        <is>
          <t>N</t>
        </is>
      </c>
      <c r="Q15" s="97" t="inlineStr">
        <is>
          <t>N/A</t>
        </is>
      </c>
      <c r="R15" s="97" t="inlineStr">
        <is>
          <t>N</t>
        </is>
      </c>
      <c r="S15" s="97" t="n">
        <v>5.7</v>
      </c>
      <c r="T15" s="97" t="n">
        <v>5.6</v>
      </c>
      <c r="U15" s="97" t="inlineStr">
        <is>
          <t>Y</t>
        </is>
      </c>
      <c r="V15" s="97" t="n">
        <v>33.6</v>
      </c>
      <c r="W15" s="97" t="n">
        <v>24</v>
      </c>
      <c r="X15" s="97" t="n">
        <v>0.03</v>
      </c>
      <c r="Y15" s="97" t="n">
        <v>124.8</v>
      </c>
      <c r="Z15" s="97" t="n">
        <v>7</v>
      </c>
      <c r="AA15" s="92" t="inlineStr">
        <is>
          <t>STRONG SETUP</t>
        </is>
      </c>
    </row>
    <row r="16">
      <c r="A16" s="99" t="inlineStr">
        <is>
          <t>ICICIBANK</t>
        </is>
      </c>
      <c r="B16" s="99" t="inlineStr">
        <is>
          <t>ICICI Bank Ltd.</t>
        </is>
      </c>
      <c r="C16" s="99" t="inlineStr">
        <is>
          <t>Financial Services</t>
        </is>
      </c>
      <c r="D16" s="99" t="inlineStr">
        <is>
          <t>Large/Midcap</t>
        </is>
      </c>
      <c r="E16" s="99" t="n">
        <v>1432.9</v>
      </c>
      <c r="F16" s="99" t="n">
        <v>-0.12</v>
      </c>
      <c r="G16" s="99" t="n">
        <v>10870914</v>
      </c>
      <c r="H16" s="99" t="n">
        <v>0.84</v>
      </c>
      <c r="I16" s="99" t="n">
        <v>1027859</v>
      </c>
      <c r="J16" s="99" t="inlineStr">
        <is>
          <t>Y</t>
        </is>
      </c>
      <c r="K16" s="99" t="inlineStr">
        <is>
          <t>Y</t>
        </is>
      </c>
      <c r="L16" s="99" t="inlineStr">
        <is>
          <t>Y</t>
        </is>
      </c>
      <c r="M16" s="99" t="n">
        <v>51.8</v>
      </c>
      <c r="N16" s="99" t="inlineStr">
        <is>
          <t>Y</t>
        </is>
      </c>
      <c r="O16" s="99" t="n">
        <v>26.44</v>
      </c>
      <c r="P16" s="99" t="inlineStr">
        <is>
          <t>N</t>
        </is>
      </c>
      <c r="Q16" s="99" t="inlineStr">
        <is>
          <t>N/A</t>
        </is>
      </c>
      <c r="R16" s="99" t="inlineStr">
        <is>
          <t>N</t>
        </is>
      </c>
      <c r="S16" s="99" t="n">
        <v>4.3</v>
      </c>
      <c r="T16" s="99" t="n">
        <v>12.4</v>
      </c>
      <c r="U16" s="99" t="inlineStr">
        <is>
          <t>Y</t>
        </is>
      </c>
      <c r="V16" s="99" t="n">
        <v>18.5</v>
      </c>
      <c r="W16" s="99" t="n">
        <v>16.1</v>
      </c>
      <c r="X16" s="99" t="inlineStr">
        <is>
          <t>N/A</t>
        </is>
      </c>
      <c r="Y16" s="99" t="n">
        <v>4.6</v>
      </c>
      <c r="Z16" s="99" t="n">
        <v>7</v>
      </c>
      <c r="AA16" s="94" t="inlineStr">
        <is>
          <t>STRONG SETUP</t>
        </is>
      </c>
    </row>
    <row r="17">
      <c r="A17" s="97" t="inlineStr">
        <is>
          <t>J&amp;KBANK</t>
        </is>
      </c>
      <c r="B17" s="97" t="inlineStr">
        <is>
          <t>Jammu &amp; Kashmir Bank Ltd.</t>
        </is>
      </c>
      <c r="C17" s="97" t="inlineStr">
        <is>
          <t>Financial Services</t>
        </is>
      </c>
      <c r="D17" s="97" t="inlineStr">
        <is>
          <t>Smallcap</t>
        </is>
      </c>
      <c r="E17" s="97" t="n">
        <v>172.57</v>
      </c>
      <c r="F17" s="97" t="n">
        <v>-0.48</v>
      </c>
      <c r="G17" s="97" t="n">
        <v>2341658</v>
      </c>
      <c r="H17" s="97" t="n">
        <v>0.38</v>
      </c>
      <c r="I17" s="97" t="n">
        <v>19003</v>
      </c>
      <c r="J17" s="97" t="inlineStr">
        <is>
          <t>Y</t>
        </is>
      </c>
      <c r="K17" s="97" t="inlineStr">
        <is>
          <t>Y</t>
        </is>
      </c>
      <c r="L17" s="97" t="inlineStr">
        <is>
          <t>Y</t>
        </is>
      </c>
      <c r="M17" s="97" t="n">
        <v>55.6</v>
      </c>
      <c r="N17" s="97" t="inlineStr">
        <is>
          <t>Y</t>
        </is>
      </c>
      <c r="O17" s="97" t="n">
        <v>9.44</v>
      </c>
      <c r="P17" s="97" t="inlineStr">
        <is>
          <t>N</t>
        </is>
      </c>
      <c r="Q17" s="97" t="inlineStr">
        <is>
          <t>N/A</t>
        </is>
      </c>
      <c r="R17" s="97" t="inlineStr">
        <is>
          <t>N</t>
        </is>
      </c>
      <c r="S17" s="97" t="n">
        <v>10</v>
      </c>
      <c r="T17" s="97" t="n">
        <v>28.7</v>
      </c>
      <c r="U17" s="97" t="inlineStr">
        <is>
          <t>Y</t>
        </is>
      </c>
      <c r="V17" s="97" t="n">
        <v>8.1</v>
      </c>
      <c r="W17" s="97" t="n">
        <v>15.4</v>
      </c>
      <c r="X17" s="97" t="inlineStr">
        <is>
          <t>N/A</t>
        </is>
      </c>
      <c r="Y17" s="97" t="n">
        <v>37.3</v>
      </c>
      <c r="Z17" s="97" t="n">
        <v>7</v>
      </c>
      <c r="AA17" s="92" t="inlineStr">
        <is>
          <t>STRONG SETUP</t>
        </is>
      </c>
    </row>
    <row r="18">
      <c r="A18" s="99" t="inlineStr">
        <is>
          <t>RAINBOW</t>
        </is>
      </c>
      <c r="B18" s="99" t="inlineStr">
        <is>
          <t>Rainbow Childrens Medicare Ltd.</t>
        </is>
      </c>
      <c r="C18" s="99" t="inlineStr">
        <is>
          <t>Healthcare</t>
        </is>
      </c>
      <c r="D18" s="99" t="inlineStr">
        <is>
          <t>Smallcap</t>
        </is>
      </c>
      <c r="E18" s="99" t="n">
        <v>1457.8</v>
      </c>
      <c r="F18" s="99" t="n">
        <v>-0.57</v>
      </c>
      <c r="G18" s="99" t="n">
        <v>56582</v>
      </c>
      <c r="H18" s="99" t="n">
        <v>0.87</v>
      </c>
      <c r="I18" s="99" t="n">
        <v>14789</v>
      </c>
      <c r="J18" s="99" t="inlineStr">
        <is>
          <t>Y</t>
        </is>
      </c>
      <c r="K18" s="99" t="inlineStr">
        <is>
          <t>Y</t>
        </is>
      </c>
      <c r="L18" s="99" t="inlineStr">
        <is>
          <t>Y</t>
        </is>
      </c>
      <c r="M18" s="99" t="n">
        <v>55.5</v>
      </c>
      <c r="N18" s="99" t="inlineStr">
        <is>
          <t>Y</t>
        </is>
      </c>
      <c r="O18" s="99" t="n">
        <v>40.53</v>
      </c>
      <c r="P18" s="99" t="inlineStr">
        <is>
          <t>N</t>
        </is>
      </c>
      <c r="Q18" s="99" t="inlineStr">
        <is>
          <t>N/A</t>
        </is>
      </c>
      <c r="R18" s="99" t="inlineStr">
        <is>
          <t>N</t>
        </is>
      </c>
      <c r="S18" s="99" t="n">
        <v>2.9</v>
      </c>
      <c r="T18" s="99" t="n">
        <v>16.1</v>
      </c>
      <c r="U18" s="99" t="inlineStr">
        <is>
          <t>Y</t>
        </is>
      </c>
      <c r="V18" s="99" t="n">
        <v>53.2</v>
      </c>
      <c r="W18" s="99" t="n">
        <v>17.9</v>
      </c>
      <c r="X18" s="99" t="n">
        <v>53.56</v>
      </c>
      <c r="Y18" s="99" t="n">
        <v>6.2</v>
      </c>
      <c r="Z18" s="99" t="n">
        <v>7</v>
      </c>
      <c r="AA18" s="94" t="inlineStr">
        <is>
          <t>STRONG SETUP</t>
        </is>
      </c>
    </row>
    <row r="19">
      <c r="A19" s="97" t="inlineStr">
        <is>
          <t>SAILIFE</t>
        </is>
      </c>
      <c r="B19" s="97" t="inlineStr">
        <is>
          <t>Sai Life Sciences Ltd.</t>
        </is>
      </c>
      <c r="C19" s="97" t="inlineStr">
        <is>
          <t>Healthcare</t>
        </is>
      </c>
      <c r="D19" s="97" t="inlineStr">
        <is>
          <t>Smallcap</t>
        </is>
      </c>
      <c r="E19" s="97" t="n">
        <v>1232.9</v>
      </c>
      <c r="F19" s="97" t="n">
        <v>-0.6</v>
      </c>
      <c r="G19" s="97" t="n">
        <v>273980</v>
      </c>
      <c r="H19" s="97" t="n">
        <v>0.71</v>
      </c>
      <c r="I19" s="97" t="n">
        <v>26174</v>
      </c>
      <c r="J19" s="97" t="inlineStr">
        <is>
          <t>Y</t>
        </is>
      </c>
      <c r="K19" s="97" t="inlineStr">
        <is>
          <t>Y</t>
        </is>
      </c>
      <c r="L19" s="97" t="inlineStr">
        <is>
          <t>Y</t>
        </is>
      </c>
      <c r="M19" s="97" t="n">
        <v>50.1</v>
      </c>
      <c r="N19" s="97" t="inlineStr">
        <is>
          <t>Y</t>
        </is>
      </c>
      <c r="O19" s="97" t="n">
        <v>37.46</v>
      </c>
      <c r="P19" s="97" t="inlineStr">
        <is>
          <t>N</t>
        </is>
      </c>
      <c r="Q19" s="97" t="inlineStr">
        <is>
          <t>N/A</t>
        </is>
      </c>
      <c r="R19" s="97" t="inlineStr">
        <is>
          <t>N</t>
        </is>
      </c>
      <c r="S19" s="97" t="n">
        <v>2</v>
      </c>
      <c r="T19" s="97" t="n">
        <v>17.4</v>
      </c>
      <c r="U19" s="97" t="inlineStr">
        <is>
          <t>Y</t>
        </is>
      </c>
      <c r="V19" s="97" t="n">
        <v>75.2</v>
      </c>
      <c r="W19" s="97" t="n">
        <v>15.1</v>
      </c>
      <c r="X19" s="97" t="n">
        <v>11.61</v>
      </c>
      <c r="Y19" s="97" t="n">
        <v>3.8</v>
      </c>
      <c r="Z19" s="97" t="n">
        <v>7</v>
      </c>
      <c r="AA19" s="92" t="inlineStr">
        <is>
          <t>STRONG SETUP</t>
        </is>
      </c>
    </row>
    <row r="20">
      <c r="A20" s="99" t="inlineStr">
        <is>
          <t>SHRIRAMFIN</t>
        </is>
      </c>
      <c r="B20" s="99" t="inlineStr">
        <is>
          <t>Shriram Finance Ltd.</t>
        </is>
      </c>
      <c r="C20" s="99" t="inlineStr">
        <is>
          <t>Financial Services</t>
        </is>
      </c>
      <c r="D20" s="99" t="inlineStr">
        <is>
          <t>Large/Midcap</t>
        </is>
      </c>
      <c r="E20" s="99" t="n">
        <v>1005.1</v>
      </c>
      <c r="F20" s="99" t="n">
        <v>-2.02</v>
      </c>
      <c r="G20" s="99" t="n">
        <v>11775846</v>
      </c>
      <c r="H20" s="99" t="n">
        <v>2.03</v>
      </c>
      <c r="I20" s="99" t="n">
        <v>236495</v>
      </c>
      <c r="J20" s="99" t="inlineStr">
        <is>
          <t>Y</t>
        </is>
      </c>
      <c r="K20" s="99" t="inlineStr">
        <is>
          <t>Y</t>
        </is>
      </c>
      <c r="L20" s="99" t="inlineStr">
        <is>
          <t>Y</t>
        </is>
      </c>
      <c r="M20" s="99" t="n">
        <v>38.4</v>
      </c>
      <c r="N20" s="99" t="inlineStr">
        <is>
          <t>N</t>
        </is>
      </c>
      <c r="O20" s="99" t="n">
        <v>34.04</v>
      </c>
      <c r="P20" s="99" t="inlineStr">
        <is>
          <t>Y</t>
        </is>
      </c>
      <c r="Q20" s="99" t="inlineStr">
        <is>
          <t>N/A</t>
        </is>
      </c>
      <c r="R20" s="99" t="inlineStr">
        <is>
          <t>N</t>
        </is>
      </c>
      <c r="S20" s="99" t="n">
        <v>-1</v>
      </c>
      <c r="T20" s="99" t="n">
        <v>6.2</v>
      </c>
      <c r="U20" s="99" t="inlineStr">
        <is>
          <t>Y</t>
        </is>
      </c>
      <c r="V20" s="99" t="n">
        <v>17.8</v>
      </c>
      <c r="W20" s="99" t="n">
        <v>18.5</v>
      </c>
      <c r="X20" s="99" t="n">
        <v>276.21</v>
      </c>
      <c r="Y20" s="99" t="n">
        <v>14.3</v>
      </c>
      <c r="Z20" s="99" t="n">
        <v>7</v>
      </c>
      <c r="AA20" s="94" t="inlineStr">
        <is>
          <t>STRONG SETUP</t>
        </is>
      </c>
    </row>
    <row r="21">
      <c r="A21" s="97" t="inlineStr">
        <is>
          <t>SUMICHEM</t>
        </is>
      </c>
      <c r="B21" s="97" t="inlineStr">
        <is>
          <t>Sumitomo Chemical India Ltd.</t>
        </is>
      </c>
      <c r="C21" s="97" t="inlineStr">
        <is>
          <t>Chemicals</t>
        </is>
      </c>
      <c r="D21" s="97" t="inlineStr">
        <is>
          <t>Smallcap</t>
        </is>
      </c>
      <c r="E21" s="97" t="n">
        <v>520.45</v>
      </c>
      <c r="F21" s="97" t="n">
        <v>-2</v>
      </c>
      <c r="G21" s="97" t="n">
        <v>280141</v>
      </c>
      <c r="H21" s="97" t="n">
        <v>0.63</v>
      </c>
      <c r="I21" s="97" t="n">
        <v>25978</v>
      </c>
      <c r="J21" s="97" t="inlineStr">
        <is>
          <t>Y</t>
        </is>
      </c>
      <c r="K21" s="97" t="inlineStr">
        <is>
          <t>Y</t>
        </is>
      </c>
      <c r="L21" s="97" t="inlineStr">
        <is>
          <t>Y</t>
        </is>
      </c>
      <c r="M21" s="97" t="n">
        <v>66.59999999999999</v>
      </c>
      <c r="N21" s="97" t="inlineStr">
        <is>
          <t>Y</t>
        </is>
      </c>
      <c r="O21" s="97" t="n">
        <v>18.62</v>
      </c>
      <c r="P21" s="97" t="inlineStr">
        <is>
          <t>N</t>
        </is>
      </c>
      <c r="Q21" s="97" t="inlineStr">
        <is>
          <t>N/A</t>
        </is>
      </c>
      <c r="R21" s="97" t="inlineStr">
        <is>
          <t>N</t>
        </is>
      </c>
      <c r="S21" s="97" t="n">
        <v>20.9</v>
      </c>
      <c r="T21" s="97" t="n">
        <v>20.1</v>
      </c>
      <c r="U21" s="97" t="inlineStr">
        <is>
          <t>Y</t>
        </is>
      </c>
      <c r="V21" s="97" t="n">
        <v>47.8</v>
      </c>
      <c r="W21" s="97" t="n">
        <v>17.2</v>
      </c>
      <c r="X21" s="97" t="n">
        <v>1.86</v>
      </c>
      <c r="Y21" s="97" t="n">
        <v>47.1</v>
      </c>
      <c r="Z21" s="97" t="n">
        <v>7</v>
      </c>
      <c r="AA21" s="92" t="inlineStr">
        <is>
          <t>STRONG SETUP</t>
        </is>
      </c>
    </row>
    <row r="22">
      <c r="A22" s="99" t="inlineStr">
        <is>
          <t>UNIONBANK</t>
        </is>
      </c>
      <c r="B22" s="99" t="inlineStr">
        <is>
          <t>Union Bank of India</t>
        </is>
      </c>
      <c r="C22" s="99" t="inlineStr">
        <is>
          <t>Financial Services</t>
        </is>
      </c>
      <c r="D22" s="99" t="inlineStr">
        <is>
          <t>Large/Midcap</t>
        </is>
      </c>
      <c r="E22" s="99" t="n">
        <v>170.5</v>
      </c>
      <c r="F22" s="99" t="n">
        <v>1.25</v>
      </c>
      <c r="G22" s="99" t="n">
        <v>13551971</v>
      </c>
      <c r="H22" s="99" t="n">
        <v>0.77</v>
      </c>
      <c r="I22" s="99" t="n">
        <v>130153</v>
      </c>
      <c r="J22" s="99" t="inlineStr">
        <is>
          <t>Y</t>
        </is>
      </c>
      <c r="K22" s="99" t="inlineStr">
        <is>
          <t>Y</t>
        </is>
      </c>
      <c r="L22" s="99" t="inlineStr">
        <is>
          <t>Y</t>
        </is>
      </c>
      <c r="M22" s="99" t="n">
        <v>60.2</v>
      </c>
      <c r="N22" s="99" t="inlineStr">
        <is>
          <t>Y</t>
        </is>
      </c>
      <c r="O22" s="99" t="n">
        <v>6.04</v>
      </c>
      <c r="P22" s="99" t="inlineStr">
        <is>
          <t>N</t>
        </is>
      </c>
      <c r="Q22" s="99" t="inlineStr">
        <is>
          <t>N/A</t>
        </is>
      </c>
      <c r="R22" s="99" t="inlineStr">
        <is>
          <t>N</t>
        </is>
      </c>
      <c r="S22" s="99" t="n">
        <v>1.5</v>
      </c>
      <c r="T22" s="99" t="n">
        <v>5.5</v>
      </c>
      <c r="U22" s="99" t="inlineStr">
        <is>
          <t>Y</t>
        </is>
      </c>
      <c r="V22" s="99" t="n">
        <v>6.3</v>
      </c>
      <c r="W22" s="99" t="n">
        <v>15.8</v>
      </c>
      <c r="X22" s="99" t="inlineStr">
        <is>
          <t>N/A</t>
        </is>
      </c>
      <c r="Y22" s="99" t="n">
        <v>2.5</v>
      </c>
      <c r="Z22" s="99" t="n">
        <v>7</v>
      </c>
      <c r="AA22" s="94" t="inlineStr">
        <is>
          <t>STRONG SETUP</t>
        </is>
      </c>
    </row>
    <row r="23">
      <c r="A23" s="97" t="inlineStr">
        <is>
          <t>ABB</t>
        </is>
      </c>
      <c r="B23" s="97" t="inlineStr">
        <is>
          <t>ABB India Ltd.</t>
        </is>
      </c>
      <c r="C23" s="97" t="inlineStr">
        <is>
          <t>Capital Goods</t>
        </is>
      </c>
      <c r="D23" s="97" t="inlineStr">
        <is>
          <t>Large/Midcap</t>
        </is>
      </c>
      <c r="E23" s="97" t="n">
        <v>7375.5</v>
      </c>
      <c r="F23" s="97" t="n">
        <v>-2.03</v>
      </c>
      <c r="G23" s="97" t="n">
        <v>258917</v>
      </c>
      <c r="H23" s="97" t="n">
        <v>1.01</v>
      </c>
      <c r="I23" s="97" t="n">
        <v>156293</v>
      </c>
      <c r="J23" s="97" t="inlineStr">
        <is>
          <t>Y</t>
        </is>
      </c>
      <c r="K23" s="97" t="inlineStr">
        <is>
          <t>Y</t>
        </is>
      </c>
      <c r="L23" s="97" t="inlineStr">
        <is>
          <t>Y</t>
        </is>
      </c>
      <c r="M23" s="97" t="n">
        <v>59.2</v>
      </c>
      <c r="N23" s="97" t="inlineStr">
        <is>
          <t>Y</t>
        </is>
      </c>
      <c r="O23" s="97" t="n">
        <v>231.89</v>
      </c>
      <c r="P23" s="97" t="inlineStr">
        <is>
          <t>N</t>
        </is>
      </c>
      <c r="Q23" s="97" t="inlineStr">
        <is>
          <t>N/A</t>
        </is>
      </c>
      <c r="R23" s="97" t="inlineStr">
        <is>
          <t>N</t>
        </is>
      </c>
      <c r="S23" s="97" t="n">
        <v>6.5</v>
      </c>
      <c r="T23" s="97" t="n">
        <v>2.5</v>
      </c>
      <c r="U23" s="97" t="inlineStr">
        <is>
          <t>Y</t>
        </is>
      </c>
      <c r="V23" s="97" t="n">
        <v>101</v>
      </c>
      <c r="W23" s="97" t="inlineStr">
        <is>
          <t>N/A</t>
        </is>
      </c>
      <c r="X23" s="97" t="n">
        <v>1.08</v>
      </c>
      <c r="Y23" s="97" t="n">
        <v>312.1</v>
      </c>
      <c r="Z23" s="97" t="n">
        <v>6</v>
      </c>
      <c r="AA23" s="92" t="inlineStr">
        <is>
          <t>WATCHLIST</t>
        </is>
      </c>
    </row>
    <row r="24">
      <c r="A24" s="99" t="inlineStr">
        <is>
          <t>ADANIENSOL</t>
        </is>
      </c>
      <c r="B24" s="99" t="inlineStr">
        <is>
          <t>Adani Energy Solutions Ltd.</t>
        </is>
      </c>
      <c r="C24" s="99" t="inlineStr">
        <is>
          <t>Power</t>
        </is>
      </c>
      <c r="D24" s="99" t="inlineStr">
        <is>
          <t>Large/Midcap</t>
        </is>
      </c>
      <c r="E24" s="99" t="n">
        <v>1702.2</v>
      </c>
      <c r="F24" s="99" t="n">
        <v>1.09</v>
      </c>
      <c r="G24" s="99" t="n">
        <v>2585952</v>
      </c>
      <c r="H24" s="99" t="n">
        <v>0.8100000000000001</v>
      </c>
      <c r="I24" s="99" t="n">
        <v>204482</v>
      </c>
      <c r="J24" s="99" t="inlineStr">
        <is>
          <t>Y</t>
        </is>
      </c>
      <c r="K24" s="99" t="inlineStr">
        <is>
          <t>Y</t>
        </is>
      </c>
      <c r="L24" s="99" t="inlineStr">
        <is>
          <t>Y</t>
        </is>
      </c>
      <c r="M24" s="99" t="n">
        <v>62.7</v>
      </c>
      <c r="N24" s="99" t="inlineStr">
        <is>
          <t>Y</t>
        </is>
      </c>
      <c r="O24" s="99" t="n">
        <v>57.94</v>
      </c>
      <c r="P24" s="99" t="inlineStr">
        <is>
          <t>N</t>
        </is>
      </c>
      <c r="Q24" s="99" t="inlineStr">
        <is>
          <t>N/A</t>
        </is>
      </c>
      <c r="R24" s="99" t="inlineStr">
        <is>
          <t>N</t>
        </is>
      </c>
      <c r="S24" s="99" t="n">
        <v>14</v>
      </c>
      <c r="T24" s="99" t="n">
        <v>20.6</v>
      </c>
      <c r="U24" s="99" t="inlineStr">
        <is>
          <t>Y</t>
        </is>
      </c>
      <c r="V24" s="99" t="n">
        <v>69.90000000000001</v>
      </c>
      <c r="W24" s="99" t="inlineStr">
        <is>
          <t>N/A</t>
        </is>
      </c>
      <c r="X24" s="99" t="n">
        <v>194.5</v>
      </c>
      <c r="Y24" s="99" t="n">
        <v>68</v>
      </c>
      <c r="Z24" s="99" t="n">
        <v>6</v>
      </c>
      <c r="AA24" s="94" t="inlineStr">
        <is>
          <t>WATCHLIST</t>
        </is>
      </c>
    </row>
    <row r="25">
      <c r="A25" s="97" t="inlineStr">
        <is>
          <t>CPPLUS</t>
        </is>
      </c>
      <c r="B25" s="97" t="inlineStr">
        <is>
          <t>Aditya Infotech Ltd.</t>
        </is>
      </c>
      <c r="C25" s="97" t="inlineStr">
        <is>
          <t>Capital Goods</t>
        </is>
      </c>
      <c r="D25" s="97" t="inlineStr">
        <is>
          <t>Smallcap</t>
        </is>
      </c>
      <c r="E25" s="97" t="n">
        <v>3543.4</v>
      </c>
      <c r="F25" s="97" t="n">
        <v>-1.92</v>
      </c>
      <c r="G25" s="97" t="n">
        <v>150044</v>
      </c>
      <c r="H25" s="97" t="n">
        <v>0.92</v>
      </c>
      <c r="I25" s="97" t="n">
        <v>41759</v>
      </c>
      <c r="J25" s="97" t="inlineStr">
        <is>
          <t>Y</t>
        </is>
      </c>
      <c r="K25" s="97" t="inlineStr">
        <is>
          <t>Y</t>
        </is>
      </c>
      <c r="L25" s="97" t="inlineStr">
        <is>
          <t>Y</t>
        </is>
      </c>
      <c r="M25" s="97" t="n">
        <v>46.6</v>
      </c>
      <c r="N25" s="97" t="inlineStr">
        <is>
          <t>N</t>
        </is>
      </c>
      <c r="O25" s="97" t="n">
        <v>149.04</v>
      </c>
      <c r="P25" s="97" t="inlineStr">
        <is>
          <t>N</t>
        </is>
      </c>
      <c r="Q25" s="97" t="inlineStr">
        <is>
          <t>N/A</t>
        </is>
      </c>
      <c r="R25" s="97" t="inlineStr">
        <is>
          <t>N</t>
        </is>
      </c>
      <c r="S25" s="97" t="n">
        <v>0.7</v>
      </c>
      <c r="T25" s="97" t="n">
        <v>52.1</v>
      </c>
      <c r="U25" s="97" t="inlineStr">
        <is>
          <t>Y</t>
        </is>
      </c>
      <c r="V25" s="97" t="n">
        <v>111.1</v>
      </c>
      <c r="W25" s="97" t="n">
        <v>25.4</v>
      </c>
      <c r="X25" s="97" t="n">
        <v>9.6</v>
      </c>
      <c r="Y25" s="97" t="n">
        <v>76.2</v>
      </c>
      <c r="Z25" s="97" t="n">
        <v>6</v>
      </c>
      <c r="AA25" s="92" t="inlineStr">
        <is>
          <t>WATCHLIST</t>
        </is>
      </c>
    </row>
    <row r="26">
      <c r="A26" s="99" t="inlineStr">
        <is>
          <t>AEGISLOG</t>
        </is>
      </c>
      <c r="B26" s="99" t="inlineStr">
        <is>
          <t>Aegis Logistics Ltd.</t>
        </is>
      </c>
      <c r="C26" s="99" t="inlineStr">
        <is>
          <t>Oil Gas &amp; Consumable Fuels</t>
        </is>
      </c>
      <c r="D26" s="99" t="inlineStr">
        <is>
          <t>Smallcap</t>
        </is>
      </c>
      <c r="E26" s="99" t="n">
        <v>1349.6</v>
      </c>
      <c r="F26" s="99" t="n">
        <v>-1.41</v>
      </c>
      <c r="G26" s="99" t="n">
        <v>1168708</v>
      </c>
      <c r="H26" s="99" t="n">
        <v>0.73</v>
      </c>
      <c r="I26" s="99" t="n">
        <v>47371</v>
      </c>
      <c r="J26" s="99" t="inlineStr">
        <is>
          <t>Y</t>
        </is>
      </c>
      <c r="K26" s="99" t="inlineStr">
        <is>
          <t>Y</t>
        </is>
      </c>
      <c r="L26" s="99" t="inlineStr">
        <is>
          <t>Y</t>
        </is>
      </c>
      <c r="M26" s="99" t="n">
        <v>46.1</v>
      </c>
      <c r="N26" s="99" t="inlineStr">
        <is>
          <t>N</t>
        </is>
      </c>
      <c r="O26" s="99" t="n">
        <v>91.17</v>
      </c>
      <c r="P26" s="99" t="inlineStr">
        <is>
          <t>N</t>
        </is>
      </c>
      <c r="Q26" s="99" t="inlineStr">
        <is>
          <t>N/A</t>
        </is>
      </c>
      <c r="R26" s="99" t="inlineStr">
        <is>
          <t>N</t>
        </is>
      </c>
      <c r="S26" s="99" t="n">
        <v>20</v>
      </c>
      <c r="T26" s="99" t="n">
        <v>91.7</v>
      </c>
      <c r="U26" s="99" t="inlineStr">
        <is>
          <t>Y</t>
        </is>
      </c>
      <c r="V26" s="99" t="n">
        <v>52.6</v>
      </c>
      <c r="W26" s="99" t="n">
        <v>15.3</v>
      </c>
      <c r="X26" s="99" t="n">
        <v>47.24</v>
      </c>
      <c r="Y26" s="99" t="n">
        <v>132.1</v>
      </c>
      <c r="Z26" s="99" t="n">
        <v>6</v>
      </c>
      <c r="AA26" s="94" t="inlineStr">
        <is>
          <t>WATCHLIST</t>
        </is>
      </c>
    </row>
    <row r="27">
      <c r="A27" s="97" t="inlineStr">
        <is>
          <t>AEGISVOPAK</t>
        </is>
      </c>
      <c r="B27" s="97" t="inlineStr">
        <is>
          <t>Aegis Vopak Terminals Ltd.</t>
        </is>
      </c>
      <c r="C27" s="97" t="inlineStr">
        <is>
          <t>Oil Gas &amp; Consumable Fuels</t>
        </is>
      </c>
      <c r="D27" s="97" t="inlineStr">
        <is>
          <t>Smallcap</t>
        </is>
      </c>
      <c r="E27" s="97" t="n">
        <v>292.64</v>
      </c>
      <c r="F27" s="97" t="n">
        <v>-0.74</v>
      </c>
      <c r="G27" s="97" t="n">
        <v>1300277</v>
      </c>
      <c r="H27" s="97" t="n">
        <v>0.41</v>
      </c>
      <c r="I27" s="97" t="n">
        <v>32424</v>
      </c>
      <c r="J27" s="97" t="inlineStr">
        <is>
          <t>Y</t>
        </is>
      </c>
      <c r="K27" s="97" t="inlineStr">
        <is>
          <t>Y</t>
        </is>
      </c>
      <c r="L27" s="97" t="inlineStr">
        <is>
          <t>Y</t>
        </is>
      </c>
      <c r="M27" s="97" t="n">
        <v>55.1</v>
      </c>
      <c r="N27" s="97" t="inlineStr">
        <is>
          <t>Y</t>
        </is>
      </c>
      <c r="O27" s="97" t="n">
        <v>18.82</v>
      </c>
      <c r="P27" s="97" t="inlineStr">
        <is>
          <t>N</t>
        </is>
      </c>
      <c r="Q27" s="97" t="inlineStr">
        <is>
          <t>N/A</t>
        </is>
      </c>
      <c r="R27" s="97" t="inlineStr">
        <is>
          <t>N</t>
        </is>
      </c>
      <c r="S27" s="97" t="n">
        <v>26.6</v>
      </c>
      <c r="T27" s="97" t="n">
        <v>51.1</v>
      </c>
      <c r="U27" s="97" t="inlineStr">
        <is>
          <t>Y</t>
        </is>
      </c>
      <c r="V27" s="97" t="n">
        <v>103</v>
      </c>
      <c r="W27" s="97" t="n">
        <v>11.6</v>
      </c>
      <c r="X27" s="97" t="n">
        <v>84.44</v>
      </c>
      <c r="Y27" s="97" t="n">
        <v>11.6</v>
      </c>
      <c r="Z27" s="97" t="n">
        <v>6</v>
      </c>
      <c r="AA27" s="92" t="inlineStr">
        <is>
          <t>WATCHLIST</t>
        </is>
      </c>
    </row>
    <row r="28">
      <c r="A28" s="99" t="inlineStr">
        <is>
          <t>ALKEM</t>
        </is>
      </c>
      <c r="B28" s="99" t="inlineStr">
        <is>
          <t>Alkem Laboratories Ltd.</t>
        </is>
      </c>
      <c r="C28" s="99" t="inlineStr">
        <is>
          <t>Healthcare</t>
        </is>
      </c>
      <c r="D28" s="99" t="inlineStr">
        <is>
          <t>Large/Midcap</t>
        </is>
      </c>
      <c r="E28" s="99" t="n">
        <v>5633.5</v>
      </c>
      <c r="F28" s="99" t="n">
        <v>0.5600000000000001</v>
      </c>
      <c r="G28" s="99" t="n">
        <v>55151</v>
      </c>
      <c r="H28" s="99" t="n">
        <v>0.88</v>
      </c>
      <c r="I28" s="99" t="n">
        <v>67357</v>
      </c>
      <c r="J28" s="99" t="inlineStr">
        <is>
          <t>Y</t>
        </is>
      </c>
      <c r="K28" s="99" t="inlineStr">
        <is>
          <t>Y</t>
        </is>
      </c>
      <c r="L28" s="99" t="inlineStr">
        <is>
          <t>Y</t>
        </is>
      </c>
      <c r="M28" s="99" t="n">
        <v>52.1</v>
      </c>
      <c r="N28" s="99" t="inlineStr">
        <is>
          <t>Y</t>
        </is>
      </c>
      <c r="O28" s="99" t="n">
        <v>125.25</v>
      </c>
      <c r="P28" s="99" t="inlineStr">
        <is>
          <t>N</t>
        </is>
      </c>
      <c r="Q28" s="99" t="inlineStr">
        <is>
          <t>N/A</t>
        </is>
      </c>
      <c r="R28" s="99" t="inlineStr">
        <is>
          <t>N</t>
        </is>
      </c>
      <c r="S28" s="99" t="n">
        <v>4.9</v>
      </c>
      <c r="T28" s="99" t="n">
        <v>6</v>
      </c>
      <c r="U28" s="99" t="inlineStr">
        <is>
          <t>Y</t>
        </is>
      </c>
      <c r="V28" s="99" t="n">
        <v>29.2</v>
      </c>
      <c r="W28" s="99" t="n">
        <v>17.6</v>
      </c>
      <c r="X28" s="99" t="n">
        <v>14.27</v>
      </c>
      <c r="Y28" s="99" t="n">
        <v>-62.8</v>
      </c>
      <c r="Z28" s="99" t="n">
        <v>6</v>
      </c>
      <c r="AA28" s="94" t="inlineStr">
        <is>
          <t>WATCHLIST</t>
        </is>
      </c>
    </row>
    <row r="29">
      <c r="A29" s="97" t="inlineStr">
        <is>
          <t>ANANTRAJ</t>
        </is>
      </c>
      <c r="B29" s="97" t="inlineStr">
        <is>
          <t>Anant Raj Ltd.</t>
        </is>
      </c>
      <c r="C29" s="97" t="inlineStr">
        <is>
          <t>Realty</t>
        </is>
      </c>
      <c r="D29" s="97" t="inlineStr">
        <is>
          <t>Smallcap</t>
        </is>
      </c>
      <c r="E29" s="97" t="n">
        <v>586.55</v>
      </c>
      <c r="F29" s="97" t="n">
        <v>-0.1</v>
      </c>
      <c r="G29" s="97" t="n">
        <v>3000923</v>
      </c>
      <c r="H29" s="97" t="n">
        <v>0.63</v>
      </c>
      <c r="I29" s="97" t="n">
        <v>21109</v>
      </c>
      <c r="J29" s="97" t="inlineStr">
        <is>
          <t>Y</t>
        </is>
      </c>
      <c r="K29" s="97" t="inlineStr">
        <is>
          <t>Y</t>
        </is>
      </c>
      <c r="L29" s="97" t="inlineStr">
        <is>
          <t>Y</t>
        </is>
      </c>
      <c r="M29" s="97" t="n">
        <v>61.7</v>
      </c>
      <c r="N29" s="97" t="inlineStr">
        <is>
          <t>Y</t>
        </is>
      </c>
      <c r="O29" s="97" t="n">
        <v>22.92</v>
      </c>
      <c r="P29" s="97" t="inlineStr">
        <is>
          <t>N</t>
        </is>
      </c>
      <c r="Q29" s="97" t="inlineStr">
        <is>
          <t>N/A</t>
        </is>
      </c>
      <c r="R29" s="97" t="inlineStr">
        <is>
          <t>N</t>
        </is>
      </c>
      <c r="S29" s="97" t="n">
        <v>13.3</v>
      </c>
      <c r="T29" s="97" t="n">
        <v>20</v>
      </c>
      <c r="U29" s="97" t="inlineStr">
        <is>
          <t>Y</t>
        </is>
      </c>
      <c r="V29" s="97" t="n">
        <v>37</v>
      </c>
      <c r="W29" s="97" t="n">
        <v>11.2</v>
      </c>
      <c r="X29" s="97" t="n">
        <v>11.7</v>
      </c>
      <c r="Y29" s="97" t="n">
        <v>1.6</v>
      </c>
      <c r="Z29" s="97" t="n">
        <v>6</v>
      </c>
      <c r="AA29" s="92" t="inlineStr">
        <is>
          <t>WATCHLIST</t>
        </is>
      </c>
    </row>
    <row r="30">
      <c r="A30" s="99" t="inlineStr">
        <is>
          <t>APOLLOHOSP</t>
        </is>
      </c>
      <c r="B30" s="99" t="inlineStr">
        <is>
          <t>Apollo Hospitals Enterprise Ltd.</t>
        </is>
      </c>
      <c r="C30" s="99" t="inlineStr">
        <is>
          <t>Healthcare</t>
        </is>
      </c>
      <c r="D30" s="99" t="inlineStr">
        <is>
          <t>Large/Midcap</t>
        </is>
      </c>
      <c r="E30" s="99" t="n">
        <v>8805.5</v>
      </c>
      <c r="F30" s="99" t="n">
        <v>-0.64</v>
      </c>
      <c r="G30" s="99" t="n">
        <v>189462</v>
      </c>
      <c r="H30" s="99" t="n">
        <v>1.12</v>
      </c>
      <c r="I30" s="99" t="n">
        <v>126610</v>
      </c>
      <c r="J30" s="99" t="inlineStr">
        <is>
          <t>Y</t>
        </is>
      </c>
      <c r="K30" s="99" t="inlineStr">
        <is>
          <t>Y</t>
        </is>
      </c>
      <c r="L30" s="99" t="inlineStr">
        <is>
          <t>Y</t>
        </is>
      </c>
      <c r="M30" s="99" t="n">
        <v>44.8</v>
      </c>
      <c r="N30" s="99" t="inlineStr">
        <is>
          <t>N</t>
        </is>
      </c>
      <c r="O30" s="99" t="n">
        <v>132.43</v>
      </c>
      <c r="P30" s="99" t="inlineStr">
        <is>
          <t>N</t>
        </is>
      </c>
      <c r="Q30" s="99" t="inlineStr">
        <is>
          <t>N/A</t>
        </is>
      </c>
      <c r="R30" s="99" t="inlineStr">
        <is>
          <t>N</t>
        </is>
      </c>
      <c r="S30" s="99" t="n">
        <v>3.5</v>
      </c>
      <c r="T30" s="99" t="n">
        <v>14.8</v>
      </c>
      <c r="U30" s="99" t="inlineStr">
        <is>
          <t>Y</t>
        </is>
      </c>
      <c r="V30" s="99" t="n">
        <v>65.40000000000001</v>
      </c>
      <c r="W30" s="99" t="n">
        <v>21.5</v>
      </c>
      <c r="X30" s="99" t="n">
        <v>85.15000000000001</v>
      </c>
      <c r="Y30" s="99" t="n">
        <v>5.4</v>
      </c>
      <c r="Z30" s="99" t="n">
        <v>6</v>
      </c>
      <c r="AA30" s="94" t="inlineStr">
        <is>
          <t>WATCHLIST</t>
        </is>
      </c>
    </row>
    <row r="31">
      <c r="A31" s="97" t="inlineStr">
        <is>
          <t>APTUS</t>
        </is>
      </c>
      <c r="B31" s="97" t="inlineStr">
        <is>
          <t>Aptus Value Housing Finance India Ltd.</t>
        </is>
      </c>
      <c r="C31" s="97" t="inlineStr">
        <is>
          <t>Financial Services</t>
        </is>
      </c>
      <c r="D31" s="97" t="inlineStr">
        <is>
          <t>Smallcap</t>
        </is>
      </c>
      <c r="E31" s="97" t="n">
        <v>277.15</v>
      </c>
      <c r="F31" s="97" t="n">
        <v>-2.65</v>
      </c>
      <c r="G31" s="97" t="n">
        <v>932035</v>
      </c>
      <c r="H31" s="97" t="n">
        <v>1.34</v>
      </c>
      <c r="I31" s="97" t="n">
        <v>13879</v>
      </c>
      <c r="J31" s="97" t="inlineStr">
        <is>
          <t>Y</t>
        </is>
      </c>
      <c r="K31" s="97" t="inlineStr">
        <is>
          <t>Y</t>
        </is>
      </c>
      <c r="L31" s="97" t="inlineStr">
        <is>
          <t>Y</t>
        </is>
      </c>
      <c r="M31" s="97" t="n">
        <v>43.7</v>
      </c>
      <c r="N31" s="97" t="inlineStr">
        <is>
          <t>N</t>
        </is>
      </c>
      <c r="O31" s="97" t="n">
        <v>8.789999999999999</v>
      </c>
      <c r="P31" s="97" t="inlineStr">
        <is>
          <t>N</t>
        </is>
      </c>
      <c r="Q31" s="97" t="inlineStr">
        <is>
          <t>N/A</t>
        </is>
      </c>
      <c r="R31" s="97" t="inlineStr">
        <is>
          <t>N</t>
        </is>
      </c>
      <c r="S31" s="97" t="n">
        <v>5.6</v>
      </c>
      <c r="T31" s="97" t="n">
        <v>6.2</v>
      </c>
      <c r="U31" s="97" t="inlineStr">
        <is>
          <t>Y</t>
        </is>
      </c>
      <c r="V31" s="97" t="n">
        <v>14.7</v>
      </c>
      <c r="W31" s="97" t="n">
        <v>20.1</v>
      </c>
      <c r="X31" s="97" t="n">
        <v>156.2</v>
      </c>
      <c r="Y31" s="97" t="n">
        <v>10.5</v>
      </c>
      <c r="Z31" s="97" t="n">
        <v>6</v>
      </c>
      <c r="AA31" s="92" t="inlineStr">
        <is>
          <t>WATCHLIST</t>
        </is>
      </c>
    </row>
    <row r="32">
      <c r="A32" s="99" t="inlineStr">
        <is>
          <t>AIIL</t>
        </is>
      </c>
      <c r="B32" s="99" t="inlineStr">
        <is>
          <t>Authum Investment &amp; Infrastructure Ltd.</t>
        </is>
      </c>
      <c r="C32" s="99" t="inlineStr">
        <is>
          <t>Financial Services</t>
        </is>
      </c>
      <c r="D32" s="99" t="inlineStr">
        <is>
          <t>Large/Midcap</t>
        </is>
      </c>
      <c r="E32" s="99" t="n">
        <v>531.1</v>
      </c>
      <c r="F32" s="99" t="n">
        <v>-1.77</v>
      </c>
      <c r="G32" s="99" t="n">
        <v>164861</v>
      </c>
      <c r="H32" s="99" t="n">
        <v>0.15</v>
      </c>
      <c r="I32" s="99" t="n">
        <v>45102</v>
      </c>
      <c r="J32" s="99" t="inlineStr">
        <is>
          <t>Y</t>
        </is>
      </c>
      <c r="K32" s="99" t="inlineStr">
        <is>
          <t>Y</t>
        </is>
      </c>
      <c r="L32" s="99" t="inlineStr">
        <is>
          <t>Y</t>
        </is>
      </c>
      <c r="M32" s="99" t="n">
        <v>52.5</v>
      </c>
      <c r="N32" s="99" t="inlineStr">
        <is>
          <t>Y</t>
        </is>
      </c>
      <c r="O32" s="99" t="n">
        <v>23.57</v>
      </c>
      <c r="P32" s="99" t="inlineStr">
        <is>
          <t>N</t>
        </is>
      </c>
      <c r="Q32" s="99" t="inlineStr">
        <is>
          <t>N/A</t>
        </is>
      </c>
      <c r="R32" s="99" t="inlineStr">
        <is>
          <t>N</t>
        </is>
      </c>
      <c r="S32" s="99" t="n">
        <v>3.6</v>
      </c>
      <c r="T32" s="99" t="n">
        <v>9.699999999999999</v>
      </c>
      <c r="U32" s="99" t="inlineStr">
        <is>
          <t>Y</t>
        </is>
      </c>
      <c r="V32" s="99" t="n">
        <v>27.8</v>
      </c>
      <c r="W32" s="99" t="inlineStr">
        <is>
          <t>N/A</t>
        </is>
      </c>
      <c r="X32" s="99" t="n">
        <v>24.59</v>
      </c>
      <c r="Y32" s="99" t="n">
        <v>1758.6</v>
      </c>
      <c r="Z32" s="99" t="n">
        <v>6</v>
      </c>
      <c r="AA32" s="94" t="inlineStr">
        <is>
          <t>WATCHLIST</t>
        </is>
      </c>
    </row>
    <row r="33">
      <c r="A33" s="97" t="inlineStr">
        <is>
          <t>BALRAMCHIN</t>
        </is>
      </c>
      <c r="B33" s="97" t="inlineStr">
        <is>
          <t>Balrampur Chini Mills Ltd.</t>
        </is>
      </c>
      <c r="C33" s="97" t="inlineStr">
        <is>
          <t>Fast Moving Consumer Goods</t>
        </is>
      </c>
      <c r="D33" s="97" t="inlineStr">
        <is>
          <t>Smallcap</t>
        </is>
      </c>
      <c r="E33" s="97" t="n">
        <v>610.15</v>
      </c>
      <c r="F33" s="97" t="n">
        <v>-0.43</v>
      </c>
      <c r="G33" s="97" t="n">
        <v>237043</v>
      </c>
      <c r="H33" s="97" t="n">
        <v>0.17</v>
      </c>
      <c r="I33" s="97" t="n">
        <v>12890</v>
      </c>
      <c r="J33" s="97" t="inlineStr">
        <is>
          <t>Y</t>
        </is>
      </c>
      <c r="K33" s="97" t="inlineStr">
        <is>
          <t>Y</t>
        </is>
      </c>
      <c r="L33" s="97" t="inlineStr">
        <is>
          <t>Y</t>
        </is>
      </c>
      <c r="M33" s="97" t="n">
        <v>67.40000000000001</v>
      </c>
      <c r="N33" s="97" t="inlineStr">
        <is>
          <t>Y</t>
        </is>
      </c>
      <c r="O33" s="97" t="n">
        <v>19.26</v>
      </c>
      <c r="P33" s="97" t="inlineStr">
        <is>
          <t>N</t>
        </is>
      </c>
      <c r="Q33" s="97" t="inlineStr">
        <is>
          <t>N/A</t>
        </is>
      </c>
      <c r="R33" s="97" t="inlineStr">
        <is>
          <t>N</t>
        </is>
      </c>
      <c r="S33" s="97" t="n">
        <v>15.3</v>
      </c>
      <c r="T33" s="97" t="n">
        <v>20.1</v>
      </c>
      <c r="U33" s="97" t="inlineStr">
        <is>
          <t>Y</t>
        </is>
      </c>
      <c r="V33" s="97" t="n">
        <v>32.8</v>
      </c>
      <c r="W33" s="97" t="n">
        <v>9.5</v>
      </c>
      <c r="X33" s="97" t="n">
        <v>76.61</v>
      </c>
      <c r="Y33" s="97" t="n">
        <v>40.7</v>
      </c>
      <c r="Z33" s="97" t="n">
        <v>6</v>
      </c>
      <c r="AA33" s="92" t="inlineStr">
        <is>
          <t>WATCHLIST</t>
        </is>
      </c>
    </row>
    <row r="34">
      <c r="A34" s="99" t="inlineStr">
        <is>
          <t>BELRISE</t>
        </is>
      </c>
      <c r="B34" s="99" t="inlineStr">
        <is>
          <t>Belrise Industries Ltd.</t>
        </is>
      </c>
      <c r="C34" s="99" t="inlineStr">
        <is>
          <t>Automobile and Auto Components</t>
        </is>
      </c>
      <c r="D34" s="99" t="inlineStr">
        <is>
          <t>Smallcap</t>
        </is>
      </c>
      <c r="E34" s="99" t="n">
        <v>228.26</v>
      </c>
      <c r="F34" s="99" t="n">
        <v>-0.46</v>
      </c>
      <c r="G34" s="99" t="n">
        <v>2981139</v>
      </c>
      <c r="H34" s="99" t="n">
        <v>0.75</v>
      </c>
      <c r="I34" s="99" t="n">
        <v>22076</v>
      </c>
      <c r="J34" s="99" t="inlineStr">
        <is>
          <t>Y</t>
        </is>
      </c>
      <c r="K34" s="99" t="inlineStr">
        <is>
          <t>Y</t>
        </is>
      </c>
      <c r="L34" s="99" t="inlineStr">
        <is>
          <t>Y</t>
        </is>
      </c>
      <c r="M34" s="99" t="n">
        <v>55.3</v>
      </c>
      <c r="N34" s="99" t="inlineStr">
        <is>
          <t>Y</t>
        </is>
      </c>
      <c r="O34" s="99" t="n">
        <v>7.58</v>
      </c>
      <c r="P34" s="99" t="inlineStr">
        <is>
          <t>N</t>
        </is>
      </c>
      <c r="Q34" s="99" t="inlineStr">
        <is>
          <t>N/A</t>
        </is>
      </c>
      <c r="R34" s="99" t="inlineStr">
        <is>
          <t>N</t>
        </is>
      </c>
      <c r="S34" s="99" t="n">
        <v>-6</v>
      </c>
      <c r="T34" s="99" t="n">
        <v>7.2</v>
      </c>
      <c r="U34" s="99" t="inlineStr">
        <is>
          <t>Y</t>
        </is>
      </c>
      <c r="V34" s="99" t="n">
        <v>39.2</v>
      </c>
      <c r="W34" s="99" t="n">
        <v>12.5</v>
      </c>
      <c r="X34" s="99" t="n">
        <v>29.1</v>
      </c>
      <c r="Y34" s="99" t="n">
        <v>6.8</v>
      </c>
      <c r="Z34" s="99" t="n">
        <v>6</v>
      </c>
      <c r="AA34" s="94" t="inlineStr">
        <is>
          <t>WATCHLIST</t>
        </is>
      </c>
    </row>
    <row r="35">
      <c r="A35" s="97" t="inlineStr">
        <is>
          <t>MAPMYINDIA</t>
        </is>
      </c>
      <c r="B35" s="97" t="inlineStr">
        <is>
          <t>C.E. Info Systems Ltd.</t>
        </is>
      </c>
      <c r="C35" s="97" t="inlineStr">
        <is>
          <t>Information Technology</t>
        </is>
      </c>
      <c r="D35" s="97" t="inlineStr">
        <is>
          <t>Smallcap</t>
        </is>
      </c>
      <c r="E35" s="97" t="n">
        <v>1117.1</v>
      </c>
      <c r="F35" s="97" t="n">
        <v>3.26</v>
      </c>
      <c r="G35" s="97" t="n">
        <v>399157</v>
      </c>
      <c r="H35" s="97" t="n">
        <v>0.48</v>
      </c>
      <c r="I35" s="97" t="n">
        <v>6117</v>
      </c>
      <c r="J35" s="97" t="inlineStr">
        <is>
          <t>Y</t>
        </is>
      </c>
      <c r="K35" s="97" t="inlineStr">
        <is>
          <t>Y</t>
        </is>
      </c>
      <c r="L35" s="97" t="inlineStr">
        <is>
          <t>N</t>
        </is>
      </c>
      <c r="M35" s="97" t="n">
        <v>66.8</v>
      </c>
      <c r="N35" s="97" t="inlineStr">
        <is>
          <t>Y</t>
        </is>
      </c>
      <c r="O35" s="97" t="n">
        <v>71.34999999999999</v>
      </c>
      <c r="P35" s="97" t="inlineStr">
        <is>
          <t>N</t>
        </is>
      </c>
      <c r="Q35" s="97" t="inlineStr">
        <is>
          <t>N/A</t>
        </is>
      </c>
      <c r="R35" s="97" t="inlineStr">
        <is>
          <t>N</t>
        </is>
      </c>
      <c r="S35" s="97" t="n">
        <v>33.9</v>
      </c>
      <c r="T35" s="97" t="n">
        <v>20.7</v>
      </c>
      <c r="U35" s="97" t="inlineStr">
        <is>
          <t>Y</t>
        </is>
      </c>
      <c r="V35" s="97" t="n">
        <v>45.7</v>
      </c>
      <c r="W35" s="97" t="n">
        <v>15.6</v>
      </c>
      <c r="X35" s="97" t="n">
        <v>0.78</v>
      </c>
      <c r="Y35" s="97" t="n">
        <v>170.5</v>
      </c>
      <c r="Z35" s="97" t="n">
        <v>6</v>
      </c>
      <c r="AA35" s="92" t="inlineStr">
        <is>
          <t>WATCHLIST</t>
        </is>
      </c>
    </row>
    <row r="36">
      <c r="A36" s="99" t="inlineStr">
        <is>
          <t>CCL</t>
        </is>
      </c>
      <c r="B36" s="99" t="inlineStr">
        <is>
          <t>CCL Products (I) Ltd.</t>
        </is>
      </c>
      <c r="C36" s="99" t="inlineStr">
        <is>
          <t>Fast Moving Consumer Goods</t>
        </is>
      </c>
      <c r="D36" s="99" t="inlineStr">
        <is>
          <t>Smallcap</t>
        </is>
      </c>
      <c r="E36" s="99" t="n">
        <v>1183.6</v>
      </c>
      <c r="F36" s="99" t="n">
        <v>-0.14</v>
      </c>
      <c r="G36" s="99" t="n">
        <v>55391</v>
      </c>
      <c r="H36" s="99" t="n">
        <v>0.83</v>
      </c>
      <c r="I36" s="99" t="n">
        <v>15781</v>
      </c>
      <c r="J36" s="99" t="inlineStr">
        <is>
          <t>Y</t>
        </is>
      </c>
      <c r="K36" s="99" t="inlineStr">
        <is>
          <t>Y</t>
        </is>
      </c>
      <c r="L36" s="99" t="inlineStr">
        <is>
          <t>Y</t>
        </is>
      </c>
      <c r="M36" s="99" t="n">
        <v>44.3</v>
      </c>
      <c r="N36" s="99" t="inlineStr">
        <is>
          <t>N</t>
        </is>
      </c>
      <c r="O36" s="99" t="n">
        <v>31.96</v>
      </c>
      <c r="P36" s="99" t="inlineStr">
        <is>
          <t>N</t>
        </is>
      </c>
      <c r="Q36" s="99" t="inlineStr">
        <is>
          <t>N/A</t>
        </is>
      </c>
      <c r="R36" s="99" t="inlineStr">
        <is>
          <t>N</t>
        </is>
      </c>
      <c r="S36" s="99" t="n">
        <v>2.8</v>
      </c>
      <c r="T36" s="99" t="n">
        <v>5.7</v>
      </c>
      <c r="U36" s="99" t="inlineStr">
        <is>
          <t>Y</t>
        </is>
      </c>
      <c r="V36" s="99" t="n">
        <v>40.6</v>
      </c>
      <c r="W36" s="99" t="n">
        <v>18</v>
      </c>
      <c r="X36" s="99" t="n">
        <v>56.49</v>
      </c>
      <c r="Y36" s="99" t="n">
        <v>14.2</v>
      </c>
      <c r="Z36" s="99" t="n">
        <v>6</v>
      </c>
      <c r="AA36" s="94" t="inlineStr">
        <is>
          <t>WATCHLIST</t>
        </is>
      </c>
    </row>
    <row r="37">
      <c r="A37" s="97" t="inlineStr">
        <is>
          <t>CRISIL</t>
        </is>
      </c>
      <c r="B37" s="97" t="inlineStr">
        <is>
          <t>CRISIL Ltd.</t>
        </is>
      </c>
      <c r="C37" s="97" t="inlineStr">
        <is>
          <t>Financial Services</t>
        </is>
      </c>
      <c r="D37" s="97" t="inlineStr">
        <is>
          <t>Large/Midcap</t>
        </is>
      </c>
      <c r="E37" s="97" t="n">
        <v>4347.2</v>
      </c>
      <c r="F37" s="97" t="n">
        <v>-1.19</v>
      </c>
      <c r="G37" s="97" t="n">
        <v>84133</v>
      </c>
      <c r="H37" s="97" t="n">
        <v>0.38</v>
      </c>
      <c r="I37" s="97" t="n">
        <v>31791</v>
      </c>
      <c r="J37" s="97" t="inlineStr">
        <is>
          <t>Y</t>
        </is>
      </c>
      <c r="K37" s="97" t="inlineStr">
        <is>
          <t>Y</t>
        </is>
      </c>
      <c r="L37" s="97" t="inlineStr">
        <is>
          <t>Y</t>
        </is>
      </c>
      <c r="M37" s="97" t="n">
        <v>69.40000000000001</v>
      </c>
      <c r="N37" s="97" t="inlineStr">
        <is>
          <t>Y</t>
        </is>
      </c>
      <c r="O37" s="97" t="n">
        <v>132.71</v>
      </c>
      <c r="P37" s="97" t="inlineStr">
        <is>
          <t>N</t>
        </is>
      </c>
      <c r="Q37" s="97" t="inlineStr">
        <is>
          <t>N/A</t>
        </is>
      </c>
      <c r="R37" s="97" t="inlineStr">
        <is>
          <t>N</t>
        </is>
      </c>
      <c r="S37" s="97" t="n">
        <v>7.3</v>
      </c>
      <c r="T37" s="97" t="n">
        <v>1.2</v>
      </c>
      <c r="U37" s="97" t="inlineStr">
        <is>
          <t>Y</t>
        </is>
      </c>
      <c r="V37" s="97" t="n">
        <v>36</v>
      </c>
      <c r="W37" s="97" t="n">
        <v>29.1</v>
      </c>
      <c r="X37" s="97" t="n">
        <v>10.23</v>
      </c>
      <c r="Y37" s="97" t="n">
        <v>-7.2</v>
      </c>
      <c r="Z37" s="97" t="n">
        <v>6</v>
      </c>
      <c r="AA37" s="92" t="inlineStr">
        <is>
          <t>WATCHLIST</t>
        </is>
      </c>
    </row>
    <row r="38">
      <c r="A38" s="99" t="inlineStr">
        <is>
          <t>CAPLIPOINT</t>
        </is>
      </c>
      <c r="B38" s="99" t="inlineStr">
        <is>
          <t>Caplin Point Laboratories Ltd.</t>
        </is>
      </c>
      <c r="C38" s="99" t="inlineStr">
        <is>
          <t>Healthcare</t>
        </is>
      </c>
      <c r="D38" s="99" t="inlineStr">
        <is>
          <t>Smallcap</t>
        </is>
      </c>
      <c r="E38" s="99" t="n">
        <v>2467.1</v>
      </c>
      <c r="F38" s="99" t="n">
        <v>-0.78</v>
      </c>
      <c r="G38" s="99" t="n">
        <v>70836</v>
      </c>
      <c r="H38" s="99" t="n">
        <v>0.67</v>
      </c>
      <c r="I38" s="99" t="n">
        <v>18753</v>
      </c>
      <c r="J38" s="99" t="inlineStr">
        <is>
          <t>Y</t>
        </is>
      </c>
      <c r="K38" s="99" t="inlineStr">
        <is>
          <t>Y</t>
        </is>
      </c>
      <c r="L38" s="99" t="inlineStr">
        <is>
          <t>Y</t>
        </is>
      </c>
      <c r="M38" s="99" t="n">
        <v>37.4</v>
      </c>
      <c r="N38" s="99" t="inlineStr">
        <is>
          <t>N</t>
        </is>
      </c>
      <c r="O38" s="99" t="n">
        <v>94.51000000000001</v>
      </c>
      <c r="P38" s="99" t="inlineStr">
        <is>
          <t>N</t>
        </is>
      </c>
      <c r="Q38" s="99" t="inlineStr">
        <is>
          <t>N/A</t>
        </is>
      </c>
      <c r="R38" s="99" t="inlineStr">
        <is>
          <t>N</t>
        </is>
      </c>
      <c r="S38" s="99" t="n">
        <v>-0.5</v>
      </c>
      <c r="T38" s="99" t="n">
        <v>43.3</v>
      </c>
      <c r="U38" s="99" t="inlineStr">
        <is>
          <t>Y</t>
        </is>
      </c>
      <c r="V38" s="99" t="n">
        <v>29.3</v>
      </c>
      <c r="W38" s="99" t="n">
        <v>19.9</v>
      </c>
      <c r="X38" s="99" t="n">
        <v>0.13</v>
      </c>
      <c r="Y38" s="99" t="n">
        <v>3.8</v>
      </c>
      <c r="Z38" s="99" t="n">
        <v>6</v>
      </c>
      <c r="AA38" s="94" t="inlineStr">
        <is>
          <t>WATCHLIST</t>
        </is>
      </c>
    </row>
    <row r="39">
      <c r="A39" s="97" t="inlineStr">
        <is>
          <t>CGCL</t>
        </is>
      </c>
      <c r="B39" s="97" t="inlineStr">
        <is>
          <t>Capri Global Capital Ltd.</t>
        </is>
      </c>
      <c r="C39" s="97" t="inlineStr">
        <is>
          <t>Financial Services</t>
        </is>
      </c>
      <c r="D39" s="97" t="inlineStr">
        <is>
          <t>Smallcap</t>
        </is>
      </c>
      <c r="E39" s="97" t="n">
        <v>238.23</v>
      </c>
      <c r="F39" s="97" t="n">
        <v>-2.25</v>
      </c>
      <c r="G39" s="97" t="n">
        <v>1109602</v>
      </c>
      <c r="H39" s="97" t="n">
        <v>0.45</v>
      </c>
      <c r="I39" s="97" t="n">
        <v>22921</v>
      </c>
      <c r="J39" s="97" t="inlineStr">
        <is>
          <t>Y</t>
        </is>
      </c>
      <c r="K39" s="97" t="inlineStr">
        <is>
          <t>Y</t>
        </is>
      </c>
      <c r="L39" s="97" t="inlineStr">
        <is>
          <t>Y</t>
        </is>
      </c>
      <c r="M39" s="97" t="n">
        <v>45.7</v>
      </c>
      <c r="N39" s="97" t="inlineStr">
        <is>
          <t>N</t>
        </is>
      </c>
      <c r="O39" s="97" t="n">
        <v>9.32</v>
      </c>
      <c r="P39" s="97" t="inlineStr">
        <is>
          <t>N</t>
        </is>
      </c>
      <c r="Q39" s="97" t="inlineStr">
        <is>
          <t>N/A</t>
        </is>
      </c>
      <c r="R39" s="97" t="inlineStr">
        <is>
          <t>N</t>
        </is>
      </c>
      <c r="S39" s="97" t="n">
        <v>10.6</v>
      </c>
      <c r="T39" s="97" t="n">
        <v>30.2</v>
      </c>
      <c r="U39" s="97" t="inlineStr">
        <is>
          <t>Y</t>
        </is>
      </c>
      <c r="V39" s="97" t="n">
        <v>23.5</v>
      </c>
      <c r="W39" s="97" t="n">
        <v>16.5</v>
      </c>
      <c r="X39" s="97" t="n">
        <v>334.73</v>
      </c>
      <c r="Y39" s="97" t="n">
        <v>10.7</v>
      </c>
      <c r="Z39" s="97" t="n">
        <v>6</v>
      </c>
      <c r="AA39" s="92" t="inlineStr">
        <is>
          <t>WATCHLIST</t>
        </is>
      </c>
    </row>
    <row r="40">
      <c r="A40" s="99" t="inlineStr">
        <is>
          <t>CEMPRO</t>
        </is>
      </c>
      <c r="B40" s="99" t="inlineStr">
        <is>
          <t>Cemindia Projects Ltd.</t>
        </is>
      </c>
      <c r="C40" s="99" t="inlineStr">
        <is>
          <t>Construction</t>
        </is>
      </c>
      <c r="D40" s="99" t="inlineStr">
        <is>
          <t>Smallcap</t>
        </is>
      </c>
      <c r="E40" s="99" t="n">
        <v>1441</v>
      </c>
      <c r="F40" s="99" t="n">
        <v>-5</v>
      </c>
      <c r="G40" s="99" t="n">
        <v>222376</v>
      </c>
      <c r="H40" s="99" t="n">
        <v>0.37</v>
      </c>
      <c r="I40" s="99" t="n">
        <v>24755</v>
      </c>
      <c r="J40" s="99" t="inlineStr">
        <is>
          <t>Y</t>
        </is>
      </c>
      <c r="K40" s="99" t="inlineStr">
        <is>
          <t>Y</t>
        </is>
      </c>
      <c r="L40" s="99" t="inlineStr">
        <is>
          <t>Y</t>
        </is>
      </c>
      <c r="M40" s="99" t="n">
        <v>39.4</v>
      </c>
      <c r="N40" s="99" t="inlineStr">
        <is>
          <t>N</t>
        </is>
      </c>
      <c r="O40" s="99" t="n">
        <v>71.11</v>
      </c>
      <c r="P40" s="99" t="inlineStr">
        <is>
          <t>N</t>
        </is>
      </c>
      <c r="Q40" s="99" t="inlineStr">
        <is>
          <t>N/A</t>
        </is>
      </c>
      <c r="R40" s="99" t="inlineStr">
        <is>
          <t>N</t>
        </is>
      </c>
      <c r="S40" s="99" t="n">
        <v>19.8</v>
      </c>
      <c r="T40" s="99" t="n">
        <v>113.2</v>
      </c>
      <c r="U40" s="99" t="inlineStr">
        <is>
          <t>Y</t>
        </is>
      </c>
      <c r="V40" s="99" t="n">
        <v>41.5</v>
      </c>
      <c r="W40" s="99" t="n">
        <v>28.2</v>
      </c>
      <c r="X40" s="99" t="n">
        <v>37.71</v>
      </c>
      <c r="Y40" s="99" t="n">
        <v>118.4</v>
      </c>
      <c r="Z40" s="99" t="n">
        <v>6</v>
      </c>
      <c r="AA40" s="94" t="inlineStr">
        <is>
          <t>WATCHLIST</t>
        </is>
      </c>
    </row>
    <row r="41">
      <c r="A41" s="97" t="inlineStr">
        <is>
          <t>CHOICEIN</t>
        </is>
      </c>
      <c r="B41" s="97" t="inlineStr">
        <is>
          <t>Choice International Ltd.</t>
        </is>
      </c>
      <c r="C41" s="97" t="inlineStr">
        <is>
          <t>Financial Services</t>
        </is>
      </c>
      <c r="D41" s="97" t="inlineStr">
        <is>
          <t>Smallcap</t>
        </is>
      </c>
      <c r="E41" s="97" t="n">
        <v>797.15</v>
      </c>
      <c r="F41" s="97" t="n">
        <v>-1.01</v>
      </c>
      <c r="G41" s="97" t="n">
        <v>471316</v>
      </c>
      <c r="H41" s="97" t="n">
        <v>0.75</v>
      </c>
      <c r="I41" s="97" t="n">
        <v>17759</v>
      </c>
      <c r="J41" s="97" t="inlineStr">
        <is>
          <t>Y</t>
        </is>
      </c>
      <c r="K41" s="97" t="inlineStr">
        <is>
          <t>Y</t>
        </is>
      </c>
      <c r="L41" s="97" t="inlineStr">
        <is>
          <t>Y</t>
        </is>
      </c>
      <c r="M41" s="97" t="n">
        <v>51</v>
      </c>
      <c r="N41" s="97" t="inlineStr">
        <is>
          <t>Y</t>
        </is>
      </c>
      <c r="O41" s="97" t="n">
        <v>20.83</v>
      </c>
      <c r="P41" s="97" t="inlineStr">
        <is>
          <t>N</t>
        </is>
      </c>
      <c r="Q41" s="97" t="inlineStr">
        <is>
          <t>N/A</t>
        </is>
      </c>
      <c r="R41" s="97" t="inlineStr">
        <is>
          <t>N</t>
        </is>
      </c>
      <c r="S41" s="97" t="n">
        <v>11.2</v>
      </c>
      <c r="T41" s="97" t="n">
        <v>18.2</v>
      </c>
      <c r="U41" s="97" t="inlineStr">
        <is>
          <t>Y</t>
        </is>
      </c>
      <c r="V41" s="97" t="n">
        <v>70.90000000000001</v>
      </c>
      <c r="W41" s="97" t="n">
        <v>16.2</v>
      </c>
      <c r="X41" s="97" t="n">
        <v>49.77</v>
      </c>
      <c r="Y41" s="97" t="n">
        <v>-8.1</v>
      </c>
      <c r="Z41" s="97" t="n">
        <v>6</v>
      </c>
      <c r="AA41" s="92" t="inlineStr">
        <is>
          <t>WATCHLIST</t>
        </is>
      </c>
    </row>
    <row r="42">
      <c r="A42" s="99" t="inlineStr">
        <is>
          <t>CHOLAFIN</t>
        </is>
      </c>
      <c r="B42" s="99" t="inlineStr">
        <is>
          <t>Cholamandalam Investment and Finance Company Ltd.</t>
        </is>
      </c>
      <c r="C42" s="99" t="inlineStr">
        <is>
          <t>Financial Services</t>
        </is>
      </c>
      <c r="D42" s="99" t="inlineStr">
        <is>
          <t>Large/Midcap</t>
        </is>
      </c>
      <c r="E42" s="99" t="n">
        <v>1724.4</v>
      </c>
      <c r="F42" s="99" t="n">
        <v>0.41</v>
      </c>
      <c r="G42" s="99" t="n">
        <v>1912110</v>
      </c>
      <c r="H42" s="99" t="n">
        <v>1.65</v>
      </c>
      <c r="I42" s="99" t="n">
        <v>147266</v>
      </c>
      <c r="J42" s="99" t="inlineStr">
        <is>
          <t>Y</t>
        </is>
      </c>
      <c r="K42" s="99" t="inlineStr">
        <is>
          <t>Y</t>
        </is>
      </c>
      <c r="L42" s="99" t="inlineStr">
        <is>
          <t>Y</t>
        </is>
      </c>
      <c r="M42" s="99" t="n">
        <v>30.7</v>
      </c>
      <c r="N42" s="99" t="inlineStr">
        <is>
          <t>N</t>
        </is>
      </c>
      <c r="O42" s="99" t="n">
        <v>47.32</v>
      </c>
      <c r="P42" s="99" t="inlineStr">
        <is>
          <t>N</t>
        </is>
      </c>
      <c r="Q42" s="99" t="inlineStr">
        <is>
          <t>N/A</t>
        </is>
      </c>
      <c r="R42" s="99" t="inlineStr">
        <is>
          <t>N</t>
        </is>
      </c>
      <c r="S42" s="99" t="n">
        <v>-3.1</v>
      </c>
      <c r="T42" s="99" t="n">
        <v>11.6</v>
      </c>
      <c r="U42" s="99" t="inlineStr">
        <is>
          <t>Y</t>
        </is>
      </c>
      <c r="V42" s="99" t="n">
        <v>27.9</v>
      </c>
      <c r="W42" s="99" t="n">
        <v>19.3</v>
      </c>
      <c r="X42" s="99" t="n">
        <v>695.28</v>
      </c>
      <c r="Y42" s="99" t="n">
        <v>27.5</v>
      </c>
      <c r="Z42" s="99" t="n">
        <v>6</v>
      </c>
      <c r="AA42" s="94" t="inlineStr">
        <is>
          <t>WATCHLIST</t>
        </is>
      </c>
    </row>
    <row r="43">
      <c r="A43" s="97" t="inlineStr">
        <is>
          <t>COFORGE</t>
        </is>
      </c>
      <c r="B43" s="97" t="inlineStr">
        <is>
          <t>Coforge Ltd.</t>
        </is>
      </c>
      <c r="C43" s="97" t="inlineStr">
        <is>
          <t>Information Technology</t>
        </is>
      </c>
      <c r="D43" s="97" t="inlineStr">
        <is>
          <t>Large/Midcap</t>
        </is>
      </c>
      <c r="E43" s="97" t="n">
        <v>1484.7</v>
      </c>
      <c r="F43" s="97" t="n">
        <v>3.11</v>
      </c>
      <c r="G43" s="97" t="n">
        <v>3441351</v>
      </c>
      <c r="H43" s="97" t="n">
        <v>2.92</v>
      </c>
      <c r="I43" s="97" t="n">
        <v>65726</v>
      </c>
      <c r="J43" s="97" t="inlineStr">
        <is>
          <t>Y</t>
        </is>
      </c>
      <c r="K43" s="97" t="inlineStr">
        <is>
          <t>Y</t>
        </is>
      </c>
      <c r="L43" s="97" t="inlineStr">
        <is>
          <t>N</t>
        </is>
      </c>
      <c r="M43" s="97" t="n">
        <v>50.4</v>
      </c>
      <c r="N43" s="97" t="inlineStr">
        <is>
          <t>Y</t>
        </is>
      </c>
      <c r="O43" s="97" t="n">
        <v>50.28</v>
      </c>
      <c r="P43" s="97" t="inlineStr">
        <is>
          <t>N</t>
        </is>
      </c>
      <c r="Q43" s="97" t="inlineStr">
        <is>
          <t>N/A</t>
        </is>
      </c>
      <c r="R43" s="97" t="inlineStr">
        <is>
          <t>N</t>
        </is>
      </c>
      <c r="S43" s="97" t="n">
        <v>0.5</v>
      </c>
      <c r="T43" s="97" t="n">
        <v>23.9</v>
      </c>
      <c r="U43" s="97" t="inlineStr">
        <is>
          <t>Y</t>
        </is>
      </c>
      <c r="V43" s="97" t="n">
        <v>33.9</v>
      </c>
      <c r="W43" s="97" t="n">
        <v>18.6</v>
      </c>
      <c r="X43" s="97" t="n">
        <v>7.52</v>
      </c>
      <c r="Y43" s="97" t="n">
        <v>144.7</v>
      </c>
      <c r="Z43" s="97" t="n">
        <v>6</v>
      </c>
      <c r="AA43" s="92" t="inlineStr">
        <is>
          <t>WATCHLIST</t>
        </is>
      </c>
    </row>
    <row r="44">
      <c r="A44" s="99" t="inlineStr">
        <is>
          <t>COLPAL</t>
        </is>
      </c>
      <c r="B44" s="99" t="inlineStr">
        <is>
          <t>Colgate Palmolive (India) Ltd.</t>
        </is>
      </c>
      <c r="C44" s="99" t="inlineStr">
        <is>
          <t>Fast Moving Consumer Goods</t>
        </is>
      </c>
      <c r="D44" s="99" t="inlineStr">
        <is>
          <t>Large/Midcap</t>
        </is>
      </c>
      <c r="E44" s="99" t="n">
        <v>2086.1</v>
      </c>
      <c r="F44" s="99" t="n">
        <v>0.01</v>
      </c>
      <c r="G44" s="99" t="n">
        <v>197445</v>
      </c>
      <c r="H44" s="99" t="n">
        <v>0.83</v>
      </c>
      <c r="I44" s="99" t="n">
        <v>56739</v>
      </c>
      <c r="J44" s="99" t="inlineStr">
        <is>
          <t>Y</t>
        </is>
      </c>
      <c r="K44" s="99" t="inlineStr">
        <is>
          <t>Y</t>
        </is>
      </c>
      <c r="L44" s="99" t="inlineStr">
        <is>
          <t>Y</t>
        </is>
      </c>
      <c r="M44" s="99" t="n">
        <v>51</v>
      </c>
      <c r="N44" s="99" t="inlineStr">
        <is>
          <t>Y</t>
        </is>
      </c>
      <c r="O44" s="99" t="n">
        <v>45.53</v>
      </c>
      <c r="P44" s="99" t="inlineStr">
        <is>
          <t>N</t>
        </is>
      </c>
      <c r="Q44" s="99" t="inlineStr">
        <is>
          <t>N/A</t>
        </is>
      </c>
      <c r="R44" s="99" t="inlineStr">
        <is>
          <t>N</t>
        </is>
      </c>
      <c r="S44" s="99" t="n">
        <v>5.7</v>
      </c>
      <c r="T44" s="99" t="n">
        <v>-0.5</v>
      </c>
      <c r="U44" s="99" t="inlineStr">
        <is>
          <t>N</t>
        </is>
      </c>
      <c r="V44" s="99" t="n">
        <v>42.7</v>
      </c>
      <c r="W44" s="99" t="n">
        <v>81.59999999999999</v>
      </c>
      <c r="X44" s="99" t="n">
        <v>2.99</v>
      </c>
      <c r="Y44" s="99" t="n">
        <v>9.1</v>
      </c>
      <c r="Z44" s="99" t="n">
        <v>6</v>
      </c>
      <c r="AA44" s="94" t="inlineStr">
        <is>
          <t>WATCHLIST</t>
        </is>
      </c>
    </row>
    <row r="45">
      <c r="A45" s="97" t="inlineStr">
        <is>
          <t>CREDITACC</t>
        </is>
      </c>
      <c r="B45" s="97" t="inlineStr">
        <is>
          <t>CreditAccess Grameen Ltd.</t>
        </is>
      </c>
      <c r="C45" s="97" t="inlineStr">
        <is>
          <t>Financial Services</t>
        </is>
      </c>
      <c r="D45" s="97" t="inlineStr">
        <is>
          <t>Smallcap</t>
        </is>
      </c>
      <c r="E45" s="97" t="n">
        <v>1517.6</v>
      </c>
      <c r="F45" s="97" t="n">
        <v>0.9399999999999999</v>
      </c>
      <c r="G45" s="97" t="n">
        <v>335461</v>
      </c>
      <c r="H45" s="97" t="n">
        <v>1.53</v>
      </c>
      <c r="I45" s="97" t="n">
        <v>24311</v>
      </c>
      <c r="J45" s="97" t="inlineStr">
        <is>
          <t>Y</t>
        </is>
      </c>
      <c r="K45" s="97" t="inlineStr">
        <is>
          <t>Y</t>
        </is>
      </c>
      <c r="L45" s="97" t="inlineStr">
        <is>
          <t>Y</t>
        </is>
      </c>
      <c r="M45" s="97" t="n">
        <v>39.5</v>
      </c>
      <c r="N45" s="97" t="inlineStr">
        <is>
          <t>N</t>
        </is>
      </c>
      <c r="O45" s="97" t="n">
        <v>49.06</v>
      </c>
      <c r="P45" s="97" t="inlineStr">
        <is>
          <t>N</t>
        </is>
      </c>
      <c r="Q45" s="97" t="inlineStr">
        <is>
          <t>N/A</t>
        </is>
      </c>
      <c r="R45" s="97" t="inlineStr">
        <is>
          <t>N</t>
        </is>
      </c>
      <c r="S45" s="97" t="n">
        <v>4.8</v>
      </c>
      <c r="T45" s="97" t="n">
        <v>18.3</v>
      </c>
      <c r="U45" s="97" t="inlineStr">
        <is>
          <t>Y</t>
        </is>
      </c>
      <c r="V45" s="97" t="n">
        <v>20.2</v>
      </c>
      <c r="W45" s="97" t="n">
        <v>16.4</v>
      </c>
      <c r="X45" s="97" t="n">
        <v>302.87</v>
      </c>
      <c r="Y45" s="97" t="n">
        <v>34.7</v>
      </c>
      <c r="Z45" s="97" t="n">
        <v>6</v>
      </c>
      <c r="AA45" s="92" t="inlineStr">
        <is>
          <t>WATCHLIST</t>
        </is>
      </c>
    </row>
    <row r="46">
      <c r="A46" s="99" t="inlineStr">
        <is>
          <t>DATAPATTNS</t>
        </is>
      </c>
      <c r="B46" s="99" t="inlineStr">
        <is>
          <t>Data Patterns (India) Ltd.</t>
        </is>
      </c>
      <c r="C46" s="99" t="inlineStr">
        <is>
          <t>Capital Goods</t>
        </is>
      </c>
      <c r="D46" s="99" t="inlineStr">
        <is>
          <t>Smallcap</t>
        </is>
      </c>
      <c r="E46" s="99" t="n">
        <v>4584.5</v>
      </c>
      <c r="F46" s="99" t="n">
        <v>-0.07000000000000001</v>
      </c>
      <c r="G46" s="99" t="n">
        <v>1344404</v>
      </c>
      <c r="H46" s="99" t="n">
        <v>0.43</v>
      </c>
      <c r="I46" s="99" t="n">
        <v>25666</v>
      </c>
      <c r="J46" s="99" t="inlineStr">
        <is>
          <t>Y</t>
        </is>
      </c>
      <c r="K46" s="99" t="inlineStr">
        <is>
          <t>Y</t>
        </is>
      </c>
      <c r="L46" s="99" t="inlineStr">
        <is>
          <t>Y</t>
        </is>
      </c>
      <c r="M46" s="99" t="n">
        <v>49.4</v>
      </c>
      <c r="N46" s="99" t="inlineStr">
        <is>
          <t>N</t>
        </is>
      </c>
      <c r="O46" s="99" t="n">
        <v>210.34</v>
      </c>
      <c r="P46" s="99" t="inlineStr">
        <is>
          <t>N</t>
        </is>
      </c>
      <c r="Q46" s="99" t="inlineStr">
        <is>
          <t>N/A</t>
        </is>
      </c>
      <c r="R46" s="99" t="inlineStr">
        <is>
          <t>N</t>
        </is>
      </c>
      <c r="S46" s="99" t="n">
        <v>3</v>
      </c>
      <c r="T46" s="99" t="n">
        <v>12.1</v>
      </c>
      <c r="U46" s="99" t="inlineStr">
        <is>
          <t>Y</t>
        </is>
      </c>
      <c r="V46" s="99" t="n">
        <v>94.3</v>
      </c>
      <c r="W46" s="99" t="n">
        <v>16.7</v>
      </c>
      <c r="X46" s="99" t="n">
        <v>0.3</v>
      </c>
      <c r="Y46" s="99" t="n">
        <v>137.4</v>
      </c>
      <c r="Z46" s="99" t="n">
        <v>6</v>
      </c>
      <c r="AA46" s="94" t="inlineStr">
        <is>
          <t>WATCHLIST</t>
        </is>
      </c>
    </row>
    <row r="47">
      <c r="A47" s="97" t="inlineStr">
        <is>
          <t>DIVISLAB</t>
        </is>
      </c>
      <c r="B47" s="97" t="inlineStr">
        <is>
          <t>Divi's Laboratories Ltd.</t>
        </is>
      </c>
      <c r="C47" s="97" t="inlineStr">
        <is>
          <t>Healthcare</t>
        </is>
      </c>
      <c r="D47" s="97" t="inlineStr">
        <is>
          <t>Large/Midcap</t>
        </is>
      </c>
      <c r="E47" s="97" t="n">
        <v>7248.5</v>
      </c>
      <c r="F47" s="97" t="n">
        <v>-0.36</v>
      </c>
      <c r="G47" s="97" t="n">
        <v>328948</v>
      </c>
      <c r="H47" s="97" t="n">
        <v>1.24</v>
      </c>
      <c r="I47" s="97" t="n">
        <v>192425</v>
      </c>
      <c r="J47" s="97" t="inlineStr">
        <is>
          <t>Y</t>
        </is>
      </c>
      <c r="K47" s="97" t="inlineStr">
        <is>
          <t>Y</t>
        </is>
      </c>
      <c r="L47" s="97" t="inlineStr">
        <is>
          <t>Y</t>
        </is>
      </c>
      <c r="M47" s="97" t="n">
        <v>71.5</v>
      </c>
      <c r="N47" s="97" t="inlineStr">
        <is>
          <t>N</t>
        </is>
      </c>
      <c r="O47" s="97" t="n">
        <v>156.07</v>
      </c>
      <c r="P47" s="97" t="inlineStr">
        <is>
          <t>N</t>
        </is>
      </c>
      <c r="Q47" s="97" t="inlineStr">
        <is>
          <t>N/A</t>
        </is>
      </c>
      <c r="R47" s="97" t="inlineStr">
        <is>
          <t>N</t>
        </is>
      </c>
      <c r="S47" s="97" t="n">
        <v>9.5</v>
      </c>
      <c r="T47" s="97" t="n">
        <v>13.7</v>
      </c>
      <c r="U47" s="97" t="inlineStr">
        <is>
          <t>Y</t>
        </is>
      </c>
      <c r="V47" s="97" t="n">
        <v>75.2</v>
      </c>
      <c r="W47" s="97" t="n">
        <v>16.2</v>
      </c>
      <c r="X47" s="97" t="n">
        <v>0.04</v>
      </c>
      <c r="Y47" s="97" t="n">
        <v>28.8</v>
      </c>
      <c r="Z47" s="97" t="n">
        <v>6</v>
      </c>
      <c r="AA47" s="92" t="inlineStr">
        <is>
          <t>WATCHLIST</t>
        </is>
      </c>
    </row>
    <row r="48">
      <c r="A48" s="99" t="inlineStr">
        <is>
          <t>DIXON</t>
        </is>
      </c>
      <c r="B48" s="99" t="inlineStr">
        <is>
          <t>Dixon Technologies (India) Ltd.</t>
        </is>
      </c>
      <c r="C48" s="99" t="inlineStr">
        <is>
          <t>Consumer Durables</t>
        </is>
      </c>
      <c r="D48" s="99" t="inlineStr">
        <is>
          <t>Large/Midcap</t>
        </is>
      </c>
      <c r="E48" s="99" t="n">
        <v>13846</v>
      </c>
      <c r="F48" s="99" t="n">
        <v>0.12</v>
      </c>
      <c r="G48" s="99" t="n">
        <v>278708</v>
      </c>
      <c r="H48" s="99" t="n">
        <v>0.72</v>
      </c>
      <c r="I48" s="99" t="n">
        <v>84186</v>
      </c>
      <c r="J48" s="99" t="inlineStr">
        <is>
          <t>Y</t>
        </is>
      </c>
      <c r="K48" s="99" t="inlineStr">
        <is>
          <t>Y</t>
        </is>
      </c>
      <c r="L48" s="99" t="inlineStr">
        <is>
          <t>Y</t>
        </is>
      </c>
      <c r="M48" s="99" t="n">
        <v>57.7</v>
      </c>
      <c r="N48" s="99" t="inlineStr">
        <is>
          <t>Y</t>
        </is>
      </c>
      <c r="O48" s="99" t="n">
        <v>479</v>
      </c>
      <c r="P48" s="99" t="inlineStr">
        <is>
          <t>N</t>
        </is>
      </c>
      <c r="Q48" s="99" t="inlineStr">
        <is>
          <t>N/A</t>
        </is>
      </c>
      <c r="R48" s="99" t="inlineStr">
        <is>
          <t>N</t>
        </is>
      </c>
      <c r="S48" s="99" t="n">
        <v>16.3</v>
      </c>
      <c r="T48" s="99" t="n">
        <v>22.8</v>
      </c>
      <c r="U48" s="99" t="inlineStr">
        <is>
          <t>Y</t>
        </is>
      </c>
      <c r="V48" s="99" t="n">
        <v>51.3</v>
      </c>
      <c r="W48" s="99" t="n">
        <v>37.1</v>
      </c>
      <c r="X48" s="99" t="n">
        <v>18.46</v>
      </c>
      <c r="Y48" s="99" t="n">
        <v>-10.7</v>
      </c>
      <c r="Z48" s="99" t="n">
        <v>6</v>
      </c>
      <c r="AA48" s="94" t="inlineStr">
        <is>
          <t>WATCHLIST</t>
        </is>
      </c>
    </row>
    <row r="49">
      <c r="A49" s="97" t="inlineStr">
        <is>
          <t>ENDURANCE</t>
        </is>
      </c>
      <c r="B49" s="97" t="inlineStr">
        <is>
          <t>Endurance Technologies Ltd.</t>
        </is>
      </c>
      <c r="C49" s="97" t="inlineStr">
        <is>
          <t>Automobile and Auto Components</t>
        </is>
      </c>
      <c r="D49" s="97" t="inlineStr">
        <is>
          <t>Large/Midcap</t>
        </is>
      </c>
      <c r="E49" s="97" t="n">
        <v>2634</v>
      </c>
      <c r="F49" s="97" t="n">
        <v>-3.17</v>
      </c>
      <c r="G49" s="97" t="n">
        <v>369867</v>
      </c>
      <c r="H49" s="97" t="n">
        <v>4.45</v>
      </c>
      <c r="I49" s="97" t="n">
        <v>37051</v>
      </c>
      <c r="J49" s="97" t="inlineStr">
        <is>
          <t>Y</t>
        </is>
      </c>
      <c r="K49" s="97" t="inlineStr">
        <is>
          <t>N</t>
        </is>
      </c>
      <c r="L49" s="97" t="inlineStr">
        <is>
          <t>Y</t>
        </is>
      </c>
      <c r="M49" s="97" t="n">
        <v>48</v>
      </c>
      <c r="N49" s="97" t="inlineStr">
        <is>
          <t>N</t>
        </is>
      </c>
      <c r="O49" s="97" t="n">
        <v>77.88</v>
      </c>
      <c r="P49" s="97" t="inlineStr">
        <is>
          <t>Y</t>
        </is>
      </c>
      <c r="Q49" s="97" t="inlineStr">
        <is>
          <t>N/A</t>
        </is>
      </c>
      <c r="R49" s="97" t="inlineStr">
        <is>
          <t>N</t>
        </is>
      </c>
      <c r="S49" s="97" t="n">
        <v>-1.4</v>
      </c>
      <c r="T49" s="97" t="n">
        <v>13.7</v>
      </c>
      <c r="U49" s="97" t="inlineStr">
        <is>
          <t>Y</t>
        </is>
      </c>
      <c r="V49" s="97" t="n">
        <v>38.9</v>
      </c>
      <c r="W49" s="97" t="n">
        <v>15.2</v>
      </c>
      <c r="X49" s="97" t="n">
        <v>19.39</v>
      </c>
      <c r="Y49" s="97" t="n">
        <v>24.7</v>
      </c>
      <c r="Z49" s="97" t="n">
        <v>6</v>
      </c>
      <c r="AA49" s="92" t="inlineStr">
        <is>
          <t>WATCHLIST</t>
        </is>
      </c>
    </row>
    <row r="50">
      <c r="A50" s="99" t="inlineStr">
        <is>
          <t>NYKAA</t>
        </is>
      </c>
      <c r="B50" s="99" t="inlineStr">
        <is>
          <t>FSN E-Commerce Ventures Ltd.</t>
        </is>
      </c>
      <c r="C50" s="99" t="inlineStr">
        <is>
          <t>Consumer Services</t>
        </is>
      </c>
      <c r="D50" s="99" t="inlineStr">
        <is>
          <t>Large/Midcap</t>
        </is>
      </c>
      <c r="E50" s="99" t="n">
        <v>322.8</v>
      </c>
      <c r="F50" s="99" t="n">
        <v>-0.62</v>
      </c>
      <c r="G50" s="99" t="n">
        <v>2040730</v>
      </c>
      <c r="H50" s="99" t="n">
        <v>0.46</v>
      </c>
      <c r="I50" s="99" t="n">
        <v>92446</v>
      </c>
      <c r="J50" s="99" t="inlineStr">
        <is>
          <t>Y</t>
        </is>
      </c>
      <c r="K50" s="99" t="inlineStr">
        <is>
          <t>Y</t>
        </is>
      </c>
      <c r="L50" s="99" t="inlineStr">
        <is>
          <t>Y</t>
        </is>
      </c>
      <c r="M50" s="99" t="n">
        <v>60.8</v>
      </c>
      <c r="N50" s="99" t="inlineStr">
        <is>
          <t>Y</t>
        </is>
      </c>
      <c r="O50" s="99" t="n">
        <v>7.51</v>
      </c>
      <c r="P50" s="99" t="inlineStr">
        <is>
          <t>N</t>
        </is>
      </c>
      <c r="Q50" s="99" t="inlineStr">
        <is>
          <t>N/A</t>
        </is>
      </c>
      <c r="R50" s="99" t="inlineStr">
        <is>
          <t>N</t>
        </is>
      </c>
      <c r="S50" s="99" t="n">
        <v>8.199999999999999</v>
      </c>
      <c r="T50" s="99" t="n">
        <v>21.1</v>
      </c>
      <c r="U50" s="99" t="inlineStr">
        <is>
          <t>Y</t>
        </is>
      </c>
      <c r="V50" s="99" t="n">
        <v>454.6</v>
      </c>
      <c r="W50" s="99" t="n">
        <v>14.3</v>
      </c>
      <c r="X50" s="99" t="n">
        <v>82.41</v>
      </c>
      <c r="Y50" s="99" t="n">
        <v>23.8</v>
      </c>
      <c r="Z50" s="99" t="n">
        <v>6</v>
      </c>
      <c r="AA50" s="94" t="inlineStr">
        <is>
          <t>WATCHLIST</t>
        </is>
      </c>
    </row>
    <row r="51">
      <c r="A51" s="97" t="inlineStr">
        <is>
          <t>FSL</t>
        </is>
      </c>
      <c r="B51" s="97" t="inlineStr">
        <is>
          <t>Firstsource Solutions Ltd.</t>
        </is>
      </c>
      <c r="C51" s="97" t="inlineStr">
        <is>
          <t>Services</t>
        </is>
      </c>
      <c r="D51" s="97" t="inlineStr">
        <is>
          <t>Smallcap</t>
        </is>
      </c>
      <c r="E51" s="97" t="n">
        <v>253.58</v>
      </c>
      <c r="F51" s="97" t="n">
        <v>-0.92</v>
      </c>
      <c r="G51" s="97" t="n">
        <v>710618</v>
      </c>
      <c r="H51" s="97" t="n">
        <v>1.2</v>
      </c>
      <c r="I51" s="97" t="n">
        <v>17511</v>
      </c>
      <c r="J51" s="97" t="inlineStr">
        <is>
          <t>Y</t>
        </is>
      </c>
      <c r="K51" s="97" t="inlineStr">
        <is>
          <t>Y</t>
        </is>
      </c>
      <c r="L51" s="97" t="inlineStr">
        <is>
          <t>N</t>
        </is>
      </c>
      <c r="M51" s="97" t="n">
        <v>53.5</v>
      </c>
      <c r="N51" s="97" t="inlineStr">
        <is>
          <t>Y</t>
        </is>
      </c>
      <c r="O51" s="97" t="n">
        <v>9.369999999999999</v>
      </c>
      <c r="P51" s="97" t="inlineStr">
        <is>
          <t>N</t>
        </is>
      </c>
      <c r="Q51" s="97" t="inlineStr">
        <is>
          <t>N/A</t>
        </is>
      </c>
      <c r="R51" s="97" t="inlineStr">
        <is>
          <t>N</t>
        </is>
      </c>
      <c r="S51" s="97" t="n">
        <v>5.2</v>
      </c>
      <c r="T51" s="97" t="n">
        <v>18.8</v>
      </c>
      <c r="U51" s="97" t="inlineStr">
        <is>
          <t>Y</t>
        </is>
      </c>
      <c r="V51" s="97" t="n">
        <v>26.5</v>
      </c>
      <c r="W51" s="97" t="n">
        <v>15.9</v>
      </c>
      <c r="X51" s="97" t="n">
        <v>67.14</v>
      </c>
      <c r="Y51" s="97" t="n">
        <v>70.59999999999999</v>
      </c>
      <c r="Z51" s="97" t="n">
        <v>6</v>
      </c>
      <c r="AA51" s="92" t="inlineStr">
        <is>
          <t>WATCHLIST</t>
        </is>
      </c>
    </row>
    <row r="52">
      <c r="A52" s="99" t="inlineStr">
        <is>
          <t>GABRIEL</t>
        </is>
      </c>
      <c r="B52" s="99" t="inlineStr">
        <is>
          <t>Gabriel India Ltd.</t>
        </is>
      </c>
      <c r="C52" s="99" t="inlineStr">
        <is>
          <t>Automobile and Auto Components</t>
        </is>
      </c>
      <c r="D52" s="99" t="inlineStr">
        <is>
          <t>Smallcap</t>
        </is>
      </c>
      <c r="E52" s="99" t="n">
        <v>1363.5</v>
      </c>
      <c r="F52" s="99" t="n">
        <v>-1.03</v>
      </c>
      <c r="G52" s="99" t="n">
        <v>376116</v>
      </c>
      <c r="H52" s="99" t="n">
        <v>0.18</v>
      </c>
      <c r="I52" s="99" t="n">
        <v>24165</v>
      </c>
      <c r="J52" s="99" t="inlineStr">
        <is>
          <t>Y</t>
        </is>
      </c>
      <c r="K52" s="99" t="inlineStr">
        <is>
          <t>Y</t>
        </is>
      </c>
      <c r="L52" s="99" t="inlineStr">
        <is>
          <t>Y</t>
        </is>
      </c>
      <c r="M52" s="99" t="n">
        <v>58.5</v>
      </c>
      <c r="N52" s="99" t="inlineStr">
        <is>
          <t>Y</t>
        </is>
      </c>
      <c r="O52" s="99" t="n">
        <v>71.22</v>
      </c>
      <c r="P52" s="99" t="inlineStr">
        <is>
          <t>N</t>
        </is>
      </c>
      <c r="Q52" s="99" t="inlineStr">
        <is>
          <t>N/A</t>
        </is>
      </c>
      <c r="R52" s="99" t="inlineStr">
        <is>
          <t>N</t>
        </is>
      </c>
      <c r="S52" s="99" t="n">
        <v>12</v>
      </c>
      <c r="T52" s="99" t="n">
        <v>35.4</v>
      </c>
      <c r="U52" s="99" t="inlineStr">
        <is>
          <t>Y</t>
        </is>
      </c>
      <c r="V52" s="99" t="n">
        <v>76.90000000000001</v>
      </c>
      <c r="W52" s="99" t="inlineStr">
        <is>
          <t>N/A</t>
        </is>
      </c>
      <c r="X52" s="99" t="n">
        <v>10.64</v>
      </c>
      <c r="Y52" s="99" t="n">
        <v>61.2</v>
      </c>
      <c r="Z52" s="99" t="n">
        <v>6</v>
      </c>
      <c r="AA52" s="94" t="inlineStr">
        <is>
          <t>WATCHLIST</t>
        </is>
      </c>
    </row>
    <row r="53">
      <c r="A53" s="97" t="inlineStr">
        <is>
          <t>GLAXO</t>
        </is>
      </c>
      <c r="B53" s="97" t="inlineStr">
        <is>
          <t>Glaxosmithkline Pharmaceuticals Ltd.</t>
        </is>
      </c>
      <c r="C53" s="97" t="inlineStr">
        <is>
          <t>Healthcare</t>
        </is>
      </c>
      <c r="D53" s="97" t="inlineStr">
        <is>
          <t>Large/Midcap</t>
        </is>
      </c>
      <c r="E53" s="97" t="n">
        <v>2514.3</v>
      </c>
      <c r="F53" s="97" t="n">
        <v>0.77</v>
      </c>
      <c r="G53" s="97" t="n">
        <v>63793</v>
      </c>
      <c r="H53" s="97" t="n">
        <v>0.9399999999999999</v>
      </c>
      <c r="I53" s="97" t="n">
        <v>42594</v>
      </c>
      <c r="J53" s="97" t="inlineStr">
        <is>
          <t>Y</t>
        </is>
      </c>
      <c r="K53" s="97" t="inlineStr">
        <is>
          <t>Y</t>
        </is>
      </c>
      <c r="L53" s="97" t="inlineStr">
        <is>
          <t>Y</t>
        </is>
      </c>
      <c r="M53" s="97" t="n">
        <v>65.09999999999999</v>
      </c>
      <c r="N53" s="97" t="inlineStr">
        <is>
          <t>Y</t>
        </is>
      </c>
      <c r="O53" s="97" t="n">
        <v>59.94</v>
      </c>
      <c r="P53" s="97" t="inlineStr">
        <is>
          <t>N</t>
        </is>
      </c>
      <c r="Q53" s="97" t="inlineStr">
        <is>
          <t>N/A</t>
        </is>
      </c>
      <c r="R53" s="97" t="inlineStr">
        <is>
          <t>N</t>
        </is>
      </c>
      <c r="S53" s="97" t="n">
        <v>7.8</v>
      </c>
      <c r="T53" s="97" t="n">
        <v>9.5</v>
      </c>
      <c r="U53" s="97" t="inlineStr">
        <is>
          <t>Y</t>
        </is>
      </c>
      <c r="V53" s="97" t="n">
        <v>41.2</v>
      </c>
      <c r="W53" s="97" t="n">
        <v>49.1</v>
      </c>
      <c r="X53" s="97" t="n">
        <v>1.47</v>
      </c>
      <c r="Y53" s="97" t="n">
        <v>-6</v>
      </c>
      <c r="Z53" s="97" t="n">
        <v>6</v>
      </c>
      <c r="AA53" s="92" t="inlineStr">
        <is>
          <t>WATCHLIST</t>
        </is>
      </c>
    </row>
    <row r="54">
      <c r="A54" s="99" t="inlineStr">
        <is>
          <t>GODREJIND</t>
        </is>
      </c>
      <c r="B54" s="99" t="inlineStr">
        <is>
          <t>Godrej Industries Ltd.</t>
        </is>
      </c>
      <c r="C54" s="99" t="inlineStr">
        <is>
          <t>Diversified</t>
        </is>
      </c>
      <c r="D54" s="99" t="inlineStr">
        <is>
          <t>Large/Midcap</t>
        </is>
      </c>
      <c r="E54" s="99" t="n">
        <v>1332.2</v>
      </c>
      <c r="F54" s="99" t="n">
        <v>-1</v>
      </c>
      <c r="G54" s="99" t="n">
        <v>60119</v>
      </c>
      <c r="H54" s="99" t="n">
        <v>0.59</v>
      </c>
      <c r="I54" s="99" t="n">
        <v>44875</v>
      </c>
      <c r="J54" s="99" t="inlineStr">
        <is>
          <t>Y</t>
        </is>
      </c>
      <c r="K54" s="99" t="inlineStr">
        <is>
          <t>Y</t>
        </is>
      </c>
      <c r="L54" s="99" t="inlineStr">
        <is>
          <t>Y</t>
        </is>
      </c>
      <c r="M54" s="99" t="n">
        <v>63.1</v>
      </c>
      <c r="N54" s="99" t="inlineStr">
        <is>
          <t>Y</t>
        </is>
      </c>
      <c r="O54" s="99" t="n">
        <v>58.1</v>
      </c>
      <c r="P54" s="99" t="inlineStr">
        <is>
          <t>N</t>
        </is>
      </c>
      <c r="Q54" s="99" t="inlineStr">
        <is>
          <t>N/A</t>
        </is>
      </c>
      <c r="R54" s="99" t="inlineStr">
        <is>
          <t>N</t>
        </is>
      </c>
      <c r="S54" s="99" t="n">
        <v>15.8</v>
      </c>
      <c r="T54" s="99" t="n">
        <v>39.3</v>
      </c>
      <c r="U54" s="99" t="inlineStr">
        <is>
          <t>Y</t>
        </is>
      </c>
      <c r="V54" s="99" t="n">
        <v>36.2</v>
      </c>
      <c r="W54" s="99" t="n">
        <v>10.8</v>
      </c>
      <c r="X54" s="99" t="n">
        <v>222.41</v>
      </c>
      <c r="Y54" s="99" t="n">
        <v>117.2</v>
      </c>
      <c r="Z54" s="99" t="n">
        <v>6</v>
      </c>
      <c r="AA54" s="94" t="inlineStr">
        <is>
          <t>WATCHLIST</t>
        </is>
      </c>
    </row>
    <row r="55">
      <c r="A55" s="97" t="inlineStr">
        <is>
          <t>GRAVITA</t>
        </is>
      </c>
      <c r="B55" s="97" t="inlineStr">
        <is>
          <t>Gravita India Ltd.</t>
        </is>
      </c>
      <c r="C55" s="97" t="inlineStr">
        <is>
          <t>Metals &amp; Mining</t>
        </is>
      </c>
      <c r="D55" s="97" t="inlineStr">
        <is>
          <t>Smallcap</t>
        </is>
      </c>
      <c r="E55" s="97" t="n">
        <v>1775.7</v>
      </c>
      <c r="F55" s="97" t="n">
        <v>1.14</v>
      </c>
      <c r="G55" s="97" t="n">
        <v>138494</v>
      </c>
      <c r="H55" s="97" t="n">
        <v>0.86</v>
      </c>
      <c r="I55" s="97" t="n">
        <v>12934</v>
      </c>
      <c r="J55" s="97" t="inlineStr">
        <is>
          <t>Y</t>
        </is>
      </c>
      <c r="K55" s="97" t="inlineStr">
        <is>
          <t>Y</t>
        </is>
      </c>
      <c r="L55" s="97" t="inlineStr">
        <is>
          <t>Y</t>
        </is>
      </c>
      <c r="M55" s="97" t="n">
        <v>50.6</v>
      </c>
      <c r="N55" s="97" t="inlineStr">
        <is>
          <t>Y</t>
        </is>
      </c>
      <c r="O55" s="97" t="n">
        <v>58.51</v>
      </c>
      <c r="P55" s="97" t="inlineStr">
        <is>
          <t>N</t>
        </is>
      </c>
      <c r="Q55" s="97" t="inlineStr">
        <is>
          <t>N/A</t>
        </is>
      </c>
      <c r="R55" s="97" t="inlineStr">
        <is>
          <t>N</t>
        </is>
      </c>
      <c r="S55" s="97" t="n">
        <v>7.3</v>
      </c>
      <c r="T55" s="97" t="n">
        <v>8.300000000000001</v>
      </c>
      <c r="U55" s="97" t="inlineStr">
        <is>
          <t>Y</t>
        </is>
      </c>
      <c r="V55" s="97" t="n">
        <v>34.1</v>
      </c>
      <c r="W55" s="97" t="n">
        <v>16.7</v>
      </c>
      <c r="X55" s="97" t="n">
        <v>29.93</v>
      </c>
      <c r="Y55" s="97" t="n">
        <v>-5.9</v>
      </c>
      <c r="Z55" s="97" t="n">
        <v>6</v>
      </c>
      <c r="AA55" s="92" t="inlineStr">
        <is>
          <t>WATCHLIST</t>
        </is>
      </c>
    </row>
    <row r="56">
      <c r="A56" s="99" t="inlineStr">
        <is>
          <t>HEXT</t>
        </is>
      </c>
      <c r="B56" s="99" t="inlineStr">
        <is>
          <t>Hexaware Technologies Ltd.</t>
        </is>
      </c>
      <c r="C56" s="99" t="inlineStr">
        <is>
          <t>Information Technology</t>
        </is>
      </c>
      <c r="D56" s="99" t="inlineStr">
        <is>
          <t>Large/Midcap</t>
        </is>
      </c>
      <c r="E56" s="99" t="n">
        <v>551.85</v>
      </c>
      <c r="F56" s="99" t="n">
        <v>2.06</v>
      </c>
      <c r="G56" s="99" t="n">
        <v>152303</v>
      </c>
      <c r="H56" s="99" t="n">
        <v>0.85</v>
      </c>
      <c r="I56" s="99" t="n">
        <v>33633</v>
      </c>
      <c r="J56" s="99" t="inlineStr">
        <is>
          <t>Y</t>
        </is>
      </c>
      <c r="K56" s="99" t="inlineStr">
        <is>
          <t>Y</t>
        </is>
      </c>
      <c r="L56" s="99" t="inlineStr">
        <is>
          <t>N</t>
        </is>
      </c>
      <c r="M56" s="99" t="n">
        <v>55.7</v>
      </c>
      <c r="N56" s="99" t="inlineStr">
        <is>
          <t>Y</t>
        </is>
      </c>
      <c r="O56" s="99" t="n">
        <v>23.87</v>
      </c>
      <c r="P56" s="99" t="inlineStr">
        <is>
          <t>N</t>
        </is>
      </c>
      <c r="Q56" s="99" t="inlineStr">
        <is>
          <t>N/A</t>
        </is>
      </c>
      <c r="R56" s="99" t="inlineStr">
        <is>
          <t>N</t>
        </is>
      </c>
      <c r="S56" s="99" t="n">
        <v>12.6</v>
      </c>
      <c r="T56" s="99" t="n">
        <v>24.5</v>
      </c>
      <c r="U56" s="99" t="inlineStr">
        <is>
          <t>Y</t>
        </is>
      </c>
      <c r="V56" s="99" t="n">
        <v>24.5</v>
      </c>
      <c r="W56" s="99" t="n">
        <v>22.3</v>
      </c>
      <c r="X56" s="99" t="n">
        <v>10.52</v>
      </c>
      <c r="Y56" s="99" t="n">
        <v>20.5</v>
      </c>
      <c r="Z56" s="99" t="n">
        <v>6</v>
      </c>
      <c r="AA56" s="94" t="inlineStr">
        <is>
          <t>WATCHLIST</t>
        </is>
      </c>
    </row>
    <row r="57">
      <c r="A57" s="97" t="inlineStr">
        <is>
          <t>HOMEFIRST</t>
        </is>
      </c>
      <c r="B57" s="97" t="inlineStr">
        <is>
          <t>Home First Finance Company India Ltd.</t>
        </is>
      </c>
      <c r="C57" s="97" t="inlineStr">
        <is>
          <t>Financial Services</t>
        </is>
      </c>
      <c r="D57" s="97" t="inlineStr">
        <is>
          <t>Smallcap</t>
        </is>
      </c>
      <c r="E57" s="97" t="n">
        <v>1174</v>
      </c>
      <c r="F57" s="97" t="n">
        <v>-2.35</v>
      </c>
      <c r="G57" s="97" t="n">
        <v>259050</v>
      </c>
      <c r="H57" s="97" t="n">
        <v>1.1</v>
      </c>
      <c r="I57" s="97" t="n">
        <v>12272</v>
      </c>
      <c r="J57" s="97" t="inlineStr">
        <is>
          <t>Y</t>
        </is>
      </c>
      <c r="K57" s="97" t="inlineStr">
        <is>
          <t>Y</t>
        </is>
      </c>
      <c r="L57" s="97" t="inlineStr">
        <is>
          <t>Y</t>
        </is>
      </c>
      <c r="M57" s="97" t="n">
        <v>47.4</v>
      </c>
      <c r="N57" s="97" t="inlineStr">
        <is>
          <t>N</t>
        </is>
      </c>
      <c r="O57" s="97" t="n">
        <v>42.26</v>
      </c>
      <c r="P57" s="97" t="inlineStr">
        <is>
          <t>N</t>
        </is>
      </c>
      <c r="Q57" s="97" t="inlineStr">
        <is>
          <t>N/A</t>
        </is>
      </c>
      <c r="R57" s="97" t="inlineStr">
        <is>
          <t>N</t>
        </is>
      </c>
      <c r="S57" s="97" t="n">
        <v>-0.4</v>
      </c>
      <c r="T57" s="97" t="n">
        <v>5.5</v>
      </c>
      <c r="U57" s="97" t="inlineStr">
        <is>
          <t>Y</t>
        </is>
      </c>
      <c r="V57" s="97" t="n">
        <v>22.8</v>
      </c>
      <c r="W57" s="97" t="n">
        <v>15.7</v>
      </c>
      <c r="X57" s="97" t="n">
        <v>243.94</v>
      </c>
      <c r="Y57" s="97" t="n">
        <v>6.6</v>
      </c>
      <c r="Z57" s="97" t="n">
        <v>6</v>
      </c>
      <c r="AA57" s="92" t="inlineStr">
        <is>
          <t>WATCHLIST</t>
        </is>
      </c>
    </row>
    <row r="58">
      <c r="A58" s="99" t="inlineStr">
        <is>
          <t>HONASA</t>
        </is>
      </c>
      <c r="B58" s="99" t="inlineStr">
        <is>
          <t>Honasa Consumer Ltd.</t>
        </is>
      </c>
      <c r="C58" s="99" t="inlineStr">
        <is>
          <t>Fast Moving Consumer Goods</t>
        </is>
      </c>
      <c r="D58" s="99" t="inlineStr">
        <is>
          <t>Smallcap</t>
        </is>
      </c>
      <c r="E58" s="99" t="n">
        <v>448.6</v>
      </c>
      <c r="F58" s="99" t="n">
        <v>0.71</v>
      </c>
      <c r="G58" s="99" t="n">
        <v>579025</v>
      </c>
      <c r="H58" s="99" t="n">
        <v>0.75</v>
      </c>
      <c r="I58" s="99" t="n">
        <v>14625</v>
      </c>
      <c r="J58" s="99" t="inlineStr">
        <is>
          <t>Y</t>
        </is>
      </c>
      <c r="K58" s="99" t="inlineStr">
        <is>
          <t>Y</t>
        </is>
      </c>
      <c r="L58" s="99" t="inlineStr">
        <is>
          <t>Y</t>
        </is>
      </c>
      <c r="M58" s="99" t="n">
        <v>32.1</v>
      </c>
      <c r="N58" s="99" t="inlineStr">
        <is>
          <t>N</t>
        </is>
      </c>
      <c r="O58" s="99" t="n">
        <v>14.82</v>
      </c>
      <c r="P58" s="99" t="inlineStr">
        <is>
          <t>N</t>
        </is>
      </c>
      <c r="Q58" s="99" t="inlineStr">
        <is>
          <t>N/A</t>
        </is>
      </c>
      <c r="R58" s="99" t="inlineStr">
        <is>
          <t>N</t>
        </is>
      </c>
      <c r="S58" s="99" t="n">
        <v>8.5</v>
      </c>
      <c r="T58" s="99" t="n">
        <v>30.1</v>
      </c>
      <c r="U58" s="99" t="inlineStr">
        <is>
          <t>Y</t>
        </is>
      </c>
      <c r="V58" s="99" t="n">
        <v>73.5</v>
      </c>
      <c r="W58" s="99" t="n">
        <v>15.4</v>
      </c>
      <c r="X58" s="99" t="n">
        <v>9.59</v>
      </c>
      <c r="Y58" s="99" t="n">
        <v>37.8</v>
      </c>
      <c r="Z58" s="99" t="n">
        <v>6</v>
      </c>
      <c r="AA58" s="94" t="inlineStr">
        <is>
          <t>WATCHLIST</t>
        </is>
      </c>
    </row>
    <row r="59">
      <c r="A59" s="97" t="inlineStr">
        <is>
          <t>IIFL</t>
        </is>
      </c>
      <c r="B59" s="97" t="inlineStr">
        <is>
          <t>IIFL Finance Ltd.</t>
        </is>
      </c>
      <c r="C59" s="97" t="inlineStr">
        <is>
          <t>Financial Services</t>
        </is>
      </c>
      <c r="D59" s="97" t="inlineStr">
        <is>
          <t>Smallcap</t>
        </is>
      </c>
      <c r="E59" s="97" t="n">
        <v>556.55</v>
      </c>
      <c r="F59" s="97" t="n">
        <v>-2.15</v>
      </c>
      <c r="G59" s="97" t="n">
        <v>1476692</v>
      </c>
      <c r="H59" s="97" t="n">
        <v>0.37</v>
      </c>
      <c r="I59" s="97" t="n">
        <v>23669</v>
      </c>
      <c r="J59" s="97" t="inlineStr">
        <is>
          <t>Y</t>
        </is>
      </c>
      <c r="K59" s="97" t="inlineStr">
        <is>
          <t>Y</t>
        </is>
      </c>
      <c r="L59" s="97" t="inlineStr">
        <is>
          <t>Y</t>
        </is>
      </c>
      <c r="M59" s="97" t="n">
        <v>60.8</v>
      </c>
      <c r="N59" s="97" t="inlineStr">
        <is>
          <t>Y</t>
        </is>
      </c>
      <c r="O59" s="97" t="n">
        <v>20.64</v>
      </c>
      <c r="P59" s="97" t="inlineStr">
        <is>
          <t>N</t>
        </is>
      </c>
      <c r="Q59" s="97" t="inlineStr">
        <is>
          <t>N/A</t>
        </is>
      </c>
      <c r="R59" s="97" t="inlineStr">
        <is>
          <t>N</t>
        </is>
      </c>
      <c r="S59" s="97" t="n">
        <v>10.2</v>
      </c>
      <c r="T59" s="97" t="n">
        <v>25</v>
      </c>
      <c r="U59" s="97" t="inlineStr">
        <is>
          <t>Y</t>
        </is>
      </c>
      <c r="V59" s="97" t="n">
        <v>11.3</v>
      </c>
      <c r="W59" s="97" t="inlineStr">
        <is>
          <t>N/A</t>
        </is>
      </c>
      <c r="X59" s="97" t="n">
        <v>447.42</v>
      </c>
      <c r="Y59" s="97" t="n">
        <v>15</v>
      </c>
      <c r="Z59" s="97" t="n">
        <v>6</v>
      </c>
      <c r="AA59" s="92" t="inlineStr">
        <is>
          <t>WATCHLIST</t>
        </is>
      </c>
    </row>
    <row r="60">
      <c r="A60" s="99" t="inlineStr">
        <is>
          <t>IEX</t>
        </is>
      </c>
      <c r="B60" s="99" t="inlineStr">
        <is>
          <t>Indian Energy Exchange Ltd.</t>
        </is>
      </c>
      <c r="C60" s="99" t="inlineStr">
        <is>
          <t>Financial Services</t>
        </is>
      </c>
      <c r="D60" s="99" t="inlineStr">
        <is>
          <t>Smallcap</t>
        </is>
      </c>
      <c r="E60" s="99" t="n">
        <v>124.26</v>
      </c>
      <c r="F60" s="99" t="n">
        <v>1.9</v>
      </c>
      <c r="G60" s="99" t="n">
        <v>10633033</v>
      </c>
      <c r="H60" s="99" t="n">
        <v>3.27</v>
      </c>
      <c r="I60" s="99" t="n">
        <v>11050</v>
      </c>
      <c r="J60" s="99" t="inlineStr">
        <is>
          <t>Y</t>
        </is>
      </c>
      <c r="K60" s="99" t="inlineStr">
        <is>
          <t>Y</t>
        </is>
      </c>
      <c r="L60" s="99" t="inlineStr">
        <is>
          <t>N</t>
        </is>
      </c>
      <c r="M60" s="99" t="n">
        <v>50.9</v>
      </c>
      <c r="N60" s="99" t="inlineStr">
        <is>
          <t>Y</t>
        </is>
      </c>
      <c r="O60" s="99" t="n">
        <v>3.67</v>
      </c>
      <c r="P60" s="99" t="inlineStr">
        <is>
          <t>Y</t>
        </is>
      </c>
      <c r="Q60" s="99" t="inlineStr">
        <is>
          <t>N/A</t>
        </is>
      </c>
      <c r="R60" s="99" t="inlineStr">
        <is>
          <t>N</t>
        </is>
      </c>
      <c r="S60" s="99" t="n">
        <v>0.5</v>
      </c>
      <c r="T60" s="99" t="n">
        <v>0.7</v>
      </c>
      <c r="U60" s="99" t="inlineStr">
        <is>
          <t>Y</t>
        </is>
      </c>
      <c r="V60" s="99" t="n">
        <v>21.8</v>
      </c>
      <c r="W60" s="99" t="inlineStr">
        <is>
          <t>N/A</t>
        </is>
      </c>
      <c r="X60" s="99" t="n">
        <v>0.82</v>
      </c>
      <c r="Y60" s="99" t="n">
        <v>3.8</v>
      </c>
      <c r="Z60" s="99" t="n">
        <v>6</v>
      </c>
      <c r="AA60" s="94" t="inlineStr">
        <is>
          <t>WATCHLIST</t>
        </is>
      </c>
    </row>
    <row r="61">
      <c r="A61" s="97" t="inlineStr">
        <is>
          <t>INDIGO</t>
        </is>
      </c>
      <c r="B61" s="97" t="inlineStr">
        <is>
          <t>InterGlobe Aviation Ltd.</t>
        </is>
      </c>
      <c r="C61" s="97" t="inlineStr">
        <is>
          <t>Services</t>
        </is>
      </c>
      <c r="D61" s="97" t="inlineStr">
        <is>
          <t>Large/Midcap</t>
        </is>
      </c>
      <c r="E61" s="97" t="n">
        <v>4985</v>
      </c>
      <c r="F61" s="97" t="n">
        <v>-0.77</v>
      </c>
      <c r="G61" s="97" t="n">
        <v>2880861</v>
      </c>
      <c r="H61" s="97" t="n">
        <v>2.35</v>
      </c>
      <c r="I61" s="97" t="n">
        <v>192753</v>
      </c>
      <c r="J61" s="97" t="inlineStr">
        <is>
          <t>Y</t>
        </is>
      </c>
      <c r="K61" s="97" t="inlineStr">
        <is>
          <t>Y</t>
        </is>
      </c>
      <c r="L61" s="97" t="inlineStr">
        <is>
          <t>Y</t>
        </is>
      </c>
      <c r="M61" s="97" t="n">
        <v>33.3</v>
      </c>
      <c r="N61" s="97" t="inlineStr">
        <is>
          <t>N</t>
        </is>
      </c>
      <c r="O61" s="97" t="n">
        <v>146.11</v>
      </c>
      <c r="P61" s="97" t="inlineStr">
        <is>
          <t>Y</t>
        </is>
      </c>
      <c r="Q61" s="97" t="inlineStr">
        <is>
          <t>N/A</t>
        </is>
      </c>
      <c r="R61" s="97" t="inlineStr">
        <is>
          <t>N</t>
        </is>
      </c>
      <c r="S61" s="97" t="n">
        <v>-7.5</v>
      </c>
      <c r="T61" s="97" t="n">
        <v>12.8</v>
      </c>
      <c r="U61" s="97" t="inlineStr">
        <is>
          <t>Y</t>
        </is>
      </c>
      <c r="V61" s="97" t="inlineStr">
        <is>
          <t>N/A</t>
        </is>
      </c>
      <c r="W61" s="97" t="inlineStr">
        <is>
          <t>N/A</t>
        </is>
      </c>
      <c r="X61" s="97" t="n">
        <v>866.46</v>
      </c>
      <c r="Y61" s="97" t="n">
        <v>90.59999999999999</v>
      </c>
      <c r="Z61" s="97" t="n">
        <v>6</v>
      </c>
      <c r="AA61" s="92" t="inlineStr">
        <is>
          <t>WATCHLIST</t>
        </is>
      </c>
    </row>
    <row r="62">
      <c r="A62" s="99" t="inlineStr">
        <is>
          <t>IKS</t>
        </is>
      </c>
      <c r="B62" s="99" t="inlineStr">
        <is>
          <t>Inventurus Knowledge Solutions Ltd.</t>
        </is>
      </c>
      <c r="C62" s="99" t="inlineStr">
        <is>
          <t>Information Technology</t>
        </is>
      </c>
      <c r="D62" s="99" t="inlineStr">
        <is>
          <t>Smallcap</t>
        </is>
      </c>
      <c r="E62" s="99" t="n">
        <v>1759.8</v>
      </c>
      <c r="F62" s="99" t="n">
        <v>-2.2</v>
      </c>
      <c r="G62" s="99" t="n">
        <v>165781</v>
      </c>
      <c r="H62" s="99" t="n">
        <v>1.97</v>
      </c>
      <c r="I62" s="99" t="n">
        <v>29520</v>
      </c>
      <c r="J62" s="99" t="inlineStr">
        <is>
          <t>Y</t>
        </is>
      </c>
      <c r="K62" s="99" t="inlineStr">
        <is>
          <t>Y</t>
        </is>
      </c>
      <c r="L62" s="99" t="inlineStr">
        <is>
          <t>Y</t>
        </is>
      </c>
      <c r="M62" s="99" t="n">
        <v>35.8</v>
      </c>
      <c r="N62" s="99" t="inlineStr">
        <is>
          <t>N</t>
        </is>
      </c>
      <c r="O62" s="99" t="n">
        <v>59.36</v>
      </c>
      <c r="P62" s="99" t="inlineStr">
        <is>
          <t>N</t>
        </is>
      </c>
      <c r="Q62" s="99" t="inlineStr">
        <is>
          <t>N/A</t>
        </is>
      </c>
      <c r="R62" s="99" t="inlineStr">
        <is>
          <t>N</t>
        </is>
      </c>
      <c r="S62" s="99" t="n">
        <v>4.3</v>
      </c>
      <c r="T62" s="99" t="n">
        <v>13.5</v>
      </c>
      <c r="U62" s="99" t="inlineStr">
        <is>
          <t>Y</t>
        </is>
      </c>
      <c r="V62" s="99" t="n">
        <v>41.7</v>
      </c>
      <c r="W62" s="99" t="n">
        <v>31.4</v>
      </c>
      <c r="X62" s="99" t="n">
        <v>26.87</v>
      </c>
      <c r="Y62" s="99" t="n">
        <v>12.3</v>
      </c>
      <c r="Z62" s="99" t="n">
        <v>6</v>
      </c>
      <c r="AA62" s="94" t="inlineStr">
        <is>
          <t>WATCHLIST</t>
        </is>
      </c>
    </row>
    <row r="63">
      <c r="A63" s="97" t="inlineStr">
        <is>
          <t>JUBLINGREA</t>
        </is>
      </c>
      <c r="B63" s="97" t="inlineStr">
        <is>
          <t>Jubilant Ingrevia Ltd.</t>
        </is>
      </c>
      <c r="C63" s="97" t="inlineStr">
        <is>
          <t>Chemicals</t>
        </is>
      </c>
      <c r="D63" s="97" t="inlineStr">
        <is>
          <t>Smallcap</t>
        </is>
      </c>
      <c r="E63" s="97" t="n">
        <v>725.55</v>
      </c>
      <c r="F63" s="97" t="n">
        <v>-2.29</v>
      </c>
      <c r="G63" s="97" t="n">
        <v>373158</v>
      </c>
      <c r="H63" s="97" t="n">
        <v>0.17</v>
      </c>
      <c r="I63" s="97" t="n">
        <v>11443</v>
      </c>
      <c r="J63" s="97" t="inlineStr">
        <is>
          <t>Y</t>
        </is>
      </c>
      <c r="K63" s="97" t="inlineStr">
        <is>
          <t>Y</t>
        </is>
      </c>
      <c r="L63" s="97" t="inlineStr">
        <is>
          <t>Y</t>
        </is>
      </c>
      <c r="M63" s="97" t="n">
        <v>59.7</v>
      </c>
      <c r="N63" s="97" t="inlineStr">
        <is>
          <t>Y</t>
        </is>
      </c>
      <c r="O63" s="97" t="n">
        <v>29.71</v>
      </c>
      <c r="P63" s="97" t="inlineStr">
        <is>
          <t>N</t>
        </is>
      </c>
      <c r="Q63" s="97" t="inlineStr">
        <is>
          <t>N/A</t>
        </is>
      </c>
      <c r="R63" s="97" t="inlineStr">
        <is>
          <t>N</t>
        </is>
      </c>
      <c r="S63" s="97" t="n">
        <v>18.2</v>
      </c>
      <c r="T63" s="97" t="n">
        <v>4.1</v>
      </c>
      <c r="U63" s="97" t="inlineStr">
        <is>
          <t>Y</t>
        </is>
      </c>
      <c r="V63" s="97" t="n">
        <v>37.3</v>
      </c>
      <c r="W63" s="97" t="inlineStr">
        <is>
          <t>N/A</t>
        </is>
      </c>
      <c r="X63" s="97" t="n">
        <v>25.33</v>
      </c>
      <c r="Y63" s="97" t="n">
        <v>22.4</v>
      </c>
      <c r="Z63" s="97" t="n">
        <v>6</v>
      </c>
      <c r="AA63" s="92" t="inlineStr">
        <is>
          <t>WATCHLIST</t>
        </is>
      </c>
    </row>
    <row r="64">
      <c r="A64" s="99" t="inlineStr">
        <is>
          <t>JYOTICNC</t>
        </is>
      </c>
      <c r="B64" s="99" t="inlineStr">
        <is>
          <t>Jyoti CNC Automation Ltd.</t>
        </is>
      </c>
      <c r="C64" s="99" t="inlineStr">
        <is>
          <t>Capital Goods</t>
        </is>
      </c>
      <c r="D64" s="99" t="inlineStr">
        <is>
          <t>Smallcap</t>
        </is>
      </c>
      <c r="E64" s="99" t="n">
        <v>795.05</v>
      </c>
      <c r="F64" s="99" t="n">
        <v>0.87</v>
      </c>
      <c r="G64" s="99" t="n">
        <v>302127</v>
      </c>
      <c r="H64" s="99" t="n">
        <v>0.61</v>
      </c>
      <c r="I64" s="99" t="n">
        <v>18081</v>
      </c>
      <c r="J64" s="99" t="inlineStr">
        <is>
          <t>Y</t>
        </is>
      </c>
      <c r="K64" s="99" t="inlineStr">
        <is>
          <t>Y</t>
        </is>
      </c>
      <c r="L64" s="99" t="inlineStr">
        <is>
          <t>N</t>
        </is>
      </c>
      <c r="M64" s="99" t="n">
        <v>56.8</v>
      </c>
      <c r="N64" s="99" t="inlineStr">
        <is>
          <t>Y</t>
        </is>
      </c>
      <c r="O64" s="99" t="n">
        <v>30.91</v>
      </c>
      <c r="P64" s="99" t="inlineStr">
        <is>
          <t>N</t>
        </is>
      </c>
      <c r="Q64" s="99" t="inlineStr">
        <is>
          <t>N/A</t>
        </is>
      </c>
      <c r="R64" s="99" t="inlineStr">
        <is>
          <t>N</t>
        </is>
      </c>
      <c r="S64" s="99" t="n">
        <v>5.5</v>
      </c>
      <c r="T64" s="99" t="n">
        <v>4.6</v>
      </c>
      <c r="U64" s="99" t="inlineStr">
        <is>
          <t>Y</t>
        </is>
      </c>
      <c r="V64" s="99" t="n">
        <v>53.8</v>
      </c>
      <c r="W64" s="99" t="n">
        <v>18.2</v>
      </c>
      <c r="X64" s="99" t="n">
        <v>42.61</v>
      </c>
      <c r="Y64" s="99" t="n">
        <v>2.3</v>
      </c>
      <c r="Z64" s="99" t="n">
        <v>6</v>
      </c>
      <c r="AA64" s="94" t="inlineStr">
        <is>
          <t>WATCHLIST</t>
        </is>
      </c>
    </row>
    <row r="65">
      <c r="A65" s="97" t="inlineStr">
        <is>
          <t>KARURVYSYA</t>
        </is>
      </c>
      <c r="B65" s="97" t="inlineStr">
        <is>
          <t>Karur Vysya Bank Ltd.</t>
        </is>
      </c>
      <c r="C65" s="97" t="inlineStr">
        <is>
          <t>Financial Services</t>
        </is>
      </c>
      <c r="D65" s="97" t="inlineStr">
        <is>
          <t>Smallcap</t>
        </is>
      </c>
      <c r="E65" s="97" t="n">
        <v>338.9</v>
      </c>
      <c r="F65" s="97" t="n">
        <v>1.38</v>
      </c>
      <c r="G65" s="97" t="n">
        <v>3587695</v>
      </c>
      <c r="H65" s="97" t="n">
        <v>0.1</v>
      </c>
      <c r="I65" s="97" t="n">
        <v>32759</v>
      </c>
      <c r="J65" s="97" t="inlineStr">
        <is>
          <t>Y</t>
        </is>
      </c>
      <c r="K65" s="97" t="inlineStr">
        <is>
          <t>Y</t>
        </is>
      </c>
      <c r="L65" s="97" t="inlineStr">
        <is>
          <t>Y</t>
        </is>
      </c>
      <c r="M65" s="97" t="n">
        <v>68.40000000000001</v>
      </c>
      <c r="N65" s="97" t="inlineStr">
        <is>
          <t>Y</t>
        </is>
      </c>
      <c r="O65" s="97" t="n">
        <v>12.49</v>
      </c>
      <c r="P65" s="97" t="inlineStr">
        <is>
          <t>N</t>
        </is>
      </c>
      <c r="Q65" s="97" t="inlineStr">
        <is>
          <t>N/A</t>
        </is>
      </c>
      <c r="R65" s="97" t="inlineStr">
        <is>
          <t>N</t>
        </is>
      </c>
      <c r="S65" s="97" t="n">
        <v>18.6</v>
      </c>
      <c r="T65" s="97" t="n">
        <v>15.3</v>
      </c>
      <c r="U65" s="97" t="inlineStr">
        <is>
          <t>Y</t>
        </is>
      </c>
      <c r="V65" s="97" t="n">
        <v>11.9</v>
      </c>
      <c r="W65" s="97" t="inlineStr">
        <is>
          <t>N/A</t>
        </is>
      </c>
      <c r="X65" s="97" t="inlineStr">
        <is>
          <t>N/A</t>
        </is>
      </c>
      <c r="Y65" s="97" t="n">
        <v>4.2</v>
      </c>
      <c r="Z65" s="97" t="n">
        <v>6</v>
      </c>
      <c r="AA65" s="92" t="inlineStr">
        <is>
          <t>WATCHLIST</t>
        </is>
      </c>
    </row>
    <row r="66">
      <c r="A66" s="99" t="inlineStr">
        <is>
          <t>KIRLOSENG</t>
        </is>
      </c>
      <c r="B66" s="99" t="inlineStr">
        <is>
          <t>Kirloskar Oil Eng Ltd.</t>
        </is>
      </c>
      <c r="C66" s="99" t="inlineStr">
        <is>
          <t>Capital Goods</t>
        </is>
      </c>
      <c r="D66" s="99" t="inlineStr">
        <is>
          <t>Smallcap</t>
        </is>
      </c>
      <c r="E66" s="99" t="n">
        <v>2182.5</v>
      </c>
      <c r="F66" s="99" t="n">
        <v>0.16</v>
      </c>
      <c r="G66" s="99" t="n">
        <v>212143</v>
      </c>
      <c r="H66" s="99" t="n">
        <v>0.61</v>
      </c>
      <c r="I66" s="99" t="n">
        <v>31757</v>
      </c>
      <c r="J66" s="99" t="inlineStr">
        <is>
          <t>Y</t>
        </is>
      </c>
      <c r="K66" s="99" t="inlineStr">
        <is>
          <t>Y</t>
        </is>
      </c>
      <c r="L66" s="99" t="inlineStr">
        <is>
          <t>Y</t>
        </is>
      </c>
      <c r="M66" s="99" t="n">
        <v>43.6</v>
      </c>
      <c r="N66" s="99" t="inlineStr">
        <is>
          <t>N</t>
        </is>
      </c>
      <c r="O66" s="99" t="n">
        <v>100.07</v>
      </c>
      <c r="P66" s="99" t="inlineStr">
        <is>
          <t>N</t>
        </is>
      </c>
      <c r="Q66" s="99" t="inlineStr">
        <is>
          <t>N/A</t>
        </is>
      </c>
      <c r="R66" s="99" t="inlineStr">
        <is>
          <t>N</t>
        </is>
      </c>
      <c r="S66" s="99" t="n">
        <v>-11.1</v>
      </c>
      <c r="T66" s="99" t="n">
        <v>29</v>
      </c>
      <c r="U66" s="99" t="inlineStr">
        <is>
          <t>Y</t>
        </is>
      </c>
      <c r="V66" s="99" t="n">
        <v>55.9</v>
      </c>
      <c r="W66" s="99" t="n">
        <v>16.8</v>
      </c>
      <c r="X66" s="99" t="n">
        <v>154.86</v>
      </c>
      <c r="Y66" s="99" t="n">
        <v>42.4</v>
      </c>
      <c r="Z66" s="99" t="n">
        <v>6</v>
      </c>
      <c r="AA66" s="94" t="inlineStr">
        <is>
          <t>WATCHLIST</t>
        </is>
      </c>
    </row>
    <row r="67">
      <c r="A67" s="97" t="inlineStr">
        <is>
          <t>LAURUSLABS</t>
        </is>
      </c>
      <c r="B67" s="97" t="inlineStr">
        <is>
          <t>Laurus Labs Ltd.</t>
        </is>
      </c>
      <c r="C67" s="97" t="inlineStr">
        <is>
          <t>Healthcare</t>
        </is>
      </c>
      <c r="D67" s="97" t="inlineStr">
        <is>
          <t>Large/Midcap</t>
        </is>
      </c>
      <c r="E67" s="97" t="n">
        <v>1601.2</v>
      </c>
      <c r="F67" s="97" t="n">
        <v>2.1</v>
      </c>
      <c r="G67" s="97" t="n">
        <v>2647403</v>
      </c>
      <c r="H67" s="97" t="n">
        <v>1.91</v>
      </c>
      <c r="I67" s="97" t="n">
        <v>86505</v>
      </c>
      <c r="J67" s="97" t="inlineStr">
        <is>
          <t>Y</t>
        </is>
      </c>
      <c r="K67" s="97" t="inlineStr">
        <is>
          <t>Y</t>
        </is>
      </c>
      <c r="L67" s="97" t="inlineStr">
        <is>
          <t>Y</t>
        </is>
      </c>
      <c r="M67" s="97" t="n">
        <v>61.6</v>
      </c>
      <c r="N67" s="97" t="inlineStr">
        <is>
          <t>Y</t>
        </is>
      </c>
      <c r="O67" s="97" t="n">
        <v>40.52</v>
      </c>
      <c r="P67" s="97" t="inlineStr">
        <is>
          <t>N</t>
        </is>
      </c>
      <c r="Q67" s="97" t="inlineStr">
        <is>
          <t>N/A</t>
        </is>
      </c>
      <c r="R67" s="97" t="inlineStr">
        <is>
          <t>N</t>
        </is>
      </c>
      <c r="S67" s="97" t="n">
        <v>11.5</v>
      </c>
      <c r="T67" s="97" t="n">
        <v>45.5</v>
      </c>
      <c r="U67" s="97" t="inlineStr">
        <is>
          <t>Y</t>
        </is>
      </c>
      <c r="V67" s="97" t="n">
        <v>79.3</v>
      </c>
      <c r="W67" s="97" t="inlineStr">
        <is>
          <t>N/A</t>
        </is>
      </c>
      <c r="X67" s="97" t="n">
        <v>46.37</v>
      </c>
      <c r="Y67" s="97" t="n">
        <v>31.7</v>
      </c>
      <c r="Z67" s="97" t="n">
        <v>6</v>
      </c>
      <c r="AA67" s="92" t="inlineStr">
        <is>
          <t>WATCHLIST</t>
        </is>
      </c>
    </row>
    <row r="68">
      <c r="A68" s="99" t="inlineStr">
        <is>
          <t>LICI</t>
        </is>
      </c>
      <c r="B68" s="99" t="inlineStr">
        <is>
          <t>Life Insurance Corporation of India</t>
        </is>
      </c>
      <c r="C68" s="99" t="inlineStr">
        <is>
          <t>Financial Services</t>
        </is>
      </c>
      <c r="D68" s="99" t="inlineStr">
        <is>
          <t>Large/Midcap</t>
        </is>
      </c>
      <c r="E68" s="99" t="n">
        <v>421.3</v>
      </c>
      <c r="F68" s="99" t="n">
        <v>-0.02</v>
      </c>
      <c r="G68" s="99" t="n">
        <v>862880</v>
      </c>
      <c r="H68" s="99" t="n">
        <v>0.68</v>
      </c>
      <c r="I68" s="99" t="n">
        <v>532944</v>
      </c>
      <c r="J68" s="99" t="inlineStr">
        <is>
          <t>Y</t>
        </is>
      </c>
      <c r="K68" s="99" t="inlineStr">
        <is>
          <t>Y</t>
        </is>
      </c>
      <c r="L68" s="99" t="inlineStr">
        <is>
          <t>Y</t>
        </is>
      </c>
      <c r="M68" s="99" t="n">
        <v>43.4</v>
      </c>
      <c r="N68" s="99" t="inlineStr">
        <is>
          <t>N</t>
        </is>
      </c>
      <c r="O68" s="99" t="n">
        <v>9.449999999999999</v>
      </c>
      <c r="P68" s="99" t="inlineStr">
        <is>
          <t>N</t>
        </is>
      </c>
      <c r="Q68" s="99" t="inlineStr">
        <is>
          <t>N/A</t>
        </is>
      </c>
      <c r="R68" s="99" t="inlineStr">
        <is>
          <t>N</t>
        </is>
      </c>
      <c r="S68" s="99" t="n">
        <v>0.6</v>
      </c>
      <c r="T68" s="99" t="n">
        <v>6.7</v>
      </c>
      <c r="U68" s="99" t="inlineStr">
        <is>
          <t>Y</t>
        </is>
      </c>
      <c r="V68" s="99" t="n">
        <v>9.300000000000001</v>
      </c>
      <c r="W68" s="99" t="n">
        <v>40.8</v>
      </c>
      <c r="X68" s="99" t="n">
        <v>0.43</v>
      </c>
      <c r="Y68" s="99" t="n">
        <v>81.5</v>
      </c>
      <c r="Z68" s="99" t="n">
        <v>6</v>
      </c>
      <c r="AA68" s="94" t="inlineStr">
        <is>
          <t>WATCHLIST</t>
        </is>
      </c>
    </row>
    <row r="69">
      <c r="A69" s="97" t="inlineStr">
        <is>
          <t>LLOYDSME</t>
        </is>
      </c>
      <c r="B69" s="97" t="inlineStr">
        <is>
          <t>Lloyds Metals And Energy Ltd.</t>
        </is>
      </c>
      <c r="C69" s="97" t="inlineStr">
        <is>
          <t>Metals &amp; Mining</t>
        </is>
      </c>
      <c r="D69" s="97" t="inlineStr">
        <is>
          <t>Large/Midcap</t>
        </is>
      </c>
      <c r="E69" s="97" t="n">
        <v>1940.5</v>
      </c>
      <c r="F69" s="97" t="n">
        <v>0.51</v>
      </c>
      <c r="G69" s="97" t="n">
        <v>548561</v>
      </c>
      <c r="H69" s="97" t="n">
        <v>0.98</v>
      </c>
      <c r="I69" s="97" t="n">
        <v>109188</v>
      </c>
      <c r="J69" s="97" t="inlineStr">
        <is>
          <t>Y</t>
        </is>
      </c>
      <c r="K69" s="97" t="inlineStr">
        <is>
          <t>Y</t>
        </is>
      </c>
      <c r="L69" s="97" t="inlineStr">
        <is>
          <t>Y</t>
        </is>
      </c>
      <c r="M69" s="97" t="n">
        <v>71.90000000000001</v>
      </c>
      <c r="N69" s="97" t="inlineStr">
        <is>
          <t>N</t>
        </is>
      </c>
      <c r="O69" s="97" t="n">
        <v>62.76</v>
      </c>
      <c r="P69" s="97" t="inlineStr">
        <is>
          <t>N</t>
        </is>
      </c>
      <c r="Q69" s="97" t="inlineStr">
        <is>
          <t>N/A</t>
        </is>
      </c>
      <c r="R69" s="97" t="inlineStr">
        <is>
          <t>N</t>
        </is>
      </c>
      <c r="S69" s="97" t="n">
        <v>13.8</v>
      </c>
      <c r="T69" s="97" t="n">
        <v>10.1</v>
      </c>
      <c r="U69" s="97" t="inlineStr">
        <is>
          <t>Y</t>
        </is>
      </c>
      <c r="V69" s="97" t="n">
        <v>29</v>
      </c>
      <c r="W69" s="97" t="n">
        <v>36.9</v>
      </c>
      <c r="X69" s="97" t="n">
        <v>145.21</v>
      </c>
      <c r="Y69" s="97" t="n">
        <v>35.5</v>
      </c>
      <c r="Z69" s="97" t="n">
        <v>6</v>
      </c>
      <c r="AA69" s="92" t="inlineStr">
        <is>
          <t>WATCHLIST</t>
        </is>
      </c>
    </row>
    <row r="70">
      <c r="A70" s="99" t="inlineStr">
        <is>
          <t>LODHA</t>
        </is>
      </c>
      <c r="B70" s="99" t="inlineStr">
        <is>
          <t>Lodha Developers Ltd.</t>
        </is>
      </c>
      <c r="C70" s="99" t="inlineStr">
        <is>
          <t>Realty</t>
        </is>
      </c>
      <c r="D70" s="99" t="inlineStr">
        <is>
          <t>Large/Midcap</t>
        </is>
      </c>
      <c r="E70" s="99" t="n">
        <v>1144.1</v>
      </c>
      <c r="F70" s="99" t="n">
        <v>-0.2</v>
      </c>
      <c r="G70" s="99" t="n">
        <v>1446063</v>
      </c>
      <c r="H70" s="99" t="n">
        <v>0.78</v>
      </c>
      <c r="I70" s="99" t="n">
        <v>114287</v>
      </c>
      <c r="J70" s="99" t="inlineStr">
        <is>
          <t>Y</t>
        </is>
      </c>
      <c r="K70" s="99" t="inlineStr">
        <is>
          <t>Y</t>
        </is>
      </c>
      <c r="L70" s="99" t="inlineStr">
        <is>
          <t>Y</t>
        </is>
      </c>
      <c r="M70" s="99" t="n">
        <v>57.9</v>
      </c>
      <c r="N70" s="99" t="inlineStr">
        <is>
          <t>Y</t>
        </is>
      </c>
      <c r="O70" s="99" t="n">
        <v>47.87</v>
      </c>
      <c r="P70" s="99" t="inlineStr">
        <is>
          <t>N</t>
        </is>
      </c>
      <c r="Q70" s="99" t="inlineStr">
        <is>
          <t>N/A</t>
        </is>
      </c>
      <c r="R70" s="99" t="inlineStr">
        <is>
          <t>N</t>
        </is>
      </c>
      <c r="S70" s="99" t="n">
        <v>21.8</v>
      </c>
      <c r="T70" s="99" t="n">
        <v>25.9</v>
      </c>
      <c r="U70" s="99" t="inlineStr">
        <is>
          <t>Y</t>
        </is>
      </c>
      <c r="V70" s="99" t="n">
        <v>27.8</v>
      </c>
      <c r="W70" s="99" t="inlineStr">
        <is>
          <t>N/A</t>
        </is>
      </c>
      <c r="X70" s="99" t="n">
        <v>42.24</v>
      </c>
      <c r="Y70" s="99" t="n">
        <v>5.3</v>
      </c>
      <c r="Z70" s="99" t="n">
        <v>6</v>
      </c>
      <c r="AA70" s="94" t="inlineStr">
        <is>
          <t>WATCHLIST</t>
        </is>
      </c>
    </row>
    <row r="71">
      <c r="A71" s="97" t="inlineStr">
        <is>
          <t>LUPIN</t>
        </is>
      </c>
      <c r="B71" s="97" t="inlineStr">
        <is>
          <t>Lupin Ltd.</t>
        </is>
      </c>
      <c r="C71" s="97" t="inlineStr">
        <is>
          <t>Healthcare</t>
        </is>
      </c>
      <c r="D71" s="97" t="inlineStr">
        <is>
          <t>Large/Midcap</t>
        </is>
      </c>
      <c r="E71" s="97" t="n">
        <v>2370.5</v>
      </c>
      <c r="F71" s="97" t="n">
        <v>-1.08</v>
      </c>
      <c r="G71" s="97" t="n">
        <v>725528</v>
      </c>
      <c r="H71" s="97" t="n">
        <v>0.8100000000000001</v>
      </c>
      <c r="I71" s="97" t="n">
        <v>108388</v>
      </c>
      <c r="J71" s="97" t="inlineStr">
        <is>
          <t>Y</t>
        </is>
      </c>
      <c r="K71" s="97" t="inlineStr">
        <is>
          <t>Y</t>
        </is>
      </c>
      <c r="L71" s="97" t="inlineStr">
        <is>
          <t>Y</t>
        </is>
      </c>
      <c r="M71" s="97" t="n">
        <v>37</v>
      </c>
      <c r="N71" s="97" t="inlineStr">
        <is>
          <t>N</t>
        </is>
      </c>
      <c r="O71" s="97" t="n">
        <v>55.06</v>
      </c>
      <c r="P71" s="97" t="inlineStr">
        <is>
          <t>N</t>
        </is>
      </c>
      <c r="Q71" s="97" t="inlineStr">
        <is>
          <t>N/A</t>
        </is>
      </c>
      <c r="R71" s="97" t="inlineStr">
        <is>
          <t>N</t>
        </is>
      </c>
      <c r="S71" s="97" t="n">
        <v>2.9</v>
      </c>
      <c r="T71" s="97" t="n">
        <v>3.8</v>
      </c>
      <c r="U71" s="97" t="inlineStr">
        <is>
          <t>Y</t>
        </is>
      </c>
      <c r="V71" s="97" t="n">
        <v>20.4</v>
      </c>
      <c r="W71" s="97" t="n">
        <v>26.9</v>
      </c>
      <c r="X71" s="97" t="n">
        <v>29.39</v>
      </c>
      <c r="Y71" s="97" t="n">
        <v>24.2</v>
      </c>
      <c r="Z71" s="97" t="n">
        <v>6</v>
      </c>
      <c r="AA71" s="92" t="inlineStr">
        <is>
          <t>WATCHLIST</t>
        </is>
      </c>
    </row>
    <row r="72">
      <c r="A72" s="99" t="inlineStr">
        <is>
          <t>MANAPPURAM</t>
        </is>
      </c>
      <c r="B72" s="99" t="inlineStr">
        <is>
          <t>Manappuram Finance Ltd.</t>
        </is>
      </c>
      <c r="C72" s="99" t="inlineStr">
        <is>
          <t>Financial Services</t>
        </is>
      </c>
      <c r="D72" s="99" t="inlineStr">
        <is>
          <t>Smallcap</t>
        </is>
      </c>
      <c r="E72" s="99" t="n">
        <v>352.95</v>
      </c>
      <c r="F72" s="99" t="n">
        <v>0.14</v>
      </c>
      <c r="G72" s="99" t="n">
        <v>3371207</v>
      </c>
      <c r="H72" s="99" t="n">
        <v>0.49</v>
      </c>
      <c r="I72" s="99" t="n">
        <v>33154</v>
      </c>
      <c r="J72" s="99" t="inlineStr">
        <is>
          <t>Y</t>
        </is>
      </c>
      <c r="K72" s="99" t="inlineStr">
        <is>
          <t>Y</t>
        </is>
      </c>
      <c r="L72" s="99" t="inlineStr">
        <is>
          <t>Y</t>
        </is>
      </c>
      <c r="M72" s="99" t="n">
        <v>54.8</v>
      </c>
      <c r="N72" s="99" t="inlineStr">
        <is>
          <t>Y</t>
        </is>
      </c>
      <c r="O72" s="99" t="n">
        <v>10.04</v>
      </c>
      <c r="P72" s="99" t="inlineStr">
        <is>
          <t>N</t>
        </is>
      </c>
      <c r="Q72" s="99" t="inlineStr">
        <is>
          <t>N/A</t>
        </is>
      </c>
      <c r="R72" s="99" t="inlineStr">
        <is>
          <t>N</t>
        </is>
      </c>
      <c r="S72" s="99" t="n">
        <v>11.9</v>
      </c>
      <c r="T72" s="99" t="n">
        <v>20.2</v>
      </c>
      <c r="U72" s="99" t="inlineStr">
        <is>
          <t>Y</t>
        </is>
      </c>
      <c r="V72" s="99" t="n">
        <v>29.9</v>
      </c>
      <c r="W72" s="99" t="n">
        <v>7</v>
      </c>
      <c r="X72" s="99" t="n">
        <v>360.19</v>
      </c>
      <c r="Y72" s="99" t="n">
        <v>67.59999999999999</v>
      </c>
      <c r="Z72" s="99" t="n">
        <v>6</v>
      </c>
      <c r="AA72" s="94" t="inlineStr">
        <is>
          <t>WATCHLIST</t>
        </is>
      </c>
    </row>
    <row r="73">
      <c r="A73" s="97" t="inlineStr">
        <is>
          <t>MARICO</t>
        </is>
      </c>
      <c r="B73" s="97" t="inlineStr">
        <is>
          <t>Marico Ltd.</t>
        </is>
      </c>
      <c r="C73" s="97" t="inlineStr">
        <is>
          <t>Fast Moving Consumer Goods</t>
        </is>
      </c>
      <c r="D73" s="97" t="inlineStr">
        <is>
          <t>Large/Midcap</t>
        </is>
      </c>
      <c r="E73" s="97" t="n">
        <v>855.6</v>
      </c>
      <c r="F73" s="97" t="n">
        <v>0.28</v>
      </c>
      <c r="G73" s="97" t="n">
        <v>1968480</v>
      </c>
      <c r="H73" s="97" t="n">
        <v>1.28</v>
      </c>
      <c r="I73" s="97" t="n">
        <v>110876</v>
      </c>
      <c r="J73" s="97" t="inlineStr">
        <is>
          <t>Y</t>
        </is>
      </c>
      <c r="K73" s="97" t="inlineStr">
        <is>
          <t>Y</t>
        </is>
      </c>
      <c r="L73" s="97" t="inlineStr">
        <is>
          <t>Y</t>
        </is>
      </c>
      <c r="M73" s="97" t="n">
        <v>58.8</v>
      </c>
      <c r="N73" s="97" t="inlineStr">
        <is>
          <t>Y</t>
        </is>
      </c>
      <c r="O73" s="97" t="n">
        <v>15.95</v>
      </c>
      <c r="P73" s="97" t="inlineStr">
        <is>
          <t>N</t>
        </is>
      </c>
      <c r="Q73" s="97" t="inlineStr">
        <is>
          <t>N/A</t>
        </is>
      </c>
      <c r="R73" s="97" t="inlineStr">
        <is>
          <t>N</t>
        </is>
      </c>
      <c r="S73" s="97" t="n">
        <v>4.7</v>
      </c>
      <c r="T73" s="97" t="n">
        <v>10.3</v>
      </c>
      <c r="U73" s="97" t="inlineStr">
        <is>
          <t>Y</t>
        </is>
      </c>
      <c r="V73" s="97" t="n">
        <v>62.9</v>
      </c>
      <c r="W73" s="97" t="n">
        <v>41.4</v>
      </c>
      <c r="X73" s="97" t="n">
        <v>12.39</v>
      </c>
      <c r="Y73" s="97" t="n">
        <v>-12.5</v>
      </c>
      <c r="Z73" s="97" t="n">
        <v>6</v>
      </c>
      <c r="AA73" s="92" t="inlineStr">
        <is>
          <t>WATCHLIST</t>
        </is>
      </c>
    </row>
    <row r="74">
      <c r="A74" s="99" t="inlineStr">
        <is>
          <t>MPHASIS</t>
        </is>
      </c>
      <c r="B74" s="99" t="inlineStr">
        <is>
          <t>MphasiS Ltd.</t>
        </is>
      </c>
      <c r="C74" s="99" t="inlineStr">
        <is>
          <t>Information Technology</t>
        </is>
      </c>
      <c r="D74" s="99" t="inlineStr">
        <is>
          <t>Large/Midcap</t>
        </is>
      </c>
      <c r="E74" s="99" t="n">
        <v>2288.1</v>
      </c>
      <c r="F74" s="99" t="n">
        <v>2.5</v>
      </c>
      <c r="G74" s="99" t="n">
        <v>2105429</v>
      </c>
      <c r="H74" s="99" t="n">
        <v>5.43</v>
      </c>
      <c r="I74" s="99" t="n">
        <v>43661</v>
      </c>
      <c r="J74" s="99" t="inlineStr">
        <is>
          <t>Y</t>
        </is>
      </c>
      <c r="K74" s="99" t="inlineStr">
        <is>
          <t>Y</t>
        </is>
      </c>
      <c r="L74" s="99" t="inlineStr">
        <is>
          <t>N</t>
        </is>
      </c>
      <c r="M74" s="99" t="n">
        <v>53.2</v>
      </c>
      <c r="N74" s="99" t="inlineStr">
        <is>
          <t>Y</t>
        </is>
      </c>
      <c r="O74" s="99" t="n">
        <v>83.87</v>
      </c>
      <c r="P74" s="99" t="inlineStr">
        <is>
          <t>Y</t>
        </is>
      </c>
      <c r="Q74" s="99" t="inlineStr">
        <is>
          <t>N/A</t>
        </is>
      </c>
      <c r="R74" s="99" t="inlineStr">
        <is>
          <t>N</t>
        </is>
      </c>
      <c r="S74" s="99" t="n">
        <v>4.9</v>
      </c>
      <c r="T74" s="99" t="n">
        <v>4.9</v>
      </c>
      <c r="U74" s="99" t="inlineStr">
        <is>
          <t>Y</t>
        </is>
      </c>
      <c r="V74" s="99" t="n">
        <v>22.9</v>
      </c>
      <c r="W74" s="99" t="n">
        <v>17.7</v>
      </c>
      <c r="X74" s="99" t="n">
        <v>24.68</v>
      </c>
      <c r="Y74" s="99" t="n">
        <v>-4</v>
      </c>
      <c r="Z74" s="99" t="n">
        <v>6</v>
      </c>
      <c r="AA74" s="94" t="inlineStr">
        <is>
          <t>WATCHLIST</t>
        </is>
      </c>
    </row>
    <row r="75">
      <c r="A75" s="97" t="inlineStr">
        <is>
          <t>NH</t>
        </is>
      </c>
      <c r="B75" s="97" t="inlineStr">
        <is>
          <t>Narayana Hrudayalaya Ltd.</t>
        </is>
      </c>
      <c r="C75" s="97" t="inlineStr">
        <is>
          <t>Healthcare</t>
        </is>
      </c>
      <c r="D75" s="97" t="inlineStr">
        <is>
          <t>Smallcap</t>
        </is>
      </c>
      <c r="E75" s="97" t="n">
        <v>1961.5</v>
      </c>
      <c r="F75" s="97" t="n">
        <v>-1.06</v>
      </c>
      <c r="G75" s="97" t="n">
        <v>160451</v>
      </c>
      <c r="H75" s="97" t="n">
        <v>0.77</v>
      </c>
      <c r="I75" s="97" t="n">
        <v>39838</v>
      </c>
      <c r="J75" s="97" t="inlineStr">
        <is>
          <t>Y</t>
        </is>
      </c>
      <c r="K75" s="97" t="inlineStr">
        <is>
          <t>Y</t>
        </is>
      </c>
      <c r="L75" s="97" t="inlineStr">
        <is>
          <t>Y</t>
        </is>
      </c>
      <c r="M75" s="97" t="n">
        <v>43.3</v>
      </c>
      <c r="N75" s="97" t="inlineStr">
        <is>
          <t>N</t>
        </is>
      </c>
      <c r="O75" s="97" t="n">
        <v>41.3</v>
      </c>
      <c r="P75" s="97" t="inlineStr">
        <is>
          <t>N</t>
        </is>
      </c>
      <c r="Q75" s="97" t="inlineStr">
        <is>
          <t>N/A</t>
        </is>
      </c>
      <c r="R75" s="97" t="inlineStr">
        <is>
          <t>N</t>
        </is>
      </c>
      <c r="S75" s="97" t="n">
        <v>1.5</v>
      </c>
      <c r="T75" s="97" t="n">
        <v>11.6</v>
      </c>
      <c r="U75" s="97" t="inlineStr">
        <is>
          <t>Y</t>
        </is>
      </c>
      <c r="V75" s="97" t="n">
        <v>49.3</v>
      </c>
      <c r="W75" s="97" t="n">
        <v>19.8</v>
      </c>
      <c r="X75" s="97" t="n">
        <v>129.03</v>
      </c>
      <c r="Y75" s="97" t="n">
        <v>76.7</v>
      </c>
      <c r="Z75" s="97" t="n">
        <v>6</v>
      </c>
      <c r="AA75" s="92" t="inlineStr">
        <is>
          <t>WATCHLIST</t>
        </is>
      </c>
    </row>
    <row r="76">
      <c r="A76" s="99" t="inlineStr">
        <is>
          <t>NAVINFLUOR</t>
        </is>
      </c>
      <c r="B76" s="99" t="inlineStr">
        <is>
          <t>Navin Fluorine International Ltd.</t>
        </is>
      </c>
      <c r="C76" s="99" t="inlineStr">
        <is>
          <t>Chemicals</t>
        </is>
      </c>
      <c r="D76" s="99" t="inlineStr">
        <is>
          <t>Smallcap</t>
        </is>
      </c>
      <c r="E76" s="99" t="n">
        <v>7520</v>
      </c>
      <c r="F76" s="99" t="n">
        <v>-2</v>
      </c>
      <c r="G76" s="99" t="n">
        <v>70434</v>
      </c>
      <c r="H76" s="99" t="n">
        <v>0.49</v>
      </c>
      <c r="I76" s="99" t="n">
        <v>38578</v>
      </c>
      <c r="J76" s="99" t="inlineStr">
        <is>
          <t>Y</t>
        </is>
      </c>
      <c r="K76" s="99" t="inlineStr">
        <is>
          <t>Y</t>
        </is>
      </c>
      <c r="L76" s="99" t="inlineStr">
        <is>
          <t>Y</t>
        </is>
      </c>
      <c r="M76" s="99" t="n">
        <v>43.6</v>
      </c>
      <c r="N76" s="99" t="inlineStr">
        <is>
          <t>N</t>
        </is>
      </c>
      <c r="O76" s="99" t="n">
        <v>212.68</v>
      </c>
      <c r="P76" s="99" t="inlineStr">
        <is>
          <t>N</t>
        </is>
      </c>
      <c r="Q76" s="99" t="inlineStr">
        <is>
          <t>N/A</t>
        </is>
      </c>
      <c r="R76" s="99" t="inlineStr">
        <is>
          <t>N</t>
        </is>
      </c>
      <c r="S76" s="99" t="n">
        <v>-0.1</v>
      </c>
      <c r="T76" s="99" t="n">
        <v>11.9</v>
      </c>
      <c r="U76" s="99" t="inlineStr">
        <is>
          <t>Y</t>
        </is>
      </c>
      <c r="V76" s="99" t="n">
        <v>57.8</v>
      </c>
      <c r="W76" s="99" t="n">
        <v>20.1</v>
      </c>
      <c r="X76" s="99" t="n">
        <v>32.09</v>
      </c>
      <c r="Y76" s="99" t="n">
        <v>14.7</v>
      </c>
      <c r="Z76" s="99" t="n">
        <v>6</v>
      </c>
      <c r="AA76" s="94" t="inlineStr">
        <is>
          <t>WATCHLIST</t>
        </is>
      </c>
    </row>
    <row r="77">
      <c r="A77" s="97" t="inlineStr">
        <is>
          <t>NIVABUPA</t>
        </is>
      </c>
      <c r="B77" s="97" t="inlineStr">
        <is>
          <t>Niva Bupa Health Insurance Company Ltd.</t>
        </is>
      </c>
      <c r="C77" s="97" t="inlineStr">
        <is>
          <t>Financial Services</t>
        </is>
      </c>
      <c r="D77" s="97" t="inlineStr">
        <is>
          <t>Smallcap</t>
        </is>
      </c>
      <c r="E77" s="97" t="n">
        <v>86.64</v>
      </c>
      <c r="F77" s="97" t="n">
        <v>2.39</v>
      </c>
      <c r="G77" s="97" t="n">
        <v>1115705</v>
      </c>
      <c r="H77" s="97" t="n">
        <v>1.53</v>
      </c>
      <c r="I77" s="97" t="n">
        <v>16022</v>
      </c>
      <c r="J77" s="97" t="inlineStr">
        <is>
          <t>Y</t>
        </is>
      </c>
      <c r="K77" s="97" t="inlineStr">
        <is>
          <t>Y</t>
        </is>
      </c>
      <c r="L77" s="97" t="inlineStr">
        <is>
          <t>Y</t>
        </is>
      </c>
      <c r="M77" s="97" t="n">
        <v>53.2</v>
      </c>
      <c r="N77" s="97" t="inlineStr">
        <is>
          <t>Y</t>
        </is>
      </c>
      <c r="O77" s="97" t="n">
        <v>2.38</v>
      </c>
      <c r="P77" s="97" t="inlineStr">
        <is>
          <t>N</t>
        </is>
      </c>
      <c r="Q77" s="97" t="inlineStr">
        <is>
          <t>N/A</t>
        </is>
      </c>
      <c r="R77" s="97" t="inlineStr">
        <is>
          <t>N</t>
        </is>
      </c>
      <c r="S77" s="97" t="n">
        <v>3.2</v>
      </c>
      <c r="T77" s="97" t="n">
        <v>13.1</v>
      </c>
      <c r="U77" s="97" t="inlineStr">
        <is>
          <t>Y</t>
        </is>
      </c>
      <c r="V77" s="97" t="n">
        <v>122</v>
      </c>
      <c r="W77" s="97" t="n">
        <v>10.7</v>
      </c>
      <c r="X77" s="97" t="n">
        <v>9.880000000000001</v>
      </c>
      <c r="Y77" s="97" t="n">
        <v>493.8</v>
      </c>
      <c r="Z77" s="97" t="n">
        <v>6</v>
      </c>
      <c r="AA77" s="92" t="inlineStr">
        <is>
          <t>WATCHLIST</t>
        </is>
      </c>
    </row>
    <row r="78">
      <c r="A78" s="99" t="inlineStr">
        <is>
          <t>PAYTM</t>
        </is>
      </c>
      <c r="B78" s="99" t="inlineStr">
        <is>
          <t>One 97 Communications Ltd.</t>
        </is>
      </c>
      <c r="C78" s="99" t="inlineStr">
        <is>
          <t>Financial Services</t>
        </is>
      </c>
      <c r="D78" s="99" t="inlineStr">
        <is>
          <t>Large/Midcap</t>
        </is>
      </c>
      <c r="E78" s="99" t="n">
        <v>1283.2</v>
      </c>
      <c r="F78" s="99" t="n">
        <v>2.1</v>
      </c>
      <c r="G78" s="99" t="n">
        <v>3609944</v>
      </c>
      <c r="H78" s="99" t="n">
        <v>0.67</v>
      </c>
      <c r="I78" s="99" t="n">
        <v>82213</v>
      </c>
      <c r="J78" s="99" t="inlineStr">
        <is>
          <t>Y</t>
        </is>
      </c>
      <c r="K78" s="99" t="inlineStr">
        <is>
          <t>Y</t>
        </is>
      </c>
      <c r="L78" s="99" t="inlineStr">
        <is>
          <t>Y</t>
        </is>
      </c>
      <c r="M78" s="99" t="n">
        <v>58.8</v>
      </c>
      <c r="N78" s="99" t="inlineStr">
        <is>
          <t>Y</t>
        </is>
      </c>
      <c r="O78" s="99" t="n">
        <v>52.43</v>
      </c>
      <c r="P78" s="99" t="inlineStr">
        <is>
          <t>N</t>
        </is>
      </c>
      <c r="Q78" s="99" t="inlineStr">
        <is>
          <t>N/A</t>
        </is>
      </c>
      <c r="R78" s="99" t="inlineStr">
        <is>
          <t>N</t>
        </is>
      </c>
      <c r="S78" s="99" t="n">
        <v>15.1</v>
      </c>
      <c r="T78" s="99" t="n">
        <v>16.8</v>
      </c>
      <c r="U78" s="99" t="inlineStr">
        <is>
          <t>Y</t>
        </is>
      </c>
      <c r="V78" s="99" t="n">
        <v>128.2</v>
      </c>
      <c r="W78" s="99" t="inlineStr">
        <is>
          <t>N/A</t>
        </is>
      </c>
      <c r="X78" s="99" t="n">
        <v>1.07</v>
      </c>
      <c r="Y78" s="99" t="n">
        <v>19.6</v>
      </c>
      <c r="Z78" s="99" t="n">
        <v>6</v>
      </c>
      <c r="AA78" s="94" t="inlineStr">
        <is>
          <t>WATCHLIST</t>
        </is>
      </c>
    </row>
    <row r="79">
      <c r="A79" s="97" t="inlineStr">
        <is>
          <t>PGEL</t>
        </is>
      </c>
      <c r="B79" s="97" t="inlineStr">
        <is>
          <t>PG Electroplast Ltd.</t>
        </is>
      </c>
      <c r="C79" s="97" t="inlineStr">
        <is>
          <t>Consumer Durables</t>
        </is>
      </c>
      <c r="D79" s="97" t="inlineStr">
        <is>
          <t>Smallcap</t>
        </is>
      </c>
      <c r="E79" s="97" t="n">
        <v>572.45</v>
      </c>
      <c r="F79" s="97" t="n">
        <v>-0.73</v>
      </c>
      <c r="G79" s="97" t="n">
        <v>870572</v>
      </c>
      <c r="H79" s="97" t="n">
        <v>0.41</v>
      </c>
      <c r="I79" s="97" t="n">
        <v>16401</v>
      </c>
      <c r="J79" s="97" t="inlineStr">
        <is>
          <t>Y</t>
        </is>
      </c>
      <c r="K79" s="97" t="inlineStr">
        <is>
          <t>Y</t>
        </is>
      </c>
      <c r="L79" s="97" t="inlineStr">
        <is>
          <t>Y</t>
        </is>
      </c>
      <c r="M79" s="97" t="n">
        <v>50.7</v>
      </c>
      <c r="N79" s="97" t="inlineStr">
        <is>
          <t>Y</t>
        </is>
      </c>
      <c r="O79" s="97" t="n">
        <v>23.17</v>
      </c>
      <c r="P79" s="97" t="inlineStr">
        <is>
          <t>N</t>
        </is>
      </c>
      <c r="Q79" s="97" t="inlineStr">
        <is>
          <t>N/A</t>
        </is>
      </c>
      <c r="R79" s="97" t="inlineStr">
        <is>
          <t>N</t>
        </is>
      </c>
      <c r="S79" s="97" t="n">
        <v>5.9</v>
      </c>
      <c r="T79" s="97" t="n">
        <v>4.5</v>
      </c>
      <c r="U79" s="97" t="inlineStr">
        <is>
          <t>Y</t>
        </is>
      </c>
      <c r="V79" s="97" t="n">
        <v>82.59999999999999</v>
      </c>
      <c r="W79" s="97" t="n">
        <v>6.7</v>
      </c>
      <c r="X79" s="97" t="n">
        <v>19.57</v>
      </c>
      <c r="Y79" s="97" t="n">
        <v>4.7</v>
      </c>
      <c r="Z79" s="97" t="n">
        <v>6</v>
      </c>
      <c r="AA79" s="92" t="inlineStr">
        <is>
          <t>WATCHLIST</t>
        </is>
      </c>
    </row>
    <row r="80">
      <c r="A80" s="99" t="inlineStr">
        <is>
          <t>PERSISTENT</t>
        </is>
      </c>
      <c r="B80" s="99" t="inlineStr">
        <is>
          <t>Persistent Systems Ltd.</t>
        </is>
      </c>
      <c r="C80" s="99" t="inlineStr">
        <is>
          <t>Information Technology</t>
        </is>
      </c>
      <c r="D80" s="99" t="inlineStr">
        <is>
          <t>Large/Midcap</t>
        </is>
      </c>
      <c r="E80" s="99" t="n">
        <v>5200.5</v>
      </c>
      <c r="F80" s="99" t="n">
        <v>3.97</v>
      </c>
      <c r="G80" s="99" t="n">
        <v>732328</v>
      </c>
      <c r="H80" s="99" t="n">
        <v>1.69</v>
      </c>
      <c r="I80" s="99" t="n">
        <v>81248</v>
      </c>
      <c r="J80" s="99" t="inlineStr">
        <is>
          <t>Y</t>
        </is>
      </c>
      <c r="K80" s="99" t="inlineStr">
        <is>
          <t>Y</t>
        </is>
      </c>
      <c r="L80" s="99" t="inlineStr">
        <is>
          <t>N</t>
        </is>
      </c>
      <c r="M80" s="99" t="n">
        <v>67.09999999999999</v>
      </c>
      <c r="N80" s="99" t="inlineStr">
        <is>
          <t>Y</t>
        </is>
      </c>
      <c r="O80" s="99" t="n">
        <v>166.82</v>
      </c>
      <c r="P80" s="99" t="inlineStr">
        <is>
          <t>N</t>
        </is>
      </c>
      <c r="Q80" s="99" t="inlineStr">
        <is>
          <t>N/A</t>
        </is>
      </c>
      <c r="R80" s="99" t="inlineStr">
        <is>
          <t>N</t>
        </is>
      </c>
      <c r="S80" s="99" t="n">
        <v>8.5</v>
      </c>
      <c r="T80" s="99" t="n">
        <v>8.800000000000001</v>
      </c>
      <c r="U80" s="99" t="inlineStr">
        <is>
          <t>Y</t>
        </is>
      </c>
      <c r="V80" s="99" t="n">
        <v>43.7</v>
      </c>
      <c r="W80" s="99" t="n">
        <v>26.3</v>
      </c>
      <c r="X80" s="99" t="n">
        <v>6.09</v>
      </c>
      <c r="Y80" s="99" t="n">
        <v>20.4</v>
      </c>
      <c r="Z80" s="99" t="n">
        <v>6</v>
      </c>
      <c r="AA80" s="94" t="inlineStr">
        <is>
          <t>WATCHLIST</t>
        </is>
      </c>
    </row>
    <row r="81">
      <c r="A81" s="97" t="inlineStr">
        <is>
          <t>PIDILITIND</t>
        </is>
      </c>
      <c r="B81" s="97" t="inlineStr">
        <is>
          <t>Pidilite Industries Ltd.</t>
        </is>
      </c>
      <c r="C81" s="97" t="inlineStr">
        <is>
          <t>Chemicals</t>
        </is>
      </c>
      <c r="D81" s="97" t="inlineStr">
        <is>
          <t>Large/Midcap</t>
        </is>
      </c>
      <c r="E81" s="97" t="n">
        <v>1570.9</v>
      </c>
      <c r="F81" s="97" t="n">
        <v>0.43</v>
      </c>
      <c r="G81" s="97" t="n">
        <v>2199982</v>
      </c>
      <c r="H81" s="97" t="n">
        <v>1.49</v>
      </c>
      <c r="I81" s="97" t="n">
        <v>159885</v>
      </c>
      <c r="J81" s="97" t="inlineStr">
        <is>
          <t>Y</t>
        </is>
      </c>
      <c r="K81" s="97" t="inlineStr">
        <is>
          <t>Y</t>
        </is>
      </c>
      <c r="L81" s="97" t="inlineStr">
        <is>
          <t>Y</t>
        </is>
      </c>
      <c r="M81" s="97" t="n">
        <v>42.8</v>
      </c>
      <c r="N81" s="97" t="inlineStr">
        <is>
          <t>N</t>
        </is>
      </c>
      <c r="O81" s="97" t="n">
        <v>35.17</v>
      </c>
      <c r="P81" s="97" t="inlineStr">
        <is>
          <t>Y</t>
        </is>
      </c>
      <c r="Q81" s="97" t="inlineStr">
        <is>
          <t>N/A</t>
        </is>
      </c>
      <c r="R81" s="97" t="inlineStr">
        <is>
          <t>N</t>
        </is>
      </c>
      <c r="S81" s="97" t="n">
        <v>0.1</v>
      </c>
      <c r="T81" s="97" t="n">
        <v>14.5</v>
      </c>
      <c r="U81" s="97" t="inlineStr">
        <is>
          <t>Y</t>
        </is>
      </c>
      <c r="V81" s="97" t="n">
        <v>65.40000000000001</v>
      </c>
      <c r="W81" s="97" t="n">
        <v>23.5</v>
      </c>
      <c r="X81" s="97" t="n">
        <v>3.78</v>
      </c>
      <c r="Y81" s="97" t="n">
        <v>-6.3</v>
      </c>
      <c r="Z81" s="97" t="n">
        <v>6</v>
      </c>
      <c r="AA81" s="92" t="inlineStr">
        <is>
          <t>WATCHLIST</t>
        </is>
      </c>
    </row>
    <row r="82">
      <c r="A82" s="99" t="inlineStr">
        <is>
          <t>PPLPHARMA</t>
        </is>
      </c>
      <c r="B82" s="99" t="inlineStr">
        <is>
          <t>Piramal Pharma Ltd.</t>
        </is>
      </c>
      <c r="C82" s="99" t="inlineStr">
        <is>
          <t>Healthcare</t>
        </is>
      </c>
      <c r="D82" s="99" t="inlineStr">
        <is>
          <t>Smallcap</t>
        </is>
      </c>
      <c r="E82" s="99" t="n">
        <v>181.27</v>
      </c>
      <c r="F82" s="99" t="n">
        <v>0.24</v>
      </c>
      <c r="G82" s="99" t="n">
        <v>3895346</v>
      </c>
      <c r="H82" s="99" t="n">
        <v>0.42</v>
      </c>
      <c r="I82" s="99" t="n">
        <v>24052</v>
      </c>
      <c r="J82" s="99" t="inlineStr">
        <is>
          <t>Y</t>
        </is>
      </c>
      <c r="K82" s="99" t="inlineStr">
        <is>
          <t>Y</t>
        </is>
      </c>
      <c r="L82" s="99" t="inlineStr">
        <is>
          <t>Y</t>
        </is>
      </c>
      <c r="M82" s="99" t="n">
        <v>53.4</v>
      </c>
      <c r="N82" s="99" t="inlineStr">
        <is>
          <t>Y</t>
        </is>
      </c>
      <c r="O82" s="99" t="n">
        <v>7.38</v>
      </c>
      <c r="P82" s="99" t="inlineStr">
        <is>
          <t>N</t>
        </is>
      </c>
      <c r="Q82" s="99" t="inlineStr">
        <is>
          <t>N/A</t>
        </is>
      </c>
      <c r="R82" s="99" t="inlineStr">
        <is>
          <t>N</t>
        </is>
      </c>
      <c r="S82" s="99" t="n">
        <v>9.199999999999999</v>
      </c>
      <c r="T82" s="99" t="n">
        <v>13.7</v>
      </c>
      <c r="U82" s="99" t="inlineStr">
        <is>
          <t>Y</t>
        </is>
      </c>
      <c r="V82" s="99" t="inlineStr">
        <is>
          <t>N/A</t>
        </is>
      </c>
      <c r="W82" s="99" t="n">
        <v>-4</v>
      </c>
      <c r="X82" s="99" t="n">
        <v>69.98</v>
      </c>
      <c r="Y82" s="99" t="n">
        <v>93.5</v>
      </c>
      <c r="Z82" s="99" t="n">
        <v>6</v>
      </c>
      <c r="AA82" s="94" t="inlineStr">
        <is>
          <t>WATCHLIST</t>
        </is>
      </c>
    </row>
    <row r="83">
      <c r="A83" s="97" t="inlineStr">
        <is>
          <t>MOTHERSON</t>
        </is>
      </c>
      <c r="B83" s="97" t="inlineStr">
        <is>
          <t>Samvardhana Motherson International Ltd.</t>
        </is>
      </c>
      <c r="C83" s="97" t="inlineStr">
        <is>
          <t>Automobile and Auto Components</t>
        </is>
      </c>
      <c r="D83" s="97" t="inlineStr">
        <is>
          <t>Large/Midcap</t>
        </is>
      </c>
      <c r="E83" s="97" t="n">
        <v>145.55</v>
      </c>
      <c r="F83" s="97" t="n">
        <v>-0.01</v>
      </c>
      <c r="G83" s="97" t="n">
        <v>9305257</v>
      </c>
      <c r="H83" s="97" t="n">
        <v>0.64</v>
      </c>
      <c r="I83" s="97" t="n">
        <v>153282</v>
      </c>
      <c r="J83" s="97" t="inlineStr">
        <is>
          <t>Y</t>
        </is>
      </c>
      <c r="K83" s="97" t="inlineStr">
        <is>
          <t>Y</t>
        </is>
      </c>
      <c r="L83" s="97" t="inlineStr">
        <is>
          <t>Y</t>
        </is>
      </c>
      <c r="M83" s="97" t="n">
        <v>51.3</v>
      </c>
      <c r="N83" s="97" t="inlineStr">
        <is>
          <t>Y</t>
        </is>
      </c>
      <c r="O83" s="97" t="n">
        <v>3.88</v>
      </c>
      <c r="P83" s="97" t="inlineStr">
        <is>
          <t>N</t>
        </is>
      </c>
      <c r="Q83" s="97" t="inlineStr">
        <is>
          <t>N/A</t>
        </is>
      </c>
      <c r="R83" s="97" t="inlineStr">
        <is>
          <t>N</t>
        </is>
      </c>
      <c r="S83" s="97" t="n">
        <v>-2.8</v>
      </c>
      <c r="T83" s="97" t="n">
        <v>18.9</v>
      </c>
      <c r="U83" s="97" t="inlineStr">
        <is>
          <t>Y</t>
        </is>
      </c>
      <c r="V83" s="97" t="n">
        <v>39.9</v>
      </c>
      <c r="W83" s="97" t="n">
        <v>10.1</v>
      </c>
      <c r="X83" s="97" t="n">
        <v>43.91</v>
      </c>
      <c r="Y83" s="97" t="n">
        <v>46.2</v>
      </c>
      <c r="Z83" s="97" t="n">
        <v>6</v>
      </c>
      <c r="AA83" s="92" t="inlineStr">
        <is>
          <t>WATCHLIST</t>
        </is>
      </c>
    </row>
    <row r="84">
      <c r="A84" s="99" t="inlineStr">
        <is>
          <t>SAREGAMA</t>
        </is>
      </c>
      <c r="B84" s="99" t="inlineStr">
        <is>
          <t>Saregama India Ltd</t>
        </is>
      </c>
      <c r="C84" s="99" t="inlineStr">
        <is>
          <t>Media Entertainment &amp; Publication</t>
        </is>
      </c>
      <c r="D84" s="99" t="inlineStr">
        <is>
          <t>Smallcap</t>
        </is>
      </c>
      <c r="E84" s="99" t="n">
        <v>496.5</v>
      </c>
      <c r="F84" s="99" t="n">
        <v>1.59</v>
      </c>
      <c r="G84" s="99" t="n">
        <v>417896</v>
      </c>
      <c r="H84" s="99" t="n">
        <v>0.9399999999999999</v>
      </c>
      <c r="I84" s="99" t="n">
        <v>9531</v>
      </c>
      <c r="J84" s="99" t="inlineStr">
        <is>
          <t>Y</t>
        </is>
      </c>
      <c r="K84" s="99" t="inlineStr">
        <is>
          <t>Y</t>
        </is>
      </c>
      <c r="L84" s="99" t="inlineStr">
        <is>
          <t>Y</t>
        </is>
      </c>
      <c r="M84" s="99" t="n">
        <v>52.4</v>
      </c>
      <c r="N84" s="99" t="inlineStr">
        <is>
          <t>Y</t>
        </is>
      </c>
      <c r="O84" s="99" t="n">
        <v>21.87</v>
      </c>
      <c r="P84" s="99" t="inlineStr">
        <is>
          <t>N</t>
        </is>
      </c>
      <c r="Q84" s="99" t="inlineStr">
        <is>
          <t>N/A</t>
        </is>
      </c>
      <c r="R84" s="99" t="inlineStr">
        <is>
          <t>N</t>
        </is>
      </c>
      <c r="S84" s="99" t="n">
        <v>4.3</v>
      </c>
      <c r="T84" s="99" t="n">
        <v>42.6</v>
      </c>
      <c r="U84" s="99" t="inlineStr">
        <is>
          <t>Y</t>
        </is>
      </c>
      <c r="V84" s="99" t="n">
        <v>46.3</v>
      </c>
      <c r="W84" s="99" t="n">
        <v>12.6</v>
      </c>
      <c r="X84" s="99" t="n">
        <v>4.28</v>
      </c>
      <c r="Y84" s="99" t="n">
        <v>47.1</v>
      </c>
      <c r="Z84" s="99" t="n">
        <v>6</v>
      </c>
      <c r="AA84" s="94" t="inlineStr">
        <is>
          <t>WATCHLIST</t>
        </is>
      </c>
    </row>
    <row r="85">
      <c r="A85" s="97" t="inlineStr">
        <is>
          <t>SHYAMMETL</t>
        </is>
      </c>
      <c r="B85" s="97" t="inlineStr">
        <is>
          <t>Shyam Metalics and Energy Ltd.</t>
        </is>
      </c>
      <c r="C85" s="97" t="inlineStr">
        <is>
          <t>Capital Goods</t>
        </is>
      </c>
      <c r="D85" s="97" t="inlineStr">
        <is>
          <t>Smallcap</t>
        </is>
      </c>
      <c r="E85" s="97" t="n">
        <v>1027.45</v>
      </c>
      <c r="F85" s="97" t="n">
        <v>-1.01</v>
      </c>
      <c r="G85" s="97" t="n">
        <v>132990</v>
      </c>
      <c r="H85" s="97" t="n">
        <v>0.26</v>
      </c>
      <c r="I85" s="97" t="n">
        <v>28597</v>
      </c>
      <c r="J85" s="97" t="inlineStr">
        <is>
          <t>Y</t>
        </is>
      </c>
      <c r="K85" s="97" t="inlineStr">
        <is>
          <t>Y</t>
        </is>
      </c>
      <c r="L85" s="97" t="inlineStr">
        <is>
          <t>Y</t>
        </is>
      </c>
      <c r="M85" s="97" t="n">
        <v>63.4</v>
      </c>
      <c r="N85" s="97" t="inlineStr">
        <is>
          <t>Y</t>
        </is>
      </c>
      <c r="O85" s="97" t="n">
        <v>37.65</v>
      </c>
      <c r="P85" s="97" t="inlineStr">
        <is>
          <t>N</t>
        </is>
      </c>
      <c r="Q85" s="97" t="inlineStr">
        <is>
          <t>N/A</t>
        </is>
      </c>
      <c r="R85" s="97" t="inlineStr">
        <is>
          <t>N</t>
        </is>
      </c>
      <c r="S85" s="97" t="n">
        <v>9.9</v>
      </c>
      <c r="T85" s="97" t="n">
        <v>17</v>
      </c>
      <c r="U85" s="97" t="inlineStr">
        <is>
          <t>Y</t>
        </is>
      </c>
      <c r="V85" s="97" t="n">
        <v>25.6</v>
      </c>
      <c r="W85" s="97" t="inlineStr">
        <is>
          <t>N/A</t>
        </is>
      </c>
      <c r="X85" s="97" t="n">
        <v>8.130000000000001</v>
      </c>
      <c r="Y85" s="97" t="n">
        <v>8.1</v>
      </c>
      <c r="Z85" s="97" t="n">
        <v>6</v>
      </c>
      <c r="AA85" s="92" t="inlineStr">
        <is>
          <t>WATCHLIST</t>
        </is>
      </c>
    </row>
    <row r="86">
      <c r="A86" s="99" t="inlineStr">
        <is>
          <t>SOLARINDS</t>
        </is>
      </c>
      <c r="B86" s="99" t="inlineStr">
        <is>
          <t>Solar Industries India Ltd.</t>
        </is>
      </c>
      <c r="C86" s="99" t="inlineStr">
        <is>
          <t>Chemicals</t>
        </is>
      </c>
      <c r="D86" s="99" t="inlineStr">
        <is>
          <t>Large/Midcap</t>
        </is>
      </c>
      <c r="E86" s="99" t="n">
        <v>18494</v>
      </c>
      <c r="F86" s="99" t="n">
        <v>-0.68</v>
      </c>
      <c r="G86" s="99" t="n">
        <v>75835</v>
      </c>
      <c r="H86" s="99" t="n">
        <v>0.92</v>
      </c>
      <c r="I86" s="99" t="n">
        <v>167352</v>
      </c>
      <c r="J86" s="99" t="inlineStr">
        <is>
          <t>Y</t>
        </is>
      </c>
      <c r="K86" s="99" t="inlineStr">
        <is>
          <t>Y</t>
        </is>
      </c>
      <c r="L86" s="99" t="inlineStr">
        <is>
          <t>Y</t>
        </is>
      </c>
      <c r="M86" s="99" t="n">
        <v>49.4</v>
      </c>
      <c r="N86" s="99" t="inlineStr">
        <is>
          <t>N</t>
        </is>
      </c>
      <c r="O86" s="99" t="n">
        <v>547.5700000000001</v>
      </c>
      <c r="P86" s="99" t="inlineStr">
        <is>
          <t>N</t>
        </is>
      </c>
      <c r="Q86" s="99" t="inlineStr">
        <is>
          <t>N/A</t>
        </is>
      </c>
      <c r="R86" s="99" t="inlineStr">
        <is>
          <t>N</t>
        </is>
      </c>
      <c r="S86" s="99" t="n">
        <v>7.2</v>
      </c>
      <c r="T86" s="99" t="n">
        <v>20.8</v>
      </c>
      <c r="U86" s="99" t="inlineStr">
        <is>
          <t>Y</t>
        </is>
      </c>
      <c r="V86" s="99" t="n">
        <v>100</v>
      </c>
      <c r="W86" s="99" t="n">
        <v>31.2</v>
      </c>
      <c r="X86" s="99" t="n">
        <v>23.27</v>
      </c>
      <c r="Y86" s="99" t="n">
        <v>22.7</v>
      </c>
      <c r="Z86" s="99" t="n">
        <v>6</v>
      </c>
      <c r="AA86" s="94" t="inlineStr">
        <is>
          <t>WATCHLIST</t>
        </is>
      </c>
    </row>
    <row r="87">
      <c r="A87" s="97" t="inlineStr">
        <is>
          <t>SONATSOFTW</t>
        </is>
      </c>
      <c r="B87" s="97" t="inlineStr">
        <is>
          <t>Sonata Software Ltd.</t>
        </is>
      </c>
      <c r="C87" s="97" t="inlineStr">
        <is>
          <t>Information Technology</t>
        </is>
      </c>
      <c r="D87" s="97" t="inlineStr">
        <is>
          <t>Smallcap</t>
        </is>
      </c>
      <c r="E87" s="97" t="n">
        <v>288.1</v>
      </c>
      <c r="F87" s="97" t="n">
        <v>0.24</v>
      </c>
      <c r="G87" s="97" t="n">
        <v>829035</v>
      </c>
      <c r="H87" s="97" t="n">
        <v>1.22</v>
      </c>
      <c r="I87" s="97" t="n">
        <v>7974</v>
      </c>
      <c r="J87" s="97" t="inlineStr">
        <is>
          <t>Y</t>
        </is>
      </c>
      <c r="K87" s="97" t="inlineStr">
        <is>
          <t>Y</t>
        </is>
      </c>
      <c r="L87" s="97" t="inlineStr">
        <is>
          <t>N</t>
        </is>
      </c>
      <c r="M87" s="97" t="n">
        <v>57.4</v>
      </c>
      <c r="N87" s="97" t="inlineStr">
        <is>
          <t>Y</t>
        </is>
      </c>
      <c r="O87" s="97" t="n">
        <v>13.59</v>
      </c>
      <c r="P87" s="97" t="inlineStr">
        <is>
          <t>N</t>
        </is>
      </c>
      <c r="Q87" s="97" t="inlineStr">
        <is>
          <t>N/A</t>
        </is>
      </c>
      <c r="R87" s="97" t="inlineStr">
        <is>
          <t>N</t>
        </is>
      </c>
      <c r="S87" s="97" t="n">
        <v>3.8</v>
      </c>
      <c r="T87" s="97" t="n">
        <v>11.6</v>
      </c>
      <c r="U87" s="97" t="inlineStr">
        <is>
          <t>Y</t>
        </is>
      </c>
      <c r="V87" s="97" t="n">
        <v>17.2</v>
      </c>
      <c r="W87" s="97" t="n">
        <v>25.7</v>
      </c>
      <c r="X87" s="97" t="n">
        <v>37.96</v>
      </c>
      <c r="Y87" s="97" t="n">
        <v>25</v>
      </c>
      <c r="Z87" s="97" t="n">
        <v>6</v>
      </c>
      <c r="AA87" s="92" t="inlineStr">
        <is>
          <t>WATCHLIST</t>
        </is>
      </c>
    </row>
    <row r="88">
      <c r="A88" s="99" t="inlineStr">
        <is>
          <t>TVSMOTOR</t>
        </is>
      </c>
      <c r="B88" s="99" t="inlineStr">
        <is>
          <t>TVS Motor Company Ltd.</t>
        </is>
      </c>
      <c r="C88" s="99" t="inlineStr">
        <is>
          <t>Automobile and Auto Components</t>
        </is>
      </c>
      <c r="D88" s="99" t="inlineStr">
        <is>
          <t>Large/Midcap</t>
        </is>
      </c>
      <c r="E88" s="99" t="n">
        <v>3870.2</v>
      </c>
      <c r="F88" s="99" t="n">
        <v>-1.27</v>
      </c>
      <c r="G88" s="99" t="n">
        <v>1226472</v>
      </c>
      <c r="H88" s="99" t="n">
        <v>0.5</v>
      </c>
      <c r="I88" s="99" t="n">
        <v>183922</v>
      </c>
      <c r="J88" s="99" t="inlineStr">
        <is>
          <t>Y</t>
        </is>
      </c>
      <c r="K88" s="99" t="inlineStr">
        <is>
          <t>Y</t>
        </is>
      </c>
      <c r="L88" s="99" t="inlineStr">
        <is>
          <t>Y</t>
        </is>
      </c>
      <c r="M88" s="99" t="n">
        <v>61.3</v>
      </c>
      <c r="N88" s="99" t="inlineStr">
        <is>
          <t>Y</t>
        </is>
      </c>
      <c r="O88" s="99" t="n">
        <v>102.08</v>
      </c>
      <c r="P88" s="99" t="inlineStr">
        <is>
          <t>N</t>
        </is>
      </c>
      <c r="Q88" s="99" t="inlineStr">
        <is>
          <t>N/A</t>
        </is>
      </c>
      <c r="R88" s="99" t="inlineStr">
        <is>
          <t>N</t>
        </is>
      </c>
      <c r="S88" s="99" t="n">
        <v>9.5</v>
      </c>
      <c r="T88" s="99" t="n">
        <v>9.4</v>
      </c>
      <c r="U88" s="99" t="inlineStr">
        <is>
          <t>Y</t>
        </is>
      </c>
      <c r="V88" s="99" t="n">
        <v>53.8</v>
      </c>
      <c r="W88" s="99" t="inlineStr">
        <is>
          <t>N/A</t>
        </is>
      </c>
      <c r="X88" s="99" t="n">
        <v>306.09</v>
      </c>
      <c r="Y88" s="99" t="n">
        <v>32.1</v>
      </c>
      <c r="Z88" s="99" t="n">
        <v>6</v>
      </c>
      <c r="AA88" s="94" t="inlineStr">
        <is>
          <t>WATCHLIST</t>
        </is>
      </c>
    </row>
    <row r="89">
      <c r="A89" s="97" t="inlineStr">
        <is>
          <t>TORNTPHARM</t>
        </is>
      </c>
      <c r="B89" s="97" t="inlineStr">
        <is>
          <t>Torrent Pharmaceuticals Ltd.</t>
        </is>
      </c>
      <c r="C89" s="97" t="inlineStr">
        <is>
          <t>Healthcare</t>
        </is>
      </c>
      <c r="D89" s="97" t="inlineStr">
        <is>
          <t>Large/Midcap</t>
        </is>
      </c>
      <c r="E89" s="97" t="n">
        <v>4961.5</v>
      </c>
      <c r="F89" s="97" t="n">
        <v>-2.05</v>
      </c>
      <c r="G89" s="97" t="n">
        <v>262189</v>
      </c>
      <c r="H89" s="97" t="n">
        <v>0.79</v>
      </c>
      <c r="I89" s="97" t="n">
        <v>188720</v>
      </c>
      <c r="J89" s="97" t="inlineStr">
        <is>
          <t>Y</t>
        </is>
      </c>
      <c r="K89" s="97" t="inlineStr">
        <is>
          <t>Y</t>
        </is>
      </c>
      <c r="L89" s="97" t="inlineStr">
        <is>
          <t>Y</t>
        </is>
      </c>
      <c r="M89" s="97" t="n">
        <v>58</v>
      </c>
      <c r="N89" s="97" t="inlineStr">
        <is>
          <t>Y</t>
        </is>
      </c>
      <c r="O89" s="97" t="n">
        <v>145.99</v>
      </c>
      <c r="P89" s="97" t="inlineStr">
        <is>
          <t>N</t>
        </is>
      </c>
      <c r="Q89" s="97" t="inlineStr">
        <is>
          <t>N/A</t>
        </is>
      </c>
      <c r="R89" s="97" t="inlineStr">
        <is>
          <t>N</t>
        </is>
      </c>
      <c r="S89" s="97" t="n">
        <v>10.9</v>
      </c>
      <c r="T89" s="97" t="n">
        <v>18</v>
      </c>
      <c r="U89" s="97" t="inlineStr">
        <is>
          <t>Y</t>
        </is>
      </c>
      <c r="V89" s="97" t="n">
        <v>77.5</v>
      </c>
      <c r="W89" s="97" t="n">
        <v>17</v>
      </c>
      <c r="X89" s="97" t="n">
        <v>85.45</v>
      </c>
      <c r="Y89" s="97" t="n">
        <v>-38.7</v>
      </c>
      <c r="Z89" s="97" t="n">
        <v>6</v>
      </c>
      <c r="AA89" s="92" t="inlineStr">
        <is>
          <t>WATCHLIST</t>
        </is>
      </c>
    </row>
    <row r="90">
      <c r="A90" s="99" t="inlineStr">
        <is>
          <t>UNITDSPR</t>
        </is>
      </c>
      <c r="B90" s="99" t="inlineStr">
        <is>
          <t>United Spirits Ltd.</t>
        </is>
      </c>
      <c r="C90" s="99" t="inlineStr">
        <is>
          <t>Fast Moving Consumer Goods</t>
        </is>
      </c>
      <c r="D90" s="99" t="inlineStr">
        <is>
          <t>Large/Midcap</t>
        </is>
      </c>
      <c r="E90" s="99" t="n">
        <v>1467.2</v>
      </c>
      <c r="F90" s="99" t="n">
        <v>3.47</v>
      </c>
      <c r="G90" s="99" t="n">
        <v>3954221</v>
      </c>
      <c r="H90" s="99" t="n">
        <v>4.08</v>
      </c>
      <c r="I90" s="99" t="n">
        <v>104179</v>
      </c>
      <c r="J90" s="99" t="inlineStr">
        <is>
          <t>Y</t>
        </is>
      </c>
      <c r="K90" s="99" t="inlineStr">
        <is>
          <t>Y</t>
        </is>
      </c>
      <c r="L90" s="99" t="inlineStr">
        <is>
          <t>Y</t>
        </is>
      </c>
      <c r="M90" s="99" t="n">
        <v>61.7</v>
      </c>
      <c r="N90" s="99" t="inlineStr">
        <is>
          <t>Y</t>
        </is>
      </c>
      <c r="O90" s="99" t="n">
        <v>32.31</v>
      </c>
      <c r="P90" s="99" t="inlineStr">
        <is>
          <t>Y</t>
        </is>
      </c>
      <c r="Q90" s="99" t="inlineStr">
        <is>
          <t>N/A</t>
        </is>
      </c>
      <c r="R90" s="99" t="inlineStr">
        <is>
          <t>N</t>
        </is>
      </c>
      <c r="S90" s="99" t="n">
        <v>7.8</v>
      </c>
      <c r="T90" s="99" t="n">
        <v>9</v>
      </c>
      <c r="U90" s="99" t="inlineStr">
        <is>
          <t>Y</t>
        </is>
      </c>
      <c r="V90" s="99" t="n">
        <v>61.7</v>
      </c>
      <c r="W90" s="99" t="inlineStr">
        <is>
          <t>N/A</t>
        </is>
      </c>
      <c r="X90" s="99" t="n">
        <v>4.61</v>
      </c>
      <c r="Y90" s="99" t="n">
        <v>-14.1</v>
      </c>
      <c r="Z90" s="99" t="n">
        <v>6</v>
      </c>
      <c r="AA90" s="94" t="inlineStr">
        <is>
          <t>WATCHLIST</t>
        </is>
      </c>
    </row>
    <row r="91">
      <c r="A91" s="97" t="inlineStr">
        <is>
          <t>USHAMART</t>
        </is>
      </c>
      <c r="B91" s="97" t="inlineStr">
        <is>
          <t>Usha Martin Ltd.</t>
        </is>
      </c>
      <c r="C91" s="97" t="inlineStr">
        <is>
          <t>Capital Goods</t>
        </is>
      </c>
      <c r="D91" s="97" t="inlineStr">
        <is>
          <t>Smallcap</t>
        </is>
      </c>
      <c r="E91" s="97" t="n">
        <v>495.7</v>
      </c>
      <c r="F91" s="97" t="n">
        <v>-0.14</v>
      </c>
      <c r="G91" s="97" t="n">
        <v>330938</v>
      </c>
      <c r="H91" s="97" t="n">
        <v>1.54</v>
      </c>
      <c r="I91" s="97" t="n">
        <v>15089</v>
      </c>
      <c r="J91" s="97" t="inlineStr">
        <is>
          <t>Y</t>
        </is>
      </c>
      <c r="K91" s="97" t="inlineStr">
        <is>
          <t>Y</t>
        </is>
      </c>
      <c r="L91" s="97" t="inlineStr">
        <is>
          <t>Y</t>
        </is>
      </c>
      <c r="M91" s="97" t="n">
        <v>39.9</v>
      </c>
      <c r="N91" s="97" t="inlineStr">
        <is>
          <t>N</t>
        </is>
      </c>
      <c r="O91" s="97" t="n">
        <v>14.56</v>
      </c>
      <c r="P91" s="97" t="inlineStr">
        <is>
          <t>N</t>
        </is>
      </c>
      <c r="Q91" s="97" t="inlineStr">
        <is>
          <t>N/A</t>
        </is>
      </c>
      <c r="R91" s="97" t="inlineStr">
        <is>
          <t>N</t>
        </is>
      </c>
      <c r="S91" s="97" t="n">
        <v>5.8</v>
      </c>
      <c r="T91" s="97" t="n">
        <v>7.9</v>
      </c>
      <c r="U91" s="97" t="inlineStr">
        <is>
          <t>Y</t>
        </is>
      </c>
      <c r="V91" s="97" t="n">
        <v>30.8</v>
      </c>
      <c r="W91" s="97" t="n">
        <v>16.2</v>
      </c>
      <c r="X91" s="97" t="n">
        <v>6.92</v>
      </c>
      <c r="Y91" s="97" t="n">
        <v>37.4</v>
      </c>
      <c r="Z91" s="97" t="n">
        <v>6</v>
      </c>
      <c r="AA91" s="92" t="inlineStr">
        <is>
          <t>WATCHLIST</t>
        </is>
      </c>
    </row>
    <row r="92">
      <c r="A92" s="99" t="inlineStr">
        <is>
          <t>WELCORP</t>
        </is>
      </c>
      <c r="B92" s="99" t="inlineStr">
        <is>
          <t>Welspun Corp Ltd.</t>
        </is>
      </c>
      <c r="C92" s="99" t="inlineStr">
        <is>
          <t>Capital Goods</t>
        </is>
      </c>
      <c r="D92" s="99" t="inlineStr">
        <is>
          <t>Smallcap</t>
        </is>
      </c>
      <c r="E92" s="99" t="n">
        <v>1596.9</v>
      </c>
      <c r="F92" s="99" t="n">
        <v>-0.99</v>
      </c>
      <c r="G92" s="99" t="n">
        <v>843386</v>
      </c>
      <c r="H92" s="99" t="n">
        <v>2.14</v>
      </c>
      <c r="I92" s="99" t="n">
        <v>42111</v>
      </c>
      <c r="J92" s="99" t="inlineStr">
        <is>
          <t>Y</t>
        </is>
      </c>
      <c r="K92" s="99" t="inlineStr">
        <is>
          <t>Y</t>
        </is>
      </c>
      <c r="L92" s="99" t="inlineStr">
        <is>
          <t>Y</t>
        </is>
      </c>
      <c r="M92" s="99" t="n">
        <v>57.4</v>
      </c>
      <c r="N92" s="99" t="inlineStr">
        <is>
          <t>Y</t>
        </is>
      </c>
      <c r="O92" s="99" t="n">
        <v>53.04</v>
      </c>
      <c r="P92" s="99" t="inlineStr">
        <is>
          <t>N</t>
        </is>
      </c>
      <c r="Q92" s="99" t="inlineStr">
        <is>
          <t>N/A</t>
        </is>
      </c>
      <c r="R92" s="99" t="inlineStr">
        <is>
          <t>N</t>
        </is>
      </c>
      <c r="S92" s="99" t="n">
        <v>11.2</v>
      </c>
      <c r="T92" s="99" t="n">
        <v>27</v>
      </c>
      <c r="U92" s="99" t="inlineStr">
        <is>
          <t>Y</t>
        </is>
      </c>
      <c r="V92" s="99" t="n">
        <v>18.2</v>
      </c>
      <c r="W92" s="99" t="inlineStr">
        <is>
          <t>N/A</t>
        </is>
      </c>
      <c r="X92" s="99" t="n">
        <v>25.04</v>
      </c>
      <c r="Y92" s="99" t="n">
        <v>182.6</v>
      </c>
      <c r="Z92" s="99" t="n">
        <v>6</v>
      </c>
      <c r="AA92" s="94" t="inlineStr">
        <is>
          <t>WATCHLIST</t>
        </is>
      </c>
    </row>
    <row r="93">
      <c r="A93" s="97" t="inlineStr">
        <is>
          <t>ZYDUSLIFE</t>
        </is>
      </c>
      <c r="B93" s="97" t="inlineStr">
        <is>
          <t>Zydus Lifesciences Ltd.</t>
        </is>
      </c>
      <c r="C93" s="97" t="inlineStr">
        <is>
          <t>Healthcare</t>
        </is>
      </c>
      <c r="D93" s="97" t="inlineStr">
        <is>
          <t>Large/Midcap</t>
        </is>
      </c>
      <c r="E93" s="97" t="n">
        <v>1108.7</v>
      </c>
      <c r="F93" s="97" t="n">
        <v>-0.37</v>
      </c>
      <c r="G93" s="97" t="n">
        <v>837032</v>
      </c>
      <c r="H93" s="97" t="n">
        <v>0.8</v>
      </c>
      <c r="I93" s="97" t="n">
        <v>110593</v>
      </c>
      <c r="J93" s="97" t="inlineStr">
        <is>
          <t>Y</t>
        </is>
      </c>
      <c r="K93" s="97" t="inlineStr">
        <is>
          <t>Y</t>
        </is>
      </c>
      <c r="L93" s="97" t="inlineStr">
        <is>
          <t>Y</t>
        </is>
      </c>
      <c r="M93" s="97" t="n">
        <v>35.6</v>
      </c>
      <c r="N93" s="97" t="inlineStr">
        <is>
          <t>N</t>
        </is>
      </c>
      <c r="O93" s="97" t="n">
        <v>25.02</v>
      </c>
      <c r="P93" s="97" t="inlineStr">
        <is>
          <t>N</t>
        </is>
      </c>
      <c r="Q93" s="97" t="inlineStr">
        <is>
          <t>N/A</t>
        </is>
      </c>
      <c r="R93" s="97" t="inlineStr">
        <is>
          <t>N</t>
        </is>
      </c>
      <c r="S93" s="97" t="n">
        <v>1.8</v>
      </c>
      <c r="T93" s="97" t="n">
        <v>22.4</v>
      </c>
      <c r="U93" s="97" t="inlineStr">
        <is>
          <t>Y</t>
        </is>
      </c>
      <c r="V93" s="97" t="n">
        <v>22.1</v>
      </c>
      <c r="W93" s="97" t="n">
        <v>18.3</v>
      </c>
      <c r="X93" s="97" t="n">
        <v>42.3</v>
      </c>
      <c r="Y93" s="97" t="n">
        <v>22.1</v>
      </c>
      <c r="Z93" s="97" t="n">
        <v>6</v>
      </c>
      <c r="AA93" s="92" t="inlineStr">
        <is>
          <t>WATCHLIST</t>
        </is>
      </c>
    </row>
    <row r="94">
      <c r="A94" s="99" t="inlineStr">
        <is>
          <t>ACMESOLAR</t>
        </is>
      </c>
      <c r="B94" s="99" t="inlineStr">
        <is>
          <t>ACME Solar Holdings Ltd.</t>
        </is>
      </c>
      <c r="C94" s="99" t="inlineStr">
        <is>
          <t>Power</t>
        </is>
      </c>
      <c r="D94" s="99" t="inlineStr">
        <is>
          <t>Smallcap</t>
        </is>
      </c>
      <c r="E94" s="99" t="n">
        <v>365.85</v>
      </c>
      <c r="F94" s="99" t="n">
        <v>0.77</v>
      </c>
      <c r="G94" s="99" t="n">
        <v>2104262</v>
      </c>
      <c r="H94" s="99" t="n">
        <v>1.69</v>
      </c>
      <c r="I94" s="99" t="n">
        <v>25840</v>
      </c>
      <c r="J94" s="99" t="inlineStr">
        <is>
          <t>Y</t>
        </is>
      </c>
      <c r="K94" s="99" t="inlineStr">
        <is>
          <t>Y</t>
        </is>
      </c>
      <c r="L94" s="99" t="inlineStr">
        <is>
          <t>Y</t>
        </is>
      </c>
      <c r="M94" s="99" t="n">
        <v>39</v>
      </c>
      <c r="N94" s="99" t="inlineStr">
        <is>
          <t>N</t>
        </is>
      </c>
      <c r="O94" s="99" t="n">
        <v>14.53</v>
      </c>
      <c r="P94" s="99" t="inlineStr">
        <is>
          <t>N</t>
        </is>
      </c>
      <c r="Q94" s="99" t="inlineStr">
        <is>
          <t>N/A</t>
        </is>
      </c>
      <c r="R94" s="99" t="inlineStr">
        <is>
          <t>N</t>
        </is>
      </c>
      <c r="S94" s="99" t="n">
        <v>3.5</v>
      </c>
      <c r="T94" s="99" t="n">
        <v>21.2</v>
      </c>
      <c r="U94" s="99" t="inlineStr">
        <is>
          <t>Y</t>
        </is>
      </c>
      <c r="V94" s="99" t="n">
        <v>44.8</v>
      </c>
      <c r="W94" s="99" t="n">
        <v>10.4</v>
      </c>
      <c r="X94" s="99" t="n">
        <v>393.19</v>
      </c>
      <c r="Y94" s="99" t="n">
        <v>22.5</v>
      </c>
      <c r="Z94" s="99" t="n">
        <v>5</v>
      </c>
      <c r="AA94" s="94" t="inlineStr">
        <is>
          <t>WATCHLIST</t>
        </is>
      </c>
    </row>
    <row r="95">
      <c r="A95" s="97" t="inlineStr">
        <is>
          <t>AADHARHFC</t>
        </is>
      </c>
      <c r="B95" s="97" t="inlineStr">
        <is>
          <t>Aadhar Housing Finance Ltd.</t>
        </is>
      </c>
      <c r="C95" s="97" t="inlineStr">
        <is>
          <t>Financial Services</t>
        </is>
      </c>
      <c r="D95" s="97" t="inlineStr">
        <is>
          <t>Smallcap</t>
        </is>
      </c>
      <c r="E95" s="97" t="n">
        <v>495</v>
      </c>
      <c r="F95" s="97" t="n">
        <v>-1.16</v>
      </c>
      <c r="G95" s="97" t="n">
        <v>136978</v>
      </c>
      <c r="H95" s="97" t="n">
        <v>0.37</v>
      </c>
      <c r="I95" s="97" t="n">
        <v>21648</v>
      </c>
      <c r="J95" s="97" t="inlineStr">
        <is>
          <t>Y</t>
        </is>
      </c>
      <c r="K95" s="97" t="inlineStr">
        <is>
          <t>N</t>
        </is>
      </c>
      <c r="L95" s="97" t="inlineStr">
        <is>
          <t>Y</t>
        </is>
      </c>
      <c r="M95" s="97" t="n">
        <v>17.9</v>
      </c>
      <c r="N95" s="97" t="inlineStr">
        <is>
          <t>N</t>
        </is>
      </c>
      <c r="O95" s="97" t="n">
        <v>14.76</v>
      </c>
      <c r="P95" s="97" t="inlineStr">
        <is>
          <t>N</t>
        </is>
      </c>
      <c r="Q95" s="97" t="inlineStr">
        <is>
          <t>N/A</t>
        </is>
      </c>
      <c r="R95" s="97" t="inlineStr">
        <is>
          <t>N</t>
        </is>
      </c>
      <c r="S95" s="97" t="n">
        <v>-3.5</v>
      </c>
      <c r="T95" s="97" t="n">
        <v>1.8</v>
      </c>
      <c r="U95" s="97" t="inlineStr">
        <is>
          <t>Y</t>
        </is>
      </c>
      <c r="V95" s="97" t="n">
        <v>20</v>
      </c>
      <c r="W95" s="97" t="n">
        <v>15.8</v>
      </c>
      <c r="X95" s="97" t="n">
        <v>255.57</v>
      </c>
      <c r="Y95" s="97" t="n">
        <v>10.6</v>
      </c>
      <c r="Z95" s="97" t="n">
        <v>5</v>
      </c>
      <c r="AA95" s="92" t="inlineStr">
        <is>
          <t>WATCHLIST</t>
        </is>
      </c>
    </row>
    <row r="96">
      <c r="A96" s="99" t="inlineStr">
        <is>
          <t>ADANIGREEN</t>
        </is>
      </c>
      <c r="B96" s="99" t="inlineStr">
        <is>
          <t>Adani Green Energy Ltd.</t>
        </is>
      </c>
      <c r="C96" s="99" t="inlineStr">
        <is>
          <t>Power</t>
        </is>
      </c>
      <c r="D96" s="99" t="inlineStr">
        <is>
          <t>Large/Midcap</t>
        </is>
      </c>
      <c r="E96" s="99" t="n">
        <v>1395.1</v>
      </c>
      <c r="F96" s="99" t="n">
        <v>1.1</v>
      </c>
      <c r="G96" s="99" t="n">
        <v>5247088</v>
      </c>
      <c r="H96" s="99" t="n">
        <v>1.16</v>
      </c>
      <c r="I96" s="99" t="n">
        <v>229798</v>
      </c>
      <c r="J96" s="99" t="inlineStr">
        <is>
          <t>Y</t>
        </is>
      </c>
      <c r="K96" s="99" t="inlineStr">
        <is>
          <t>N</t>
        </is>
      </c>
      <c r="L96" s="99" t="inlineStr">
        <is>
          <t>Y</t>
        </is>
      </c>
      <c r="M96" s="99" t="n">
        <v>33.8</v>
      </c>
      <c r="N96" s="99" t="inlineStr">
        <is>
          <t>N</t>
        </is>
      </c>
      <c r="O96" s="99" t="n">
        <v>61.05</v>
      </c>
      <c r="P96" s="99" t="inlineStr">
        <is>
          <t>Y</t>
        </is>
      </c>
      <c r="Q96" s="99" t="inlineStr">
        <is>
          <t>N/A</t>
        </is>
      </c>
      <c r="R96" s="99" t="inlineStr">
        <is>
          <t>N</t>
        </is>
      </c>
      <c r="S96" s="99" t="n">
        <v>-7.5</v>
      </c>
      <c r="T96" s="99" t="n">
        <v>12.6</v>
      </c>
      <c r="U96" s="99" t="inlineStr">
        <is>
          <t>Y</t>
        </is>
      </c>
      <c r="V96" s="99" t="n">
        <v>133.4</v>
      </c>
      <c r="W96" s="99" t="inlineStr">
        <is>
          <t>N/A</t>
        </is>
      </c>
      <c r="X96" s="99" t="n">
        <v>346.55</v>
      </c>
      <c r="Y96" s="99" t="n">
        <v>112.8</v>
      </c>
      <c r="Z96" s="99" t="n">
        <v>5</v>
      </c>
      <c r="AA96" s="94" t="inlineStr">
        <is>
          <t>WATCHLIST</t>
        </is>
      </c>
    </row>
    <row r="97">
      <c r="A97" s="97" t="inlineStr">
        <is>
          <t>ADANIPORTS</t>
        </is>
      </c>
      <c r="B97" s="97" t="inlineStr">
        <is>
          <t>Adani Ports and Special Economic Zone Ltd.</t>
        </is>
      </c>
      <c r="C97" s="97" t="inlineStr">
        <is>
          <t>Services</t>
        </is>
      </c>
      <c r="D97" s="97" t="inlineStr">
        <is>
          <t>Large/Midcap</t>
        </is>
      </c>
      <c r="E97" s="97" t="n">
        <v>1768.3</v>
      </c>
      <c r="F97" s="97" t="n">
        <v>-0.57</v>
      </c>
      <c r="G97" s="97" t="n">
        <v>1685770</v>
      </c>
      <c r="H97" s="97" t="n">
        <v>0.9399999999999999</v>
      </c>
      <c r="I97" s="97" t="n">
        <v>407409</v>
      </c>
      <c r="J97" s="97" t="inlineStr">
        <is>
          <t>Y</t>
        </is>
      </c>
      <c r="K97" s="97" t="inlineStr">
        <is>
          <t>N</t>
        </is>
      </c>
      <c r="L97" s="97" t="inlineStr">
        <is>
          <t>Y</t>
        </is>
      </c>
      <c r="M97" s="97" t="n">
        <v>30.5</v>
      </c>
      <c r="N97" s="97" t="inlineStr">
        <is>
          <t>N</t>
        </is>
      </c>
      <c r="O97" s="97" t="n">
        <v>36.67</v>
      </c>
      <c r="P97" s="97" t="inlineStr">
        <is>
          <t>N</t>
        </is>
      </c>
      <c r="Q97" s="97" t="inlineStr">
        <is>
          <t>N/A</t>
        </is>
      </c>
      <c r="R97" s="97" t="inlineStr">
        <is>
          <t>N</t>
        </is>
      </c>
      <c r="S97" s="97" t="n">
        <v>-0.5</v>
      </c>
      <c r="T97" s="97" t="n">
        <v>7.4</v>
      </c>
      <c r="U97" s="97" t="inlineStr">
        <is>
          <t>Y</t>
        </is>
      </c>
      <c r="V97" s="97" t="n">
        <v>30.4</v>
      </c>
      <c r="W97" s="97" t="n">
        <v>15.6</v>
      </c>
      <c r="X97" s="97" t="n">
        <v>64.05</v>
      </c>
      <c r="Y97" s="97" t="n">
        <v>9</v>
      </c>
      <c r="Z97" s="97" t="n">
        <v>5</v>
      </c>
      <c r="AA97" s="92" t="inlineStr">
        <is>
          <t>WATCHLIST</t>
        </is>
      </c>
    </row>
    <row r="98">
      <c r="A98" s="99" t="inlineStr">
        <is>
          <t>ABCAPITAL</t>
        </is>
      </c>
      <c r="B98" s="99" t="inlineStr">
        <is>
          <t>Aditya Birla Capital Ltd.</t>
        </is>
      </c>
      <c r="C98" s="99" t="inlineStr">
        <is>
          <t>Financial Services</t>
        </is>
      </c>
      <c r="D98" s="99" t="inlineStr">
        <is>
          <t>Large/Midcap</t>
        </is>
      </c>
      <c r="E98" s="99" t="n">
        <v>393.85</v>
      </c>
      <c r="F98" s="99" t="n">
        <v>0.41</v>
      </c>
      <c r="G98" s="99" t="n">
        <v>3424162</v>
      </c>
      <c r="H98" s="99" t="n">
        <v>0.82</v>
      </c>
      <c r="I98" s="99" t="n">
        <v>107762</v>
      </c>
      <c r="J98" s="99" t="inlineStr">
        <is>
          <t>Y</t>
        </is>
      </c>
      <c r="K98" s="99" t="inlineStr">
        <is>
          <t>Y</t>
        </is>
      </c>
      <c r="L98" s="99" t="inlineStr">
        <is>
          <t>Y</t>
        </is>
      </c>
      <c r="M98" s="99" t="n">
        <v>41.5</v>
      </c>
      <c r="N98" s="99" t="inlineStr">
        <is>
          <t>N</t>
        </is>
      </c>
      <c r="O98" s="99" t="n">
        <v>11.01</v>
      </c>
      <c r="P98" s="99" t="inlineStr">
        <is>
          <t>N</t>
        </is>
      </c>
      <c r="Q98" s="99" t="inlineStr">
        <is>
          <t>N/A</t>
        </is>
      </c>
      <c r="R98" s="99" t="inlineStr">
        <is>
          <t>N</t>
        </is>
      </c>
      <c r="S98" s="99" t="n">
        <v>1.8</v>
      </c>
      <c r="T98" s="99" t="n">
        <v>13.6</v>
      </c>
      <c r="U98" s="99" t="inlineStr">
        <is>
          <t>Y</t>
        </is>
      </c>
      <c r="V98" s="99" t="n">
        <v>27.6</v>
      </c>
      <c r="W98" s="99" t="n">
        <v>11.2</v>
      </c>
      <c r="X98" s="99" t="n">
        <v>495.94</v>
      </c>
      <c r="Y98" s="99" t="n">
        <v>19.5</v>
      </c>
      <c r="Z98" s="99" t="n">
        <v>5</v>
      </c>
      <c r="AA98" s="94" t="inlineStr">
        <is>
          <t>WATCHLIST</t>
        </is>
      </c>
    </row>
    <row r="99">
      <c r="A99" s="97" t="inlineStr">
        <is>
          <t>AJANTPHARM</t>
        </is>
      </c>
      <c r="B99" s="97" t="inlineStr">
        <is>
          <t>Ajanta Pharmaceuticals Ltd.</t>
        </is>
      </c>
      <c r="C99" s="97" t="inlineStr">
        <is>
          <t>Healthcare</t>
        </is>
      </c>
      <c r="D99" s="97" t="inlineStr">
        <is>
          <t>Large/Midcap</t>
        </is>
      </c>
      <c r="E99" s="97" t="n">
        <v>3369.5</v>
      </c>
      <c r="F99" s="97" t="n">
        <v>-2.05</v>
      </c>
      <c r="G99" s="97" t="n">
        <v>50410</v>
      </c>
      <c r="H99" s="97" t="n">
        <v>0.4</v>
      </c>
      <c r="I99" s="97" t="n">
        <v>42097</v>
      </c>
      <c r="J99" s="97" t="inlineStr">
        <is>
          <t>Y</t>
        </is>
      </c>
      <c r="K99" s="97" t="inlineStr">
        <is>
          <t>Y</t>
        </is>
      </c>
      <c r="L99" s="97" t="inlineStr">
        <is>
          <t>Y</t>
        </is>
      </c>
      <c r="M99" s="97" t="n">
        <v>49.7</v>
      </c>
      <c r="N99" s="97" t="inlineStr">
        <is>
          <t>N</t>
        </is>
      </c>
      <c r="O99" s="97" t="n">
        <v>102.98</v>
      </c>
      <c r="P99" s="97" t="inlineStr">
        <is>
          <t>N</t>
        </is>
      </c>
      <c r="Q99" s="97" t="inlineStr">
        <is>
          <t>N/A</t>
        </is>
      </c>
      <c r="R99" s="97" t="inlineStr">
        <is>
          <t>N</t>
        </is>
      </c>
      <c r="S99" s="97" t="n">
        <v>7</v>
      </c>
      <c r="T99" s="97" t="n">
        <v>20.7</v>
      </c>
      <c r="U99" s="97" t="inlineStr">
        <is>
          <t>Y</t>
        </is>
      </c>
      <c r="V99" s="97" t="n">
        <v>39.8</v>
      </c>
      <c r="W99" s="97" t="n">
        <v>25.4</v>
      </c>
      <c r="X99" s="97" t="n">
        <v>5.75</v>
      </c>
      <c r="Y99" s="97" t="n">
        <v>-2.6</v>
      </c>
      <c r="Z99" s="97" t="n">
        <v>5</v>
      </c>
      <c r="AA99" s="92" t="inlineStr">
        <is>
          <t>WATCHLIST</t>
        </is>
      </c>
    </row>
    <row r="100">
      <c r="A100" s="99" t="inlineStr">
        <is>
          <t>ABDL</t>
        </is>
      </c>
      <c r="B100" s="99" t="inlineStr">
        <is>
          <t>Allied Blenders and Distillers Ltd.</t>
        </is>
      </c>
      <c r="C100" s="99" t="inlineStr">
        <is>
          <t>Fast Moving Consumer Goods</t>
        </is>
      </c>
      <c r="D100" s="99" t="inlineStr">
        <is>
          <t>Smallcap</t>
        </is>
      </c>
      <c r="E100" s="99" t="n">
        <v>620.75</v>
      </c>
      <c r="F100" s="99" t="n">
        <v>3.02</v>
      </c>
      <c r="G100" s="99" t="n">
        <v>917748</v>
      </c>
      <c r="H100" s="99" t="n">
        <v>4.67</v>
      </c>
      <c r="I100" s="99" t="n">
        <v>17363</v>
      </c>
      <c r="J100" s="99" t="inlineStr">
        <is>
          <t>Y</t>
        </is>
      </c>
      <c r="K100" s="99" t="inlineStr">
        <is>
          <t>Y</t>
        </is>
      </c>
      <c r="L100" s="99" t="inlineStr">
        <is>
          <t>Y</t>
        </is>
      </c>
      <c r="M100" s="99" t="n">
        <v>23.5</v>
      </c>
      <c r="N100" s="99" t="inlineStr">
        <is>
          <t>N</t>
        </is>
      </c>
      <c r="O100" s="99" t="n">
        <v>24</v>
      </c>
      <c r="P100" s="99" t="inlineStr">
        <is>
          <t>N</t>
        </is>
      </c>
      <c r="Q100" s="99" t="inlineStr">
        <is>
          <t>N/A</t>
        </is>
      </c>
      <c r="R100" s="99" t="inlineStr">
        <is>
          <t>N</t>
        </is>
      </c>
      <c r="S100" s="99" t="n">
        <v>0.8</v>
      </c>
      <c r="T100" s="99" t="n">
        <v>15.6</v>
      </c>
      <c r="U100" s="99" t="inlineStr">
        <is>
          <t>Y</t>
        </is>
      </c>
      <c r="V100" s="99" t="n">
        <v>78.8</v>
      </c>
      <c r="W100" s="99" t="inlineStr">
        <is>
          <t>N/A</t>
        </is>
      </c>
      <c r="X100" s="99" t="n">
        <v>68.25</v>
      </c>
      <c r="Y100" s="99" t="n">
        <v>20.1</v>
      </c>
      <c r="Z100" s="99" t="n">
        <v>5</v>
      </c>
      <c r="AA100" s="94" t="inlineStr">
        <is>
          <t>WATCHLIST</t>
        </is>
      </c>
    </row>
    <row r="101">
      <c r="A101" s="97" t="inlineStr">
        <is>
          <t>ANANDRATHI</t>
        </is>
      </c>
      <c r="B101" s="97" t="inlineStr">
        <is>
          <t>Anand Rathi Wealth Ltd.</t>
        </is>
      </c>
      <c r="C101" s="97" t="inlineStr">
        <is>
          <t>Financial Services</t>
        </is>
      </c>
      <c r="D101" s="97" t="inlineStr">
        <is>
          <t>Smallcap</t>
        </is>
      </c>
      <c r="E101" s="97" t="n">
        <v>2042.1</v>
      </c>
      <c r="F101" s="97" t="n">
        <v>-0.34</v>
      </c>
      <c r="G101" s="97" t="n">
        <v>231997</v>
      </c>
      <c r="H101" s="97" t="n">
        <v>1.34</v>
      </c>
      <c r="I101" s="97" t="n">
        <v>33907</v>
      </c>
      <c r="J101" s="97" t="inlineStr">
        <is>
          <t>Y</t>
        </is>
      </c>
      <c r="K101" s="97" t="inlineStr">
        <is>
          <t>Y</t>
        </is>
      </c>
      <c r="L101" s="97" t="inlineStr">
        <is>
          <t>Y</t>
        </is>
      </c>
      <c r="M101" s="97" t="n">
        <v>40.5</v>
      </c>
      <c r="N101" s="97" t="inlineStr">
        <is>
          <t>N</t>
        </is>
      </c>
      <c r="O101" s="97" t="n">
        <v>56.17</v>
      </c>
      <c r="P101" s="97" t="inlineStr">
        <is>
          <t>N</t>
        </is>
      </c>
      <c r="Q101" s="97" t="inlineStr">
        <is>
          <t>N/A</t>
        </is>
      </c>
      <c r="R101" s="97" t="inlineStr">
        <is>
          <t>N</t>
        </is>
      </c>
      <c r="S101" s="97" t="n">
        <v>6.7</v>
      </c>
      <c r="T101" s="97" t="n">
        <v>14.6</v>
      </c>
      <c r="U101" s="97" t="inlineStr">
        <is>
          <t>Y</t>
        </is>
      </c>
      <c r="V101" s="97" t="n">
        <v>74.09999999999999</v>
      </c>
      <c r="W101" s="97" t="inlineStr">
        <is>
          <t>N/A</t>
        </is>
      </c>
      <c r="X101" s="97" t="n">
        <v>8.25</v>
      </c>
      <c r="Y101" s="97" t="n">
        <v>57.9</v>
      </c>
      <c r="Z101" s="97" t="n">
        <v>5</v>
      </c>
      <c r="AA101" s="92" t="inlineStr">
        <is>
          <t>WATCHLIST</t>
        </is>
      </c>
    </row>
    <row r="102">
      <c r="A102" s="99" t="inlineStr">
        <is>
          <t>APARINDS</t>
        </is>
      </c>
      <c r="B102" s="99" t="inlineStr">
        <is>
          <t>Apar Industries Ltd.</t>
        </is>
      </c>
      <c r="C102" s="99" t="inlineStr">
        <is>
          <t>Capital Goods</t>
        </is>
      </c>
      <c r="D102" s="99" t="inlineStr">
        <is>
          <t>Large/Midcap</t>
        </is>
      </c>
      <c r="E102" s="99" t="n">
        <v>13889</v>
      </c>
      <c r="F102" s="99" t="n">
        <v>3.47</v>
      </c>
      <c r="G102" s="99" t="n">
        <v>485027</v>
      </c>
      <c r="H102" s="99" t="n">
        <v>7.36</v>
      </c>
      <c r="I102" s="99" t="n">
        <v>55798</v>
      </c>
      <c r="J102" s="99" t="inlineStr">
        <is>
          <t>Y</t>
        </is>
      </c>
      <c r="K102" s="99" t="inlineStr">
        <is>
          <t>N</t>
        </is>
      </c>
      <c r="L102" s="99" t="inlineStr">
        <is>
          <t>Y</t>
        </is>
      </c>
      <c r="M102" s="99" t="n">
        <v>44.5</v>
      </c>
      <c r="N102" s="99" t="inlineStr">
        <is>
          <t>N</t>
        </is>
      </c>
      <c r="O102" s="99" t="n">
        <v>589.29</v>
      </c>
      <c r="P102" s="99" t="inlineStr">
        <is>
          <t>Y</t>
        </is>
      </c>
      <c r="Q102" s="99" t="inlineStr">
        <is>
          <t>N/A</t>
        </is>
      </c>
      <c r="R102" s="99" t="inlineStr">
        <is>
          <t>N</t>
        </is>
      </c>
      <c r="S102" s="99" t="n">
        <v>-12.3</v>
      </c>
      <c r="T102" s="99" t="n">
        <v>12.7</v>
      </c>
      <c r="U102" s="99" t="inlineStr">
        <is>
          <t>Y</t>
        </is>
      </c>
      <c r="V102" s="99" t="n">
        <v>47.4</v>
      </c>
      <c r="W102" s="99" t="inlineStr">
        <is>
          <t>N/A</t>
        </is>
      </c>
      <c r="X102" s="99" t="n">
        <v>17.72</v>
      </c>
      <c r="Y102" s="99" t="n">
        <v>84.40000000000001</v>
      </c>
      <c r="Z102" s="99" t="n">
        <v>5</v>
      </c>
      <c r="AA102" s="94" t="inlineStr">
        <is>
          <t>WATCHLIST</t>
        </is>
      </c>
    </row>
    <row r="103">
      <c r="A103" s="97" t="inlineStr">
        <is>
          <t>ASIANPAINT</t>
        </is>
      </c>
      <c r="B103" s="97" t="inlineStr">
        <is>
          <t>Asian Paints Ltd.</t>
        </is>
      </c>
      <c r="C103" s="97" t="inlineStr">
        <is>
          <t>Consumer Durables</t>
        </is>
      </c>
      <c r="D103" s="97" t="inlineStr">
        <is>
          <t>Large/Midcap</t>
        </is>
      </c>
      <c r="E103" s="97" t="n">
        <v>2637.9</v>
      </c>
      <c r="F103" s="97" t="n">
        <v>-1.16</v>
      </c>
      <c r="G103" s="97" t="n">
        <v>645563</v>
      </c>
      <c r="H103" s="97" t="n">
        <v>0.92</v>
      </c>
      <c r="I103" s="97" t="n">
        <v>252881</v>
      </c>
      <c r="J103" s="97" t="inlineStr">
        <is>
          <t>Y</t>
        </is>
      </c>
      <c r="K103" s="97" t="inlineStr">
        <is>
          <t>N</t>
        </is>
      </c>
      <c r="L103" s="97" t="inlineStr">
        <is>
          <t>Y</t>
        </is>
      </c>
      <c r="M103" s="97" t="n">
        <v>26.1</v>
      </c>
      <c r="N103" s="97" t="inlineStr">
        <is>
          <t>N</t>
        </is>
      </c>
      <c r="O103" s="97" t="n">
        <v>47.51</v>
      </c>
      <c r="P103" s="97" t="inlineStr">
        <is>
          <t>N</t>
        </is>
      </c>
      <c r="Q103" s="97" t="inlineStr">
        <is>
          <t>N/A</t>
        </is>
      </c>
      <c r="R103" s="97" t="inlineStr">
        <is>
          <t>N</t>
        </is>
      </c>
      <c r="S103" s="97" t="n">
        <v>0.8</v>
      </c>
      <c r="T103" s="97" t="n">
        <v>9.300000000000001</v>
      </c>
      <c r="U103" s="97" t="inlineStr">
        <is>
          <t>Y</t>
        </is>
      </c>
      <c r="V103" s="97" t="n">
        <v>58.5</v>
      </c>
      <c r="W103" s="97" t="n">
        <v>20.9</v>
      </c>
      <c r="X103" s="97" t="n">
        <v>17.85</v>
      </c>
      <c r="Y103" s="97" t="n">
        <v>10.6</v>
      </c>
      <c r="Z103" s="97" t="n">
        <v>5</v>
      </c>
      <c r="AA103" s="92" t="inlineStr">
        <is>
          <t>WATCHLIST</t>
        </is>
      </c>
    </row>
    <row r="104">
      <c r="A104" s="99" t="inlineStr">
        <is>
          <t>ASTERDM</t>
        </is>
      </c>
      <c r="B104" s="99" t="inlineStr">
        <is>
          <t>Aster DM Healthcare Ltd.</t>
        </is>
      </c>
      <c r="C104" s="99" t="inlineStr">
        <is>
          <t>Healthcare</t>
        </is>
      </c>
      <c r="D104" s="99" t="inlineStr">
        <is>
          <t>Smallcap</t>
        </is>
      </c>
      <c r="E104" s="99" t="n">
        <v>785.65</v>
      </c>
      <c r="F104" s="99" t="n">
        <v>0.17</v>
      </c>
      <c r="G104" s="99" t="n">
        <v>731330</v>
      </c>
      <c r="H104" s="99" t="n">
        <v>2.05</v>
      </c>
      <c r="I104" s="99" t="n">
        <v>68390</v>
      </c>
      <c r="J104" s="99" t="inlineStr">
        <is>
          <t>Y</t>
        </is>
      </c>
      <c r="K104" s="99" t="inlineStr">
        <is>
          <t>Y</t>
        </is>
      </c>
      <c r="L104" s="99" t="inlineStr">
        <is>
          <t>Y</t>
        </is>
      </c>
      <c r="M104" s="99" t="n">
        <v>47.5</v>
      </c>
      <c r="N104" s="99" t="inlineStr">
        <is>
          <t>N</t>
        </is>
      </c>
      <c r="O104" s="99" t="n">
        <v>20.23</v>
      </c>
      <c r="P104" s="99" t="inlineStr">
        <is>
          <t>N</t>
        </is>
      </c>
      <c r="Q104" s="99" t="inlineStr">
        <is>
          <t>N/A</t>
        </is>
      </c>
      <c r="R104" s="99" t="inlineStr">
        <is>
          <t>N</t>
        </is>
      </c>
      <c r="S104" s="99" t="n">
        <v>3.2</v>
      </c>
      <c r="T104" s="99" t="n">
        <v>12.9</v>
      </c>
      <c r="U104" s="99" t="inlineStr">
        <is>
          <t>Y</t>
        </is>
      </c>
      <c r="V104" s="99" t="n">
        <v>104.2</v>
      </c>
      <c r="W104" s="99" t="n">
        <v>10.1</v>
      </c>
      <c r="X104" s="99" t="n">
        <v>45.92</v>
      </c>
      <c r="Y104" s="99" t="n">
        <v>167.2</v>
      </c>
      <c r="Z104" s="99" t="n">
        <v>5</v>
      </c>
      <c r="AA104" s="94" t="inlineStr">
        <is>
          <t>WATCHLIST</t>
        </is>
      </c>
    </row>
    <row r="105">
      <c r="A105" s="97" t="inlineStr">
        <is>
          <t>ATHERENERG</t>
        </is>
      </c>
      <c r="B105" s="97" t="inlineStr">
        <is>
          <t>Ather Energy Ltd.</t>
        </is>
      </c>
      <c r="C105" s="97" t="inlineStr">
        <is>
          <t>Automobile and Auto Components</t>
        </is>
      </c>
      <c r="D105" s="97" t="inlineStr">
        <is>
          <t>Smallcap</t>
        </is>
      </c>
      <c r="E105" s="97" t="n">
        <v>1208.7</v>
      </c>
      <c r="F105" s="97" t="n">
        <v>-1.99</v>
      </c>
      <c r="G105" s="97" t="n">
        <v>3613338</v>
      </c>
      <c r="H105" s="97" t="n">
        <v>1.18</v>
      </c>
      <c r="I105" s="97" t="n">
        <v>47638</v>
      </c>
      <c r="J105" s="97" t="inlineStr">
        <is>
          <t>Y</t>
        </is>
      </c>
      <c r="K105" s="97" t="inlineStr">
        <is>
          <t>Y</t>
        </is>
      </c>
      <c r="L105" s="97" t="inlineStr">
        <is>
          <t>Y</t>
        </is>
      </c>
      <c r="M105" s="97" t="n">
        <v>60.4</v>
      </c>
      <c r="N105" s="97" t="inlineStr">
        <is>
          <t>Y</t>
        </is>
      </c>
      <c r="O105" s="97" t="n">
        <v>61.35</v>
      </c>
      <c r="P105" s="97" t="inlineStr">
        <is>
          <t>N</t>
        </is>
      </c>
      <c r="Q105" s="97" t="inlineStr">
        <is>
          <t>N/A</t>
        </is>
      </c>
      <c r="R105" s="97" t="inlineStr">
        <is>
          <t>N</t>
        </is>
      </c>
      <c r="S105" s="97" t="n">
        <v>22.1</v>
      </c>
      <c r="T105" s="97" t="n">
        <v>29.4</v>
      </c>
      <c r="U105" s="97" t="inlineStr">
        <is>
          <t>Y</t>
        </is>
      </c>
      <c r="V105" s="97" t="inlineStr">
        <is>
          <t>N/A</t>
        </is>
      </c>
      <c r="W105" s="97" t="n">
        <v>-33.7</v>
      </c>
      <c r="X105" s="97" t="n">
        <v>25.82</v>
      </c>
      <c r="Y105" s="97" t="n">
        <v>-18.5</v>
      </c>
      <c r="Z105" s="97" t="n">
        <v>5</v>
      </c>
      <c r="AA105" s="92" t="inlineStr">
        <is>
          <t>WATCHLIST</t>
        </is>
      </c>
    </row>
    <row r="106">
      <c r="A106" s="99" t="inlineStr">
        <is>
          <t>AUROPHARMA</t>
        </is>
      </c>
      <c r="B106" s="99" t="inlineStr">
        <is>
          <t>Aurobindo Pharma Ltd.</t>
        </is>
      </c>
      <c r="C106" s="99" t="inlineStr">
        <is>
          <t>Healthcare</t>
        </is>
      </c>
      <c r="D106" s="99" t="inlineStr">
        <is>
          <t>Large/Midcap</t>
        </is>
      </c>
      <c r="E106" s="99" t="n">
        <v>1532</v>
      </c>
      <c r="F106" s="99" t="n">
        <v>0.5600000000000001</v>
      </c>
      <c r="G106" s="99" t="n">
        <v>446834</v>
      </c>
      <c r="H106" s="99" t="n">
        <v>0.4</v>
      </c>
      <c r="I106" s="99" t="n">
        <v>88148</v>
      </c>
      <c r="J106" s="99" t="inlineStr">
        <is>
          <t>Y</t>
        </is>
      </c>
      <c r="K106" s="99" t="inlineStr">
        <is>
          <t>Y</t>
        </is>
      </c>
      <c r="L106" s="99" t="inlineStr">
        <is>
          <t>Y</t>
        </is>
      </c>
      <c r="M106" s="99" t="n">
        <v>36.9</v>
      </c>
      <c r="N106" s="99" t="inlineStr">
        <is>
          <t>N</t>
        </is>
      </c>
      <c r="O106" s="99" t="n">
        <v>37.18</v>
      </c>
      <c r="P106" s="99" t="inlineStr">
        <is>
          <t>N</t>
        </is>
      </c>
      <c r="Q106" s="99" t="inlineStr">
        <is>
          <t>N/A</t>
        </is>
      </c>
      <c r="R106" s="99" t="inlineStr">
        <is>
          <t>N</t>
        </is>
      </c>
      <c r="S106" s="99" t="n">
        <v>-0.4</v>
      </c>
      <c r="T106" s="99" t="n">
        <v>10.2</v>
      </c>
      <c r="U106" s="99" t="inlineStr">
        <is>
          <t>Y</t>
        </is>
      </c>
      <c r="V106" s="99" t="n">
        <v>25.4</v>
      </c>
      <c r="W106" s="99" t="n">
        <v>9.9</v>
      </c>
      <c r="X106" s="99" t="n">
        <v>21.31</v>
      </c>
      <c r="Y106" s="99" t="n">
        <v>1.2</v>
      </c>
      <c r="Z106" s="99" t="n">
        <v>5</v>
      </c>
      <c r="AA106" s="94" t="inlineStr">
        <is>
          <t>WATCHLIST</t>
        </is>
      </c>
    </row>
    <row r="107">
      <c r="A107" s="97" t="inlineStr">
        <is>
          <t>BAJAJFINSV</t>
        </is>
      </c>
      <c r="B107" s="97" t="inlineStr">
        <is>
          <t>Bajaj Finserv Ltd.</t>
        </is>
      </c>
      <c r="C107" s="97" t="inlineStr">
        <is>
          <t>Financial Services</t>
        </is>
      </c>
      <c r="D107" s="97" t="inlineStr">
        <is>
          <t>Large/Midcap</t>
        </is>
      </c>
      <c r="E107" s="97" t="n">
        <v>1876.7</v>
      </c>
      <c r="F107" s="97" t="n">
        <v>-0.67</v>
      </c>
      <c r="G107" s="97" t="n">
        <v>1412443</v>
      </c>
      <c r="H107" s="97" t="n">
        <v>1.08</v>
      </c>
      <c r="I107" s="97" t="n">
        <v>300034</v>
      </c>
      <c r="J107" s="97" t="inlineStr">
        <is>
          <t>Y</t>
        </is>
      </c>
      <c r="K107" s="97" t="inlineStr">
        <is>
          <t>Y</t>
        </is>
      </c>
      <c r="L107" s="97" t="inlineStr">
        <is>
          <t>N</t>
        </is>
      </c>
      <c r="M107" s="97" t="n">
        <v>51</v>
      </c>
      <c r="N107" s="97" t="inlineStr">
        <is>
          <t>Y</t>
        </is>
      </c>
      <c r="O107" s="97" t="n">
        <v>39.8</v>
      </c>
      <c r="P107" s="97" t="inlineStr">
        <is>
          <t>N</t>
        </is>
      </c>
      <c r="Q107" s="97" t="inlineStr">
        <is>
          <t>N/A</t>
        </is>
      </c>
      <c r="R107" s="97" t="inlineStr">
        <is>
          <t>N</t>
        </is>
      </c>
      <c r="S107" s="97" t="n">
        <v>7.5</v>
      </c>
      <c r="T107" s="97" t="n">
        <v>7</v>
      </c>
      <c r="U107" s="97" t="inlineStr">
        <is>
          <t>Y</t>
        </is>
      </c>
      <c r="V107" s="97" t="n">
        <v>30.8</v>
      </c>
      <c r="W107" s="97" t="n">
        <v>14.6</v>
      </c>
      <c r="X107" s="97" t="n">
        <v>256.4</v>
      </c>
      <c r="Y107" s="97" t="n">
        <v>13.9</v>
      </c>
      <c r="Z107" s="97" t="n">
        <v>5</v>
      </c>
      <c r="AA107" s="92" t="inlineStr">
        <is>
          <t>WATCHLIST</t>
        </is>
      </c>
    </row>
    <row r="108">
      <c r="A108" s="99" t="inlineStr">
        <is>
          <t>BANKINDIA</t>
        </is>
      </c>
      <c r="B108" s="99" t="inlineStr">
        <is>
          <t>Bank of India</t>
        </is>
      </c>
      <c r="C108" s="99" t="inlineStr">
        <is>
          <t>Financial Services</t>
        </is>
      </c>
      <c r="D108" s="99" t="inlineStr">
        <is>
          <t>Large/Midcap</t>
        </is>
      </c>
      <c r="E108" s="99" t="n">
        <v>142.62</v>
      </c>
      <c r="F108" s="99" t="n">
        <v>0.3</v>
      </c>
      <c r="G108" s="99" t="n">
        <v>7635246</v>
      </c>
      <c r="H108" s="99" t="n">
        <v>0.8100000000000001</v>
      </c>
      <c r="I108" s="99" t="n">
        <v>64930</v>
      </c>
      <c r="J108" s="99" t="inlineStr">
        <is>
          <t>Y</t>
        </is>
      </c>
      <c r="K108" s="99" t="inlineStr">
        <is>
          <t>Y</t>
        </is>
      </c>
      <c r="L108" s="99" t="inlineStr">
        <is>
          <t>N</t>
        </is>
      </c>
      <c r="M108" s="99" t="n">
        <v>53.6</v>
      </c>
      <c r="N108" s="99" t="inlineStr">
        <is>
          <t>Y</t>
        </is>
      </c>
      <c r="O108" s="99" t="n">
        <v>4.45</v>
      </c>
      <c r="P108" s="99" t="inlineStr">
        <is>
          <t>N</t>
        </is>
      </c>
      <c r="Q108" s="99" t="inlineStr">
        <is>
          <t>N/A</t>
        </is>
      </c>
      <c r="R108" s="99" t="inlineStr">
        <is>
          <t>N</t>
        </is>
      </c>
      <c r="S108" s="99" t="n">
        <v>-0.4</v>
      </c>
      <c r="T108" s="99" t="n">
        <v>3.4</v>
      </c>
      <c r="U108" s="99" t="inlineStr">
        <is>
          <t>Y</t>
        </is>
      </c>
      <c r="V108" s="99" t="n">
        <v>5.3</v>
      </c>
      <c r="W108" s="99" t="n">
        <v>12.1</v>
      </c>
      <c r="X108" s="99" t="inlineStr">
        <is>
          <t>N/A</t>
        </is>
      </c>
      <c r="Y108" s="99" t="n">
        <v>9.800000000000001</v>
      </c>
      <c r="Z108" s="99" t="n">
        <v>5</v>
      </c>
      <c r="AA108" s="94" t="inlineStr">
        <is>
          <t>WATCHLIST</t>
        </is>
      </c>
    </row>
    <row r="109">
      <c r="A109" s="97" t="inlineStr">
        <is>
          <t>BHARATFORG</t>
        </is>
      </c>
      <c r="B109" s="97" t="inlineStr">
        <is>
          <t>Bharat Forge Ltd.</t>
        </is>
      </c>
      <c r="C109" s="97" t="inlineStr">
        <is>
          <t>Automobile and Auto Components</t>
        </is>
      </c>
      <c r="D109" s="97" t="inlineStr">
        <is>
          <t>Large/Midcap</t>
        </is>
      </c>
      <c r="E109" s="97" t="n">
        <v>2151.6</v>
      </c>
      <c r="F109" s="97" t="n">
        <v>-1.09</v>
      </c>
      <c r="G109" s="97" t="n">
        <v>634484</v>
      </c>
      <c r="H109" s="97" t="n">
        <v>0.84</v>
      </c>
      <c r="I109" s="97" t="n">
        <v>102866</v>
      </c>
      <c r="J109" s="97" t="inlineStr">
        <is>
          <t>Y</t>
        </is>
      </c>
      <c r="K109" s="97" t="inlineStr">
        <is>
          <t>Y</t>
        </is>
      </c>
      <c r="L109" s="97" t="inlineStr">
        <is>
          <t>Y</t>
        </is>
      </c>
      <c r="M109" s="97" t="n">
        <v>52</v>
      </c>
      <c r="N109" s="97" t="inlineStr">
        <is>
          <t>Y</t>
        </is>
      </c>
      <c r="O109" s="97" t="n">
        <v>52.78</v>
      </c>
      <c r="P109" s="97" t="inlineStr">
        <is>
          <t>N</t>
        </is>
      </c>
      <c r="Q109" s="97" t="inlineStr">
        <is>
          <t>N/A</t>
        </is>
      </c>
      <c r="R109" s="97" t="inlineStr">
        <is>
          <t>N</t>
        </is>
      </c>
      <c r="S109" s="97" t="n">
        <v>1.7</v>
      </c>
      <c r="T109" s="97" t="n">
        <v>13.7</v>
      </c>
      <c r="U109" s="97" t="inlineStr">
        <is>
          <t>Y</t>
        </is>
      </c>
      <c r="V109" s="97" t="n">
        <v>95.2</v>
      </c>
      <c r="W109" s="97" t="n">
        <v>11.6</v>
      </c>
      <c r="X109" s="97" t="n">
        <v>76.47</v>
      </c>
      <c r="Y109" s="97" t="n">
        <v>-12</v>
      </c>
      <c r="Z109" s="97" t="n">
        <v>5</v>
      </c>
      <c r="AA109" s="92" t="inlineStr">
        <is>
          <t>WATCHLIST</t>
        </is>
      </c>
    </row>
    <row r="110">
      <c r="A110" s="99" t="inlineStr">
        <is>
          <t>BHEL</t>
        </is>
      </c>
      <c r="B110" s="99" t="inlineStr">
        <is>
          <t>Bharat Heavy Electricals Ltd.</t>
        </is>
      </c>
      <c r="C110" s="99" t="inlineStr">
        <is>
          <t>Capital Goods</t>
        </is>
      </c>
      <c r="D110" s="99" t="inlineStr">
        <is>
          <t>Large/Midcap</t>
        </is>
      </c>
      <c r="E110" s="99" t="n">
        <v>417.3</v>
      </c>
      <c r="F110" s="99" t="n">
        <v>1.88</v>
      </c>
      <c r="G110" s="99" t="n">
        <v>8874814</v>
      </c>
      <c r="H110" s="99" t="n">
        <v>0.96</v>
      </c>
      <c r="I110" s="99" t="n">
        <v>145306</v>
      </c>
      <c r="J110" s="99" t="inlineStr">
        <is>
          <t>Y</t>
        </is>
      </c>
      <c r="K110" s="99" t="inlineStr">
        <is>
          <t>Y</t>
        </is>
      </c>
      <c r="L110" s="99" t="inlineStr">
        <is>
          <t>Y</t>
        </is>
      </c>
      <c r="M110" s="99" t="n">
        <v>63.1</v>
      </c>
      <c r="N110" s="99" t="inlineStr">
        <is>
          <t>Y</t>
        </is>
      </c>
      <c r="O110" s="99" t="n">
        <v>15.78</v>
      </c>
      <c r="P110" s="99" t="inlineStr">
        <is>
          <t>N</t>
        </is>
      </c>
      <c r="Q110" s="99" t="inlineStr">
        <is>
          <t>N/A</t>
        </is>
      </c>
      <c r="R110" s="99" t="inlineStr">
        <is>
          <t>N</t>
        </is>
      </c>
      <c r="S110" s="99" t="n">
        <v>5</v>
      </c>
      <c r="T110" s="99" t="n">
        <v>22.1</v>
      </c>
      <c r="U110" s="99" t="inlineStr">
        <is>
          <t>Y</t>
        </is>
      </c>
      <c r="V110" s="99" t="n">
        <v>59.5</v>
      </c>
      <c r="W110" s="99" t="inlineStr">
        <is>
          <t>N/A</t>
        </is>
      </c>
      <c r="X110" s="99" t="n">
        <v>31.31</v>
      </c>
      <c r="Y110" s="99" t="n">
        <v>-70.8</v>
      </c>
      <c r="Z110" s="99" t="n">
        <v>5</v>
      </c>
      <c r="AA110" s="94" t="inlineStr">
        <is>
          <t>WATCHLIST</t>
        </is>
      </c>
    </row>
    <row r="111">
      <c r="A111" s="97" t="inlineStr">
        <is>
          <t>BHARTIARTL</t>
        </is>
      </c>
      <c r="B111" s="97" t="inlineStr">
        <is>
          <t>Bharti Airtel Ltd.</t>
        </is>
      </c>
      <c r="C111" s="97" t="inlineStr">
        <is>
          <t>Telecommunication</t>
        </is>
      </c>
      <c r="D111" s="97" t="inlineStr">
        <is>
          <t>Large/Midcap</t>
        </is>
      </c>
      <c r="E111" s="97" t="n">
        <v>1898.2</v>
      </c>
      <c r="F111" s="97" t="n">
        <v>-0.46</v>
      </c>
      <c r="G111" s="97" t="n">
        <v>4483600</v>
      </c>
      <c r="H111" s="97" t="n">
        <v>0.78</v>
      </c>
      <c r="I111" s="97" t="n">
        <v>1184222</v>
      </c>
      <c r="J111" s="97" t="inlineStr">
        <is>
          <t>Y</t>
        </is>
      </c>
      <c r="K111" s="97" t="inlineStr">
        <is>
          <t>Y</t>
        </is>
      </c>
      <c r="L111" s="97" t="inlineStr">
        <is>
          <t>N</t>
        </is>
      </c>
      <c r="M111" s="97" t="n">
        <v>49.3</v>
      </c>
      <c r="N111" s="97" t="inlineStr">
        <is>
          <t>N</t>
        </is>
      </c>
      <c r="O111" s="97" t="n">
        <v>33.53</v>
      </c>
      <c r="P111" s="97" t="inlineStr">
        <is>
          <t>N</t>
        </is>
      </c>
      <c r="Q111" s="97" t="inlineStr">
        <is>
          <t>N/A</t>
        </is>
      </c>
      <c r="R111" s="97" t="inlineStr">
        <is>
          <t>N</t>
        </is>
      </c>
      <c r="S111" s="97" t="n">
        <v>4.9</v>
      </c>
      <c r="T111" s="97" t="n">
        <v>2.3</v>
      </c>
      <c r="U111" s="97" t="inlineStr">
        <is>
          <t>Y</t>
        </is>
      </c>
      <c r="V111" s="97" t="n">
        <v>42.7</v>
      </c>
      <c r="W111" s="97" t="n">
        <v>19.4</v>
      </c>
      <c r="X111" s="97" t="n">
        <v>99.72</v>
      </c>
      <c r="Y111" s="97" t="n">
        <v>10.5</v>
      </c>
      <c r="Z111" s="97" t="n">
        <v>5</v>
      </c>
      <c r="AA111" s="92" t="inlineStr">
        <is>
          <t>WATCHLIST</t>
        </is>
      </c>
    </row>
    <row r="112">
      <c r="A112" s="99" t="inlineStr">
        <is>
          <t>BIOCON</t>
        </is>
      </c>
      <c r="B112" s="99" t="inlineStr">
        <is>
          <t>Biocon Ltd.</t>
        </is>
      </c>
      <c r="C112" s="99" t="inlineStr">
        <is>
          <t>Healthcare</t>
        </is>
      </c>
      <c r="D112" s="99" t="inlineStr">
        <is>
          <t>Large/Midcap</t>
        </is>
      </c>
      <c r="E112" s="99" t="n">
        <v>433.65</v>
      </c>
      <c r="F112" s="99" t="n">
        <v>-0.36</v>
      </c>
      <c r="G112" s="99" t="n">
        <v>2748079</v>
      </c>
      <c r="H112" s="99" t="n">
        <v>0.59</v>
      </c>
      <c r="I112" s="99" t="n">
        <v>70611</v>
      </c>
      <c r="J112" s="99" t="inlineStr">
        <is>
          <t>Y</t>
        </is>
      </c>
      <c r="K112" s="99" t="inlineStr">
        <is>
          <t>Y</t>
        </is>
      </c>
      <c r="L112" s="99" t="inlineStr">
        <is>
          <t>Y</t>
        </is>
      </c>
      <c r="M112" s="99" t="n">
        <v>54.4</v>
      </c>
      <c r="N112" s="99" t="inlineStr">
        <is>
          <t>Y</t>
        </is>
      </c>
      <c r="O112" s="99" t="n">
        <v>14.28</v>
      </c>
      <c r="P112" s="99" t="inlineStr">
        <is>
          <t>N</t>
        </is>
      </c>
      <c r="Q112" s="99" t="inlineStr">
        <is>
          <t>N/A</t>
        </is>
      </c>
      <c r="R112" s="99" t="inlineStr">
        <is>
          <t>N</t>
        </is>
      </c>
      <c r="S112" s="99" t="n">
        <v>5.4</v>
      </c>
      <c r="T112" s="99" t="n">
        <v>20.4</v>
      </c>
      <c r="U112" s="99" t="inlineStr">
        <is>
          <t>Y</t>
        </is>
      </c>
      <c r="V112" s="99" t="n">
        <v>153.8</v>
      </c>
      <c r="W112" s="99" t="n">
        <v>1.1</v>
      </c>
      <c r="X112" s="99" t="n">
        <v>42.15</v>
      </c>
      <c r="Y112" s="99" t="n">
        <v>-12.4</v>
      </c>
      <c r="Z112" s="99" t="n">
        <v>5</v>
      </c>
      <c r="AA112" s="94" t="inlineStr">
        <is>
          <t>WATCHLIST</t>
        </is>
      </c>
    </row>
    <row r="113">
      <c r="A113" s="97" t="inlineStr">
        <is>
          <t>BLUESTARCO</t>
        </is>
      </c>
      <c r="B113" s="97" t="inlineStr">
        <is>
          <t>Blue Star Ltd.</t>
        </is>
      </c>
      <c r="C113" s="97" t="inlineStr">
        <is>
          <t>Consumer Durables</t>
        </is>
      </c>
      <c r="D113" s="97" t="inlineStr">
        <is>
          <t>Large/Midcap</t>
        </is>
      </c>
      <c r="E113" s="97" t="n">
        <v>1637.2</v>
      </c>
      <c r="F113" s="97" t="n">
        <v>0.2</v>
      </c>
      <c r="G113" s="97" t="n">
        <v>253186</v>
      </c>
      <c r="H113" s="97" t="n">
        <v>1.67</v>
      </c>
      <c r="I113" s="97" t="n">
        <v>33660</v>
      </c>
      <c r="J113" s="97" t="inlineStr">
        <is>
          <t>Y</t>
        </is>
      </c>
      <c r="K113" s="97" t="inlineStr">
        <is>
          <t>Y</t>
        </is>
      </c>
      <c r="L113" s="97" t="inlineStr">
        <is>
          <t>N</t>
        </is>
      </c>
      <c r="M113" s="97" t="n">
        <v>56.1</v>
      </c>
      <c r="N113" s="97" t="inlineStr">
        <is>
          <t>Y</t>
        </is>
      </c>
      <c r="O113" s="97" t="n">
        <v>49.67</v>
      </c>
      <c r="P113" s="97" t="inlineStr">
        <is>
          <t>N</t>
        </is>
      </c>
      <c r="Q113" s="97" t="inlineStr">
        <is>
          <t>N/A</t>
        </is>
      </c>
      <c r="R113" s="97" t="inlineStr">
        <is>
          <t>N</t>
        </is>
      </c>
      <c r="S113" s="97" t="n">
        <v>1.5</v>
      </c>
      <c r="T113" s="97" t="n">
        <v>-9.9</v>
      </c>
      <c r="U113" s="97" t="inlineStr">
        <is>
          <t>N</t>
        </is>
      </c>
      <c r="V113" s="97" t="n">
        <v>63.7</v>
      </c>
      <c r="W113" s="97" t="n">
        <v>16.2</v>
      </c>
      <c r="X113" s="97" t="n">
        <v>23.59</v>
      </c>
      <c r="Y113" s="97" t="n">
        <v>181.5</v>
      </c>
      <c r="Z113" s="97" t="n">
        <v>5</v>
      </c>
      <c r="AA113" s="92" t="inlineStr">
        <is>
          <t>WATCHLIST</t>
        </is>
      </c>
    </row>
    <row r="114">
      <c r="A114" s="99" t="inlineStr">
        <is>
          <t>CARTRADE</t>
        </is>
      </c>
      <c r="B114" s="99" t="inlineStr">
        <is>
          <t>Cartrade Tech Ltd.</t>
        </is>
      </c>
      <c r="C114" s="99" t="inlineStr">
        <is>
          <t>Consumer Services</t>
        </is>
      </c>
      <c r="D114" s="99" t="inlineStr">
        <is>
          <t>Smallcap</t>
        </is>
      </c>
      <c r="E114" s="99" t="n">
        <v>2656.4</v>
      </c>
      <c r="F114" s="99" t="n">
        <v>-1.33</v>
      </c>
      <c r="G114" s="99" t="n">
        <v>376776</v>
      </c>
      <c r="H114" s="99" t="n">
        <v>1.25</v>
      </c>
      <c r="I114" s="99" t="n">
        <v>12837</v>
      </c>
      <c r="J114" s="99" t="inlineStr">
        <is>
          <t>Y</t>
        </is>
      </c>
      <c r="K114" s="99" t="inlineStr">
        <is>
          <t>Y</t>
        </is>
      </c>
      <c r="L114" s="99" t="inlineStr">
        <is>
          <t>Y</t>
        </is>
      </c>
      <c r="M114" s="99" t="n">
        <v>41.2</v>
      </c>
      <c r="N114" s="99" t="inlineStr">
        <is>
          <t>N</t>
        </is>
      </c>
      <c r="O114" s="99" t="n">
        <v>124.89</v>
      </c>
      <c r="P114" s="99" t="inlineStr">
        <is>
          <t>N</t>
        </is>
      </c>
      <c r="Q114" s="99" t="inlineStr">
        <is>
          <t>N/A</t>
        </is>
      </c>
      <c r="R114" s="99" t="inlineStr">
        <is>
          <t>N</t>
        </is>
      </c>
      <c r="S114" s="99" t="n">
        <v>-0.4</v>
      </c>
      <c r="T114" s="99" t="n">
        <v>62</v>
      </c>
      <c r="U114" s="99" t="inlineStr">
        <is>
          <t>Y</t>
        </is>
      </c>
      <c r="V114" s="99" t="n">
        <v>59.5</v>
      </c>
      <c r="W114" s="99" t="n">
        <v>9.800000000000001</v>
      </c>
      <c r="X114" s="99" t="n">
        <v>5.36</v>
      </c>
      <c r="Y114" s="99" t="n">
        <v>15.7</v>
      </c>
      <c r="Z114" s="99" t="n">
        <v>5</v>
      </c>
      <c r="AA114" s="94" t="inlineStr">
        <is>
          <t>WATCHLIST</t>
        </is>
      </c>
    </row>
    <row r="115">
      <c r="A115" s="97" t="inlineStr">
        <is>
          <t>CASTROLIND</t>
        </is>
      </c>
      <c r="B115" s="97" t="inlineStr">
        <is>
          <t>Castrol India Ltd.</t>
        </is>
      </c>
      <c r="C115" s="97" t="inlineStr">
        <is>
          <t>Oil Gas &amp; Consumable Fuels</t>
        </is>
      </c>
      <c r="D115" s="97" t="inlineStr">
        <is>
          <t>Smallcap</t>
        </is>
      </c>
      <c r="E115" s="97" t="n">
        <v>184.79</v>
      </c>
      <c r="F115" s="97" t="n">
        <v>-0.27</v>
      </c>
      <c r="G115" s="97" t="n">
        <v>1334968</v>
      </c>
      <c r="H115" s="97" t="n">
        <v>0.72</v>
      </c>
      <c r="I115" s="97" t="n">
        <v>18278</v>
      </c>
      <c r="J115" s="97" t="inlineStr">
        <is>
          <t>Y</t>
        </is>
      </c>
      <c r="K115" s="97" t="inlineStr">
        <is>
          <t>Y</t>
        </is>
      </c>
      <c r="L115" s="97" t="inlineStr">
        <is>
          <t>Y</t>
        </is>
      </c>
      <c r="M115" s="97" t="n">
        <v>55.1</v>
      </c>
      <c r="N115" s="97" t="inlineStr">
        <is>
          <t>Y</t>
        </is>
      </c>
      <c r="O115" s="97" t="n">
        <v>1.67</v>
      </c>
      <c r="P115" s="97" t="inlineStr">
        <is>
          <t>N</t>
        </is>
      </c>
      <c r="Q115" s="97" t="inlineStr">
        <is>
          <t>N/A</t>
        </is>
      </c>
      <c r="R115" s="97" t="inlineStr">
        <is>
          <t>N</t>
        </is>
      </c>
      <c r="S115" s="97" t="n">
        <v>0.7</v>
      </c>
      <c r="T115" s="97" t="n">
        <v>0.6</v>
      </c>
      <c r="U115" s="97" t="inlineStr">
        <is>
          <t>Y</t>
        </is>
      </c>
      <c r="V115" s="97" t="n">
        <v>19.1</v>
      </c>
      <c r="W115" s="97" t="inlineStr">
        <is>
          <t>N/A</t>
        </is>
      </c>
      <c r="X115" s="97" t="n">
        <v>3.31</v>
      </c>
      <c r="Y115" s="97" t="n">
        <v>-1</v>
      </c>
      <c r="Z115" s="97" t="n">
        <v>5</v>
      </c>
      <c r="AA115" s="92" t="inlineStr">
        <is>
          <t>WATCHLIST</t>
        </is>
      </c>
    </row>
    <row r="116">
      <c r="A116" s="99" t="inlineStr">
        <is>
          <t>CHENNPETRO</t>
        </is>
      </c>
      <c r="B116" s="99" t="inlineStr">
        <is>
          <t>Chennai Petroleum Corporation Ltd.</t>
        </is>
      </c>
      <c r="C116" s="99" t="inlineStr">
        <is>
          <t>Oil Gas &amp; Consumable Fuels</t>
        </is>
      </c>
      <c r="D116" s="99" t="inlineStr">
        <is>
          <t>Smallcap</t>
        </is>
      </c>
      <c r="E116" s="99" t="n">
        <v>1214.8</v>
      </c>
      <c r="F116" s="99" t="n">
        <v>-4.32</v>
      </c>
      <c r="G116" s="99" t="n">
        <v>1544056</v>
      </c>
      <c r="H116" s="99" t="n">
        <v>0.39</v>
      </c>
      <c r="I116" s="99" t="n">
        <v>18090</v>
      </c>
      <c r="J116" s="99" t="inlineStr">
        <is>
          <t>Y</t>
        </is>
      </c>
      <c r="K116" s="99" t="inlineStr">
        <is>
          <t>Y</t>
        </is>
      </c>
      <c r="L116" s="99" t="inlineStr">
        <is>
          <t>Y</t>
        </is>
      </c>
      <c r="M116" s="99" t="n">
        <v>58.3</v>
      </c>
      <c r="N116" s="99" t="inlineStr">
        <is>
          <t>Y</t>
        </is>
      </c>
      <c r="O116" s="99" t="n">
        <v>73.45999999999999</v>
      </c>
      <c r="P116" s="99" t="inlineStr">
        <is>
          <t>N</t>
        </is>
      </c>
      <c r="Q116" s="99" t="inlineStr">
        <is>
          <t>N/A</t>
        </is>
      </c>
      <c r="R116" s="99" t="inlineStr">
        <is>
          <t>N</t>
        </is>
      </c>
      <c r="S116" s="99" t="n">
        <v>11.3</v>
      </c>
      <c r="T116" s="99" t="n">
        <v>7.2</v>
      </c>
      <c r="U116" s="99" t="inlineStr">
        <is>
          <t>Y</t>
        </is>
      </c>
      <c r="V116" s="99" t="n">
        <v>4.3</v>
      </c>
      <c r="W116" s="99" t="inlineStr">
        <is>
          <t>N/A</t>
        </is>
      </c>
      <c r="X116" s="99" t="n">
        <v>17.68</v>
      </c>
      <c r="Y116" s="99" t="n">
        <v>-27.5</v>
      </c>
      <c r="Z116" s="99" t="n">
        <v>5</v>
      </c>
      <c r="AA116" s="94" t="inlineStr">
        <is>
          <t>WATCHLIST</t>
        </is>
      </c>
    </row>
    <row r="117">
      <c r="A117" s="97" t="inlineStr">
        <is>
          <t>CIPLA</t>
        </is>
      </c>
      <c r="B117" s="97" t="inlineStr">
        <is>
          <t>Cipla Ltd.</t>
        </is>
      </c>
      <c r="C117" s="97" t="inlineStr">
        <is>
          <t>Healthcare</t>
        </is>
      </c>
      <c r="D117" s="97" t="inlineStr">
        <is>
          <t>Large/Midcap</t>
        </is>
      </c>
      <c r="E117" s="97" t="n">
        <v>1410.6</v>
      </c>
      <c r="F117" s="97" t="n">
        <v>1.26</v>
      </c>
      <c r="G117" s="97" t="n">
        <v>2917791</v>
      </c>
      <c r="H117" s="97" t="n">
        <v>1.2</v>
      </c>
      <c r="I117" s="97" t="n">
        <v>113955</v>
      </c>
      <c r="J117" s="97" t="inlineStr">
        <is>
          <t>Y</t>
        </is>
      </c>
      <c r="K117" s="97" t="inlineStr">
        <is>
          <t>N</t>
        </is>
      </c>
      <c r="L117" s="97" t="inlineStr">
        <is>
          <t>Y</t>
        </is>
      </c>
      <c r="M117" s="97" t="n">
        <v>33.3</v>
      </c>
      <c r="N117" s="97" t="inlineStr">
        <is>
          <t>N</t>
        </is>
      </c>
      <c r="O117" s="97" t="n">
        <v>33.81</v>
      </c>
      <c r="P117" s="97" t="inlineStr">
        <is>
          <t>Y</t>
        </is>
      </c>
      <c r="Q117" s="97" t="inlineStr">
        <is>
          <t>N/A</t>
        </is>
      </c>
      <c r="R117" s="97" t="inlineStr">
        <is>
          <t>N</t>
        </is>
      </c>
      <c r="S117" s="97" t="n">
        <v>-1</v>
      </c>
      <c r="T117" s="97" t="n">
        <v>8.6</v>
      </c>
      <c r="U117" s="97" t="inlineStr">
        <is>
          <t>Y</t>
        </is>
      </c>
      <c r="V117" s="97" t="n">
        <v>33.8</v>
      </c>
      <c r="W117" s="97" t="inlineStr">
        <is>
          <t>N/A</t>
        </is>
      </c>
      <c r="X117" s="97" t="n">
        <v>1.78</v>
      </c>
      <c r="Y117" s="97" t="n">
        <v>42.3</v>
      </c>
      <c r="Z117" s="97" t="n">
        <v>5</v>
      </c>
      <c r="AA117" s="92" t="inlineStr">
        <is>
          <t>WATCHLIST</t>
        </is>
      </c>
    </row>
    <row r="118">
      <c r="A118" s="99" t="inlineStr">
        <is>
          <t>CUB</t>
        </is>
      </c>
      <c r="B118" s="99" t="inlineStr">
        <is>
          <t>City Union Bank Ltd.</t>
        </is>
      </c>
      <c r="C118" s="99" t="inlineStr">
        <is>
          <t>Financial Services</t>
        </is>
      </c>
      <c r="D118" s="99" t="inlineStr">
        <is>
          <t>Smallcap</t>
        </is>
      </c>
      <c r="E118" s="99" t="n">
        <v>219.75</v>
      </c>
      <c r="F118" s="99" t="n">
        <v>-0.06</v>
      </c>
      <c r="G118" s="99" t="n">
        <v>1635177</v>
      </c>
      <c r="H118" s="99" t="n">
        <v>0.64</v>
      </c>
      <c r="I118" s="99" t="n">
        <v>21773</v>
      </c>
      <c r="J118" s="99" t="inlineStr">
        <is>
          <t>Y</t>
        </is>
      </c>
      <c r="K118" s="99" t="inlineStr">
        <is>
          <t>Y</t>
        </is>
      </c>
      <c r="L118" s="99" t="inlineStr">
        <is>
          <t>Y</t>
        </is>
      </c>
      <c r="M118" s="99" t="n">
        <v>45</v>
      </c>
      <c r="N118" s="99" t="inlineStr">
        <is>
          <t>N</t>
        </is>
      </c>
      <c r="O118" s="99" t="n">
        <v>7.16</v>
      </c>
      <c r="P118" s="99" t="inlineStr">
        <is>
          <t>N</t>
        </is>
      </c>
      <c r="Q118" s="99" t="inlineStr">
        <is>
          <t>N/A</t>
        </is>
      </c>
      <c r="R118" s="99" t="inlineStr">
        <is>
          <t>N</t>
        </is>
      </c>
      <c r="S118" s="99" t="n">
        <v>11.6</v>
      </c>
      <c r="T118" s="99" t="n">
        <v>6.2</v>
      </c>
      <c r="U118" s="99" t="inlineStr">
        <is>
          <t>Y</t>
        </is>
      </c>
      <c r="V118" s="99" t="n">
        <v>16.4</v>
      </c>
      <c r="W118" s="99" t="n">
        <v>13.2</v>
      </c>
      <c r="X118" s="99" t="inlineStr">
        <is>
          <t>N/A</t>
        </is>
      </c>
      <c r="Y118" s="99" t="n">
        <v>8.300000000000001</v>
      </c>
      <c r="Z118" s="99" t="n">
        <v>5</v>
      </c>
      <c r="AA118" s="94" t="inlineStr">
        <is>
          <t>WATCHLIST</t>
        </is>
      </c>
    </row>
    <row r="119">
      <c r="A119" s="97" t="inlineStr">
        <is>
          <t>CAMS</t>
        </is>
      </c>
      <c r="B119" s="97" t="inlineStr">
        <is>
          <t>Computer Age Management Services Ltd.</t>
        </is>
      </c>
      <c r="C119" s="97" t="inlineStr">
        <is>
          <t>Financial Services</t>
        </is>
      </c>
      <c r="D119" s="97" t="inlineStr">
        <is>
          <t>Smallcap</t>
        </is>
      </c>
      <c r="E119" s="97" t="n">
        <v>761.45</v>
      </c>
      <c r="F119" s="97" t="n">
        <v>0.44</v>
      </c>
      <c r="G119" s="97" t="n">
        <v>966899</v>
      </c>
      <c r="H119" s="97" t="n">
        <v>0.91</v>
      </c>
      <c r="I119" s="97" t="n">
        <v>18900</v>
      </c>
      <c r="J119" s="97" t="inlineStr">
        <is>
          <t>Y</t>
        </is>
      </c>
      <c r="K119" s="97" t="inlineStr">
        <is>
          <t>N</t>
        </is>
      </c>
      <c r="L119" s="97" t="inlineStr">
        <is>
          <t>Y</t>
        </is>
      </c>
      <c r="M119" s="97" t="n">
        <v>43.1</v>
      </c>
      <c r="N119" s="97" t="inlineStr">
        <is>
          <t>N</t>
        </is>
      </c>
      <c r="O119" s="97" t="n">
        <v>20.96</v>
      </c>
      <c r="P119" s="97" t="inlineStr">
        <is>
          <t>N</t>
        </is>
      </c>
      <c r="Q119" s="97" t="inlineStr">
        <is>
          <t>N/A</t>
        </is>
      </c>
      <c r="R119" s="97" t="inlineStr">
        <is>
          <t>N</t>
        </is>
      </c>
      <c r="S119" s="97" t="n">
        <v>-3.1</v>
      </c>
      <c r="T119" s="97" t="n">
        <v>1.2</v>
      </c>
      <c r="U119" s="97" t="inlineStr">
        <is>
          <t>Y</t>
        </is>
      </c>
      <c r="V119" s="97" t="n">
        <v>39.8</v>
      </c>
      <c r="W119" s="97" t="n">
        <v>38.7</v>
      </c>
      <c r="X119" s="97" t="n">
        <v>4.86</v>
      </c>
      <c r="Y119" s="97" t="n">
        <v>0.7</v>
      </c>
      <c r="Z119" s="97" t="n">
        <v>5</v>
      </c>
      <c r="AA119" s="92" t="inlineStr">
        <is>
          <t>WATCHLIST</t>
        </is>
      </c>
    </row>
    <row r="120">
      <c r="A120" s="99" t="inlineStr">
        <is>
          <t>ELGIEQUIP</t>
        </is>
      </c>
      <c r="B120" s="99" t="inlineStr">
        <is>
          <t>Elgi Equipments Ltd.</t>
        </is>
      </c>
      <c r="C120" s="99" t="inlineStr">
        <is>
          <t>Capital Goods</t>
        </is>
      </c>
      <c r="D120" s="99" t="inlineStr">
        <is>
          <t>Smallcap</t>
        </is>
      </c>
      <c r="E120" s="99" t="n">
        <v>577.3</v>
      </c>
      <c r="F120" s="99" t="n">
        <v>-1.49</v>
      </c>
      <c r="G120" s="99" t="n">
        <v>173421</v>
      </c>
      <c r="H120" s="99" t="n">
        <v>0.49</v>
      </c>
      <c r="I120" s="99" t="n">
        <v>18199</v>
      </c>
      <c r="J120" s="99" t="inlineStr">
        <is>
          <t>Y</t>
        </is>
      </c>
      <c r="K120" s="99" t="inlineStr">
        <is>
          <t>N</t>
        </is>
      </c>
      <c r="L120" s="99" t="inlineStr">
        <is>
          <t>Y</t>
        </is>
      </c>
      <c r="M120" s="99" t="n">
        <v>44.9</v>
      </c>
      <c r="N120" s="99" t="inlineStr">
        <is>
          <t>N</t>
        </is>
      </c>
      <c r="O120" s="99" t="n">
        <v>17.68</v>
      </c>
      <c r="P120" s="99" t="inlineStr">
        <is>
          <t>N</t>
        </is>
      </c>
      <c r="Q120" s="99" t="inlineStr">
        <is>
          <t>N/A</t>
        </is>
      </c>
      <c r="R120" s="99" t="inlineStr">
        <is>
          <t>N</t>
        </is>
      </c>
      <c r="S120" s="99" t="n">
        <v>-2.9</v>
      </c>
      <c r="T120" s="99" t="n">
        <v>3</v>
      </c>
      <c r="U120" s="99" t="inlineStr">
        <is>
          <t>Y</t>
        </is>
      </c>
      <c r="V120" s="99" t="n">
        <v>42.4</v>
      </c>
      <c r="W120" s="99" t="n">
        <v>21</v>
      </c>
      <c r="X120" s="99" t="n">
        <v>23.89</v>
      </c>
      <c r="Y120" s="99" t="n">
        <v>34.5</v>
      </c>
      <c r="Z120" s="99" t="n">
        <v>5</v>
      </c>
      <c r="AA120" s="94" t="inlineStr">
        <is>
          <t>WATCHLIST</t>
        </is>
      </c>
    </row>
    <row r="121">
      <c r="A121" s="97" t="inlineStr">
        <is>
          <t>EXIDEIND</t>
        </is>
      </c>
      <c r="B121" s="97" t="inlineStr">
        <is>
          <t>Exide Industries Ltd.</t>
        </is>
      </c>
      <c r="C121" s="97" t="inlineStr">
        <is>
          <t>Automobile and Auto Components</t>
        </is>
      </c>
      <c r="D121" s="97" t="inlineStr">
        <is>
          <t>Large/Midcap</t>
        </is>
      </c>
      <c r="E121" s="97" t="n">
        <v>443</v>
      </c>
      <c r="F121" s="97" t="n">
        <v>0.74</v>
      </c>
      <c r="G121" s="97" t="n">
        <v>7333676</v>
      </c>
      <c r="H121" s="97" t="n">
        <v>1.51</v>
      </c>
      <c r="I121" s="97" t="n">
        <v>37655</v>
      </c>
      <c r="J121" s="97" t="inlineStr">
        <is>
          <t>Y</t>
        </is>
      </c>
      <c r="K121" s="97" t="inlineStr">
        <is>
          <t>Y</t>
        </is>
      </c>
      <c r="L121" s="97" t="inlineStr">
        <is>
          <t>Y</t>
        </is>
      </c>
      <c r="M121" s="97" t="n">
        <v>73.5</v>
      </c>
      <c r="N121" s="97" t="inlineStr">
        <is>
          <t>N</t>
        </is>
      </c>
      <c r="O121" s="97" t="n">
        <v>11.53</v>
      </c>
      <c r="P121" s="97" t="inlineStr">
        <is>
          <t>N</t>
        </is>
      </c>
      <c r="Q121" s="97" t="inlineStr">
        <is>
          <t>N/A</t>
        </is>
      </c>
      <c r="R121" s="97" t="inlineStr">
        <is>
          <t>N</t>
        </is>
      </c>
      <c r="S121" s="97" t="n">
        <v>15.3</v>
      </c>
      <c r="T121" s="97" t="n">
        <v>23</v>
      </c>
      <c r="U121" s="97" t="inlineStr">
        <is>
          <t>Y</t>
        </is>
      </c>
      <c r="V121" s="97" t="n">
        <v>44</v>
      </c>
      <c r="W121" s="97" t="n">
        <v>6.2</v>
      </c>
      <c r="X121" s="97" t="n">
        <v>11.31</v>
      </c>
      <c r="Y121" s="97" t="n">
        <v>10.9</v>
      </c>
      <c r="Z121" s="97" t="n">
        <v>5</v>
      </c>
      <c r="AA121" s="92" t="inlineStr">
        <is>
          <t>WATCHLIST</t>
        </is>
      </c>
    </row>
    <row r="122">
      <c r="A122" s="99" t="inlineStr">
        <is>
          <t>GMRAIRPORT</t>
        </is>
      </c>
      <c r="B122" s="99" t="inlineStr">
        <is>
          <t>GMR Airports Ltd.</t>
        </is>
      </c>
      <c r="C122" s="99" t="inlineStr">
        <is>
          <t>Services</t>
        </is>
      </c>
      <c r="D122" s="99" t="inlineStr">
        <is>
          <t>Large/Midcap</t>
        </is>
      </c>
      <c r="E122" s="99" t="n">
        <v>107.12</v>
      </c>
      <c r="F122" s="99" t="n">
        <v>-0.23</v>
      </c>
      <c r="G122" s="99" t="n">
        <v>7913951</v>
      </c>
      <c r="H122" s="99" t="n">
        <v>0.41</v>
      </c>
      <c r="I122" s="99" t="n">
        <v>113108</v>
      </c>
      <c r="J122" s="99" t="inlineStr">
        <is>
          <t>Y</t>
        </is>
      </c>
      <c r="K122" s="99" t="inlineStr">
        <is>
          <t>Y</t>
        </is>
      </c>
      <c r="L122" s="99" t="inlineStr">
        <is>
          <t>Y</t>
        </is>
      </c>
      <c r="M122" s="99" t="n">
        <v>33.3</v>
      </c>
      <c r="N122" s="99" t="inlineStr">
        <is>
          <t>N</t>
        </is>
      </c>
      <c r="O122" s="99" t="n">
        <v>2.51</v>
      </c>
      <c r="P122" s="99" t="inlineStr">
        <is>
          <t>N</t>
        </is>
      </c>
      <c r="Q122" s="99" t="inlineStr">
        <is>
          <t>N/A</t>
        </is>
      </c>
      <c r="R122" s="99" t="inlineStr">
        <is>
          <t>N</t>
        </is>
      </c>
      <c r="S122" s="99" t="n">
        <v>-0.2</v>
      </c>
      <c r="T122" s="99" t="n">
        <v>11.6</v>
      </c>
      <c r="U122" s="99" t="inlineStr">
        <is>
          <t>Y</t>
        </is>
      </c>
      <c r="V122" s="99" t="n">
        <v>824</v>
      </c>
      <c r="W122" s="99" t="inlineStr">
        <is>
          <t>N/A</t>
        </is>
      </c>
      <c r="X122" s="99" t="inlineStr">
        <is>
          <t>N/A</t>
        </is>
      </c>
      <c r="Y122" s="99" t="n">
        <v>148.2</v>
      </c>
      <c r="Z122" s="99" t="n">
        <v>5</v>
      </c>
      <c r="AA122" s="94" t="inlineStr">
        <is>
          <t>WATCHLIST</t>
        </is>
      </c>
    </row>
    <row r="123">
      <c r="A123" s="97" t="inlineStr">
        <is>
          <t>GLAND</t>
        </is>
      </c>
      <c r="B123" s="97" t="inlineStr">
        <is>
          <t>Gland Pharma Ltd.</t>
        </is>
      </c>
      <c r="C123" s="97" t="inlineStr">
        <is>
          <t>Healthcare</t>
        </is>
      </c>
      <c r="D123" s="97" t="inlineStr">
        <is>
          <t>Smallcap</t>
        </is>
      </c>
      <c r="E123" s="97" t="n">
        <v>2379.8</v>
      </c>
      <c r="F123" s="97" t="n">
        <v>0.09</v>
      </c>
      <c r="G123" s="97" t="n">
        <v>156545</v>
      </c>
      <c r="H123" s="97" t="n">
        <v>0.43</v>
      </c>
      <c r="I123" s="97" t="n">
        <v>39257</v>
      </c>
      <c r="J123" s="97" t="inlineStr">
        <is>
          <t>Y</t>
        </is>
      </c>
      <c r="K123" s="97" t="inlineStr">
        <is>
          <t>Y</t>
        </is>
      </c>
      <c r="L123" s="97" t="inlineStr">
        <is>
          <t>Y</t>
        </is>
      </c>
      <c r="M123" s="97" t="n">
        <v>42.1</v>
      </c>
      <c r="N123" s="97" t="inlineStr">
        <is>
          <t>N</t>
        </is>
      </c>
      <c r="O123" s="97" t="n">
        <v>83.59</v>
      </c>
      <c r="P123" s="97" t="inlineStr">
        <is>
          <t>N</t>
        </is>
      </c>
      <c r="Q123" s="97" t="inlineStr">
        <is>
          <t>N/A</t>
        </is>
      </c>
      <c r="R123" s="97" t="inlineStr">
        <is>
          <t>N</t>
        </is>
      </c>
      <c r="S123" s="97" t="n">
        <v>3.9</v>
      </c>
      <c r="T123" s="97" t="n">
        <v>37.4</v>
      </c>
      <c r="U123" s="97" t="inlineStr">
        <is>
          <t>Y</t>
        </is>
      </c>
      <c r="V123" s="97" t="n">
        <v>38.2</v>
      </c>
      <c r="W123" s="97" t="n">
        <v>10.5</v>
      </c>
      <c r="X123" s="97" t="n">
        <v>2.74</v>
      </c>
      <c r="Y123" s="97" t="n">
        <v>40.2</v>
      </c>
      <c r="Z123" s="97" t="n">
        <v>5</v>
      </c>
      <c r="AA123" s="92" t="inlineStr">
        <is>
          <t>WATCHLIST</t>
        </is>
      </c>
    </row>
    <row r="124">
      <c r="A124" s="99" t="inlineStr">
        <is>
          <t>GODREJPROP</t>
        </is>
      </c>
      <c r="B124" s="99" t="inlineStr">
        <is>
          <t>Godrej Properties Ltd.</t>
        </is>
      </c>
      <c r="C124" s="99" t="inlineStr">
        <is>
          <t>Realty</t>
        </is>
      </c>
      <c r="D124" s="99" t="inlineStr">
        <is>
          <t>Large/Midcap</t>
        </is>
      </c>
      <c r="E124" s="99" t="n">
        <v>2028.7</v>
      </c>
      <c r="F124" s="99" t="n">
        <v>-0.6</v>
      </c>
      <c r="G124" s="99" t="n">
        <v>569927</v>
      </c>
      <c r="H124" s="99" t="n">
        <v>0.64</v>
      </c>
      <c r="I124" s="99" t="n">
        <v>61110</v>
      </c>
      <c r="J124" s="99" t="inlineStr">
        <is>
          <t>Y</t>
        </is>
      </c>
      <c r="K124" s="99" t="inlineStr">
        <is>
          <t>Y</t>
        </is>
      </c>
      <c r="L124" s="99" t="inlineStr">
        <is>
          <t>Y</t>
        </is>
      </c>
      <c r="M124" s="99" t="n">
        <v>48.3</v>
      </c>
      <c r="N124" s="99" t="inlineStr">
        <is>
          <t>N</t>
        </is>
      </c>
      <c r="O124" s="99" t="n">
        <v>72.06999999999999</v>
      </c>
      <c r="P124" s="99" t="inlineStr">
        <is>
          <t>N</t>
        </is>
      </c>
      <c r="Q124" s="99" t="inlineStr">
        <is>
          <t>N/A</t>
        </is>
      </c>
      <c r="R124" s="99" t="inlineStr">
        <is>
          <t>N</t>
        </is>
      </c>
      <c r="S124" s="99" t="n">
        <v>10.7</v>
      </c>
      <c r="T124" s="99" t="n">
        <v>9.5</v>
      </c>
      <c r="U124" s="99" t="inlineStr">
        <is>
          <t>Y</t>
        </is>
      </c>
      <c r="V124" s="99" t="n">
        <v>33</v>
      </c>
      <c r="W124" s="99" t="n">
        <v>10</v>
      </c>
      <c r="X124" s="99" t="n">
        <v>82.12</v>
      </c>
      <c r="Y124" s="99" t="n">
        <v>233</v>
      </c>
      <c r="Z124" s="99" t="n">
        <v>5</v>
      </c>
      <c r="AA124" s="94" t="inlineStr">
        <is>
          <t>WATCHLIST</t>
        </is>
      </c>
    </row>
    <row r="125">
      <c r="A125" s="97" t="inlineStr">
        <is>
          <t>GRAPHITE</t>
        </is>
      </c>
      <c r="B125" s="97" t="inlineStr">
        <is>
          <t>Graphite India Ltd.</t>
        </is>
      </c>
      <c r="C125" s="97" t="inlineStr">
        <is>
          <t>Capital Goods</t>
        </is>
      </c>
      <c r="D125" s="97" t="inlineStr">
        <is>
          <t>Smallcap</t>
        </is>
      </c>
      <c r="E125" s="97" t="n">
        <v>672.75</v>
      </c>
      <c r="F125" s="97" t="n">
        <v>2.26</v>
      </c>
      <c r="G125" s="97" t="n">
        <v>4550797</v>
      </c>
      <c r="H125" s="97" t="n">
        <v>1.91</v>
      </c>
      <c r="I125" s="97" t="n">
        <v>13144</v>
      </c>
      <c r="J125" s="97" t="inlineStr">
        <is>
          <t>Y</t>
        </is>
      </c>
      <c r="K125" s="97" t="inlineStr">
        <is>
          <t>Y</t>
        </is>
      </c>
      <c r="L125" s="97" t="inlineStr">
        <is>
          <t>Y</t>
        </is>
      </c>
      <c r="M125" s="97" t="n">
        <v>65.7</v>
      </c>
      <c r="N125" s="97" t="inlineStr">
        <is>
          <t>Y</t>
        </is>
      </c>
      <c r="O125" s="97" t="n">
        <v>26.24</v>
      </c>
      <c r="P125" s="97" t="inlineStr">
        <is>
          <t>Y</t>
        </is>
      </c>
      <c r="Q125" s="97" t="inlineStr">
        <is>
          <t>N/A</t>
        </is>
      </c>
      <c r="R125" s="97" t="inlineStr">
        <is>
          <t>N</t>
        </is>
      </c>
      <c r="S125" s="97" t="n">
        <v>13.3</v>
      </c>
      <c r="T125" s="97" t="n">
        <v>-7.6</v>
      </c>
      <c r="U125" s="97" t="inlineStr">
        <is>
          <t>N</t>
        </is>
      </c>
      <c r="V125" s="97" t="n">
        <v>75.2</v>
      </c>
      <c r="W125" s="97" t="n">
        <v>2.9</v>
      </c>
      <c r="X125" s="97" t="n">
        <v>6.29</v>
      </c>
      <c r="Y125" s="97" t="n">
        <v>-252.9</v>
      </c>
      <c r="Z125" s="97" t="n">
        <v>5</v>
      </c>
      <c r="AA125" s="92" t="inlineStr">
        <is>
          <t>WATCHLIST</t>
        </is>
      </c>
    </row>
    <row r="126">
      <c r="A126" s="99" t="inlineStr">
        <is>
          <t>GESHIP</t>
        </is>
      </c>
      <c r="B126" s="99" t="inlineStr">
        <is>
          <t>Great Eastern Shipping Co. Ltd.</t>
        </is>
      </c>
      <c r="C126" s="99" t="inlineStr">
        <is>
          <t>Services</t>
        </is>
      </c>
      <c r="D126" s="99" t="inlineStr">
        <is>
          <t>Smallcap</t>
        </is>
      </c>
      <c r="E126" s="99" t="n">
        <v>1437.9</v>
      </c>
      <c r="F126" s="99" t="n">
        <v>-0.28</v>
      </c>
      <c r="G126" s="99" t="n">
        <v>188630</v>
      </c>
      <c r="H126" s="99" t="n">
        <v>0.5600000000000001</v>
      </c>
      <c r="I126" s="99" t="n">
        <v>20529</v>
      </c>
      <c r="J126" s="99" t="inlineStr">
        <is>
          <t>Y</t>
        </is>
      </c>
      <c r="K126" s="99" t="inlineStr">
        <is>
          <t>N</t>
        </is>
      </c>
      <c r="L126" s="99" t="inlineStr">
        <is>
          <t>Y</t>
        </is>
      </c>
      <c r="M126" s="99" t="n">
        <v>54.8</v>
      </c>
      <c r="N126" s="99" t="inlineStr">
        <is>
          <t>Y</t>
        </is>
      </c>
      <c r="O126" s="99" t="n">
        <v>45.44</v>
      </c>
      <c r="P126" s="99" t="inlineStr">
        <is>
          <t>N</t>
        </is>
      </c>
      <c r="Q126" s="99" t="inlineStr">
        <is>
          <t>N/A</t>
        </is>
      </c>
      <c r="R126" s="99" t="inlineStr">
        <is>
          <t>N</t>
        </is>
      </c>
      <c r="S126" s="99" t="n">
        <v>-3</v>
      </c>
      <c r="T126" s="99" t="n">
        <v>-6.3</v>
      </c>
      <c r="U126" s="99" t="inlineStr">
        <is>
          <t>N</t>
        </is>
      </c>
      <c r="V126" s="99" t="n">
        <v>7</v>
      </c>
      <c r="W126" s="99" t="n">
        <v>18.8</v>
      </c>
      <c r="X126" s="99" t="n">
        <v>6.41</v>
      </c>
      <c r="Y126" s="99" t="n">
        <v>28.5</v>
      </c>
      <c r="Z126" s="99" t="n">
        <v>5</v>
      </c>
      <c r="AA126" s="94" t="inlineStr">
        <is>
          <t>WATCHLIST</t>
        </is>
      </c>
    </row>
    <row r="127">
      <c r="A127" s="97" t="inlineStr">
        <is>
          <t>FLUOROCHEM</t>
        </is>
      </c>
      <c r="B127" s="97" t="inlineStr">
        <is>
          <t>Gujarat Fluorochemicals Ltd.</t>
        </is>
      </c>
      <c r="C127" s="97" t="inlineStr">
        <is>
          <t>Chemicals</t>
        </is>
      </c>
      <c r="D127" s="97" t="inlineStr">
        <is>
          <t>Large/Midcap</t>
        </is>
      </c>
      <c r="E127" s="97" t="n">
        <v>4573.7</v>
      </c>
      <c r="F127" s="97" t="n">
        <v>-0.08</v>
      </c>
      <c r="G127" s="97" t="n">
        <v>97679</v>
      </c>
      <c r="H127" s="97" t="n">
        <v>0.25</v>
      </c>
      <c r="I127" s="97" t="n">
        <v>50242</v>
      </c>
      <c r="J127" s="97" t="inlineStr">
        <is>
          <t>Y</t>
        </is>
      </c>
      <c r="K127" s="97" t="inlineStr">
        <is>
          <t>Y</t>
        </is>
      </c>
      <c r="L127" s="97" t="inlineStr">
        <is>
          <t>Y</t>
        </is>
      </c>
      <c r="M127" s="97" t="n">
        <v>81.09999999999999</v>
      </c>
      <c r="N127" s="97" t="inlineStr">
        <is>
          <t>N</t>
        </is>
      </c>
      <c r="O127" s="97" t="n">
        <v>140.18</v>
      </c>
      <c r="P127" s="97" t="inlineStr">
        <is>
          <t>N</t>
        </is>
      </c>
      <c r="Q127" s="97" t="inlineStr">
        <is>
          <t>N/A</t>
        </is>
      </c>
      <c r="R127" s="97" t="inlineStr">
        <is>
          <t>N</t>
        </is>
      </c>
      <c r="S127" s="97" t="n">
        <v>18.1</v>
      </c>
      <c r="T127" s="97" t="n">
        <v>36.6</v>
      </c>
      <c r="U127" s="97" t="inlineStr">
        <is>
          <t>Y</t>
        </is>
      </c>
      <c r="V127" s="97" t="n">
        <v>87.7</v>
      </c>
      <c r="W127" s="97" t="n">
        <v>7.5</v>
      </c>
      <c r="X127" s="97" t="n">
        <v>28.94</v>
      </c>
      <c r="Y127" s="97" t="n">
        <v>8.699999999999999</v>
      </c>
      <c r="Z127" s="97" t="n">
        <v>5</v>
      </c>
      <c r="AA127" s="92" t="inlineStr">
        <is>
          <t>WATCHLIST</t>
        </is>
      </c>
    </row>
    <row r="128">
      <c r="A128" s="99" t="inlineStr">
        <is>
          <t>HEG</t>
        </is>
      </c>
      <c r="B128" s="99" t="inlineStr">
        <is>
          <t>H.E.G. Ltd.</t>
        </is>
      </c>
      <c r="C128" s="99" t="inlineStr">
        <is>
          <t>Capital Goods</t>
        </is>
      </c>
      <c r="D128" s="99" t="inlineStr">
        <is>
          <t>Smallcap</t>
        </is>
      </c>
      <c r="E128" s="99" t="n">
        <v>643.15</v>
      </c>
      <c r="F128" s="99" t="n">
        <v>3.09</v>
      </c>
      <c r="G128" s="99" t="n">
        <v>7737580</v>
      </c>
      <c r="H128" s="99" t="n">
        <v>1.11</v>
      </c>
      <c r="I128" s="99" t="n">
        <v>12411</v>
      </c>
      <c r="J128" s="99" t="inlineStr">
        <is>
          <t>Y</t>
        </is>
      </c>
      <c r="K128" s="99" t="inlineStr">
        <is>
          <t>Y</t>
        </is>
      </c>
      <c r="L128" s="99" t="inlineStr">
        <is>
          <t>Y</t>
        </is>
      </c>
      <c r="M128" s="99" t="n">
        <v>72.8</v>
      </c>
      <c r="N128" s="99" t="inlineStr">
        <is>
          <t>N</t>
        </is>
      </c>
      <c r="O128" s="99" t="n">
        <v>29.68</v>
      </c>
      <c r="P128" s="99" t="inlineStr">
        <is>
          <t>Y</t>
        </is>
      </c>
      <c r="Q128" s="99" t="inlineStr">
        <is>
          <t>N/A</t>
        </is>
      </c>
      <c r="R128" s="99" t="inlineStr">
        <is>
          <t>N</t>
        </is>
      </c>
      <c r="S128" s="99" t="n">
        <v>25.4</v>
      </c>
      <c r="T128" s="99" t="n">
        <v>-1.2</v>
      </c>
      <c r="U128" s="99" t="inlineStr">
        <is>
          <t>N</t>
        </is>
      </c>
      <c r="V128" s="99" t="n">
        <v>34.5</v>
      </c>
      <c r="W128" s="99" t="inlineStr">
        <is>
          <t>N/A</t>
        </is>
      </c>
      <c r="X128" s="99" t="n">
        <v>16.73</v>
      </c>
      <c r="Y128" s="99" t="n">
        <v>207.5</v>
      </c>
      <c r="Z128" s="99" t="n">
        <v>5</v>
      </c>
      <c r="AA128" s="94" t="inlineStr">
        <is>
          <t>WATCHLIST</t>
        </is>
      </c>
    </row>
    <row r="129">
      <c r="A129" s="97" t="inlineStr">
        <is>
          <t>HCLTECH</t>
        </is>
      </c>
      <c r="B129" s="97" t="inlineStr">
        <is>
          <t>HCL Technologies Ltd.</t>
        </is>
      </c>
      <c r="C129" s="97" t="inlineStr">
        <is>
          <t>Information Technology</t>
        </is>
      </c>
      <c r="D129" s="97" t="inlineStr">
        <is>
          <t>Large/Midcap</t>
        </is>
      </c>
      <c r="E129" s="97" t="n">
        <v>1271</v>
      </c>
      <c r="F129" s="97" t="n">
        <v>2.11</v>
      </c>
      <c r="G129" s="97" t="n">
        <v>3674904</v>
      </c>
      <c r="H129" s="97" t="n">
        <v>1.24</v>
      </c>
      <c r="I129" s="97" t="n">
        <v>343903</v>
      </c>
      <c r="J129" s="97" t="inlineStr">
        <is>
          <t>Y</t>
        </is>
      </c>
      <c r="K129" s="97" t="inlineStr">
        <is>
          <t>Y</t>
        </is>
      </c>
      <c r="L129" s="97" t="inlineStr">
        <is>
          <t>N</t>
        </is>
      </c>
      <c r="M129" s="97" t="n">
        <v>74.3</v>
      </c>
      <c r="N129" s="97" t="inlineStr">
        <is>
          <t>N</t>
        </is>
      </c>
      <c r="O129" s="97" t="n">
        <v>37.94</v>
      </c>
      <c r="P129" s="97" t="inlineStr">
        <is>
          <t>N</t>
        </is>
      </c>
      <c r="Q129" s="97" t="inlineStr">
        <is>
          <t>N/A</t>
        </is>
      </c>
      <c r="R129" s="97" t="inlineStr">
        <is>
          <t>N</t>
        </is>
      </c>
      <c r="S129" s="97" t="n">
        <v>17.7</v>
      </c>
      <c r="T129" s="97" t="n">
        <v>7.5</v>
      </c>
      <c r="U129" s="97" t="inlineStr">
        <is>
          <t>Y</t>
        </is>
      </c>
      <c r="V129" s="97" t="n">
        <v>19.8</v>
      </c>
      <c r="W129" s="97" t="n">
        <v>24.1</v>
      </c>
      <c r="X129" s="97" t="n">
        <v>7.06</v>
      </c>
      <c r="Y129" s="97" t="n">
        <v>3</v>
      </c>
      <c r="Z129" s="97" t="n">
        <v>5</v>
      </c>
      <c r="AA129" s="92" t="inlineStr">
        <is>
          <t>WATCHLIST</t>
        </is>
      </c>
    </row>
    <row r="130">
      <c r="A130" s="99" t="inlineStr">
        <is>
          <t>HFCL</t>
        </is>
      </c>
      <c r="B130" s="99" t="inlineStr">
        <is>
          <t>HFCL Ltd.</t>
        </is>
      </c>
      <c r="C130" s="99" t="inlineStr">
        <is>
          <t>Telecommunication</t>
        </is>
      </c>
      <c r="D130" s="99" t="inlineStr">
        <is>
          <t>Smallcap</t>
        </is>
      </c>
      <c r="E130" s="99" t="n">
        <v>196.85</v>
      </c>
      <c r="F130" s="99" t="n">
        <v>-4.91</v>
      </c>
      <c r="G130" s="99" t="n">
        <v>31552378</v>
      </c>
      <c r="H130" s="99" t="n">
        <v>0.9</v>
      </c>
      <c r="I130" s="99" t="n">
        <v>30123</v>
      </c>
      <c r="J130" s="99" t="inlineStr">
        <is>
          <t>Y</t>
        </is>
      </c>
      <c r="K130" s="99" t="inlineStr">
        <is>
          <t>Y</t>
        </is>
      </c>
      <c r="L130" s="99" t="inlineStr">
        <is>
          <t>Y</t>
        </is>
      </c>
      <c r="M130" s="99" t="n">
        <v>32.1</v>
      </c>
      <c r="N130" s="99" t="inlineStr">
        <is>
          <t>N</t>
        </is>
      </c>
      <c r="O130" s="99" t="n">
        <v>10.49</v>
      </c>
      <c r="P130" s="99" t="inlineStr">
        <is>
          <t>N</t>
        </is>
      </c>
      <c r="Q130" s="99" t="inlineStr">
        <is>
          <t>N/A</t>
        </is>
      </c>
      <c r="R130" s="99" t="inlineStr">
        <is>
          <t>N</t>
        </is>
      </c>
      <c r="S130" s="99" t="n">
        <v>-7.4</v>
      </c>
      <c r="T130" s="99" t="n">
        <v>84.3</v>
      </c>
      <c r="U130" s="99" t="inlineStr">
        <is>
          <t>Y</t>
        </is>
      </c>
      <c r="V130" s="99" t="n">
        <v>51.3</v>
      </c>
      <c r="W130" s="99" t="inlineStr">
        <is>
          <t>N/A</t>
        </is>
      </c>
      <c r="X130" s="99" t="n">
        <v>38.32</v>
      </c>
      <c r="Y130" s="99" t="n">
        <v>28.1</v>
      </c>
      <c r="Z130" s="99" t="n">
        <v>5</v>
      </c>
      <c r="AA130" s="94" t="inlineStr">
        <is>
          <t>WATCHLIST</t>
        </is>
      </c>
    </row>
    <row r="131">
      <c r="A131" s="97" t="inlineStr">
        <is>
          <t>HEROMOTOCO</t>
        </is>
      </c>
      <c r="B131" s="97" t="inlineStr">
        <is>
          <t>Hero MotoCorp Ltd.</t>
        </is>
      </c>
      <c r="C131" s="97" t="inlineStr">
        <is>
          <t>Automobile and Auto Components</t>
        </is>
      </c>
      <c r="D131" s="97" t="inlineStr">
        <is>
          <t>Large/Midcap</t>
        </is>
      </c>
      <c r="E131" s="97" t="n">
        <v>5011.1</v>
      </c>
      <c r="F131" s="97" t="n">
        <v>-1.72</v>
      </c>
      <c r="G131" s="97" t="n">
        <v>694927</v>
      </c>
      <c r="H131" s="97" t="n">
        <v>0.6899999999999999</v>
      </c>
      <c r="I131" s="97" t="n">
        <v>100269</v>
      </c>
      <c r="J131" s="97" t="inlineStr">
        <is>
          <t>Y</t>
        </is>
      </c>
      <c r="K131" s="97" t="inlineStr">
        <is>
          <t>Y</t>
        </is>
      </c>
      <c r="L131" s="97" t="inlineStr">
        <is>
          <t>N</t>
        </is>
      </c>
      <c r="M131" s="97" t="n">
        <v>59.1</v>
      </c>
      <c r="N131" s="97" t="inlineStr">
        <is>
          <t>Y</t>
        </is>
      </c>
      <c r="O131" s="97" t="n">
        <v>98.91</v>
      </c>
      <c r="P131" s="97" t="inlineStr">
        <is>
          <t>N</t>
        </is>
      </c>
      <c r="Q131" s="97" t="inlineStr">
        <is>
          <t>N/A</t>
        </is>
      </c>
      <c r="R131" s="97" t="inlineStr">
        <is>
          <t>N</t>
        </is>
      </c>
      <c r="S131" s="97" t="n">
        <v>4.9</v>
      </c>
      <c r="T131" s="97" t="n">
        <v>0</v>
      </c>
      <c r="U131" s="97" t="inlineStr">
        <is>
          <t>N</t>
        </is>
      </c>
      <c r="V131" s="97" t="n">
        <v>17.5</v>
      </c>
      <c r="W131" s="97" t="n">
        <v>28</v>
      </c>
      <c r="X131" s="97" t="n">
        <v>3.57</v>
      </c>
      <c r="Y131" s="97" t="n">
        <v>15.2</v>
      </c>
      <c r="Z131" s="97" t="n">
        <v>5</v>
      </c>
      <c r="AA131" s="92" t="inlineStr">
        <is>
          <t>WATCHLIST</t>
        </is>
      </c>
    </row>
    <row r="132">
      <c r="A132" s="99" t="inlineStr">
        <is>
          <t>HSCL</t>
        </is>
      </c>
      <c r="B132" s="99" t="inlineStr">
        <is>
          <t>Himadri Speciality Chemical Ltd.</t>
        </is>
      </c>
      <c r="C132" s="99" t="inlineStr">
        <is>
          <t>Chemicals</t>
        </is>
      </c>
      <c r="D132" s="99" t="inlineStr">
        <is>
          <t>Smallcap</t>
        </is>
      </c>
      <c r="E132" s="99" t="n">
        <v>789.55</v>
      </c>
      <c r="F132" s="99" t="n">
        <v>1.53</v>
      </c>
      <c r="G132" s="99" t="n">
        <v>4447225</v>
      </c>
      <c r="H132" s="99" t="n">
        <v>0.26</v>
      </c>
      <c r="I132" s="99" t="n">
        <v>39838</v>
      </c>
      <c r="J132" s="99" t="inlineStr">
        <is>
          <t>Y</t>
        </is>
      </c>
      <c r="K132" s="99" t="inlineStr">
        <is>
          <t>Y</t>
        </is>
      </c>
      <c r="L132" s="99" t="inlineStr">
        <is>
          <t>Y</t>
        </is>
      </c>
      <c r="M132" s="99" t="n">
        <v>70.5</v>
      </c>
      <c r="N132" s="99" t="inlineStr">
        <is>
          <t>N</t>
        </is>
      </c>
      <c r="O132" s="99" t="n">
        <v>32.38</v>
      </c>
      <c r="P132" s="99" t="inlineStr">
        <is>
          <t>N</t>
        </is>
      </c>
      <c r="Q132" s="99" t="inlineStr">
        <is>
          <t>N/A</t>
        </is>
      </c>
      <c r="R132" s="99" t="inlineStr">
        <is>
          <t>N</t>
        </is>
      </c>
      <c r="S132" s="99" t="n">
        <v>17.5</v>
      </c>
      <c r="T132" s="99" t="n">
        <v>32</v>
      </c>
      <c r="U132" s="99" t="inlineStr">
        <is>
          <t>Y</t>
        </is>
      </c>
      <c r="V132" s="99" t="n">
        <v>49.5</v>
      </c>
      <c r="W132" s="99" t="inlineStr">
        <is>
          <t>N/A</t>
        </is>
      </c>
      <c r="X132" s="99" t="n">
        <v>16.17</v>
      </c>
      <c r="Y132" s="99" t="n">
        <v>14.3</v>
      </c>
      <c r="Z132" s="99" t="n">
        <v>5</v>
      </c>
      <c r="AA132" s="94" t="inlineStr">
        <is>
          <t>WATCHLIST</t>
        </is>
      </c>
    </row>
    <row r="133">
      <c r="A133" s="97" t="inlineStr">
        <is>
          <t>HYUNDAI</t>
        </is>
      </c>
      <c r="B133" s="97" t="inlineStr">
        <is>
          <t>Hyundai Motor India Ltd.</t>
        </is>
      </c>
      <c r="C133" s="97" t="inlineStr">
        <is>
          <t>Automobile and Auto Components</t>
        </is>
      </c>
      <c r="D133" s="97" t="inlineStr">
        <is>
          <t>Large/Midcap</t>
        </is>
      </c>
      <c r="E133" s="97" t="n">
        <v>1952.6</v>
      </c>
      <c r="F133" s="97" t="n">
        <v>-0.09</v>
      </c>
      <c r="G133" s="97" t="n">
        <v>917025</v>
      </c>
      <c r="H133" s="97" t="n">
        <v>1.62</v>
      </c>
      <c r="I133" s="97" t="n">
        <v>158657</v>
      </c>
      <c r="J133" s="97" t="inlineStr">
        <is>
          <t>Y</t>
        </is>
      </c>
      <c r="K133" s="97" t="inlineStr">
        <is>
          <t>Y</t>
        </is>
      </c>
      <c r="L133" s="97" t="inlineStr">
        <is>
          <t>N</t>
        </is>
      </c>
      <c r="M133" s="97" t="n">
        <v>42.7</v>
      </c>
      <c r="N133" s="97" t="inlineStr">
        <is>
          <t>N</t>
        </is>
      </c>
      <c r="O133" s="97" t="n">
        <v>52.81</v>
      </c>
      <c r="P133" s="97" t="inlineStr">
        <is>
          <t>N</t>
        </is>
      </c>
      <c r="Q133" s="97" t="inlineStr">
        <is>
          <t>N/A</t>
        </is>
      </c>
      <c r="R133" s="97" t="inlineStr">
        <is>
          <t>N</t>
        </is>
      </c>
      <c r="S133" s="97" t="n">
        <v>0.2</v>
      </c>
      <c r="T133" s="97" t="n">
        <v>8</v>
      </c>
      <c r="U133" s="97" t="inlineStr">
        <is>
          <t>Y</t>
        </is>
      </c>
      <c r="V133" s="97" t="n">
        <v>29.2</v>
      </c>
      <c r="W133" s="97" t="n">
        <v>29.9</v>
      </c>
      <c r="X133" s="97" t="n">
        <v>5.48</v>
      </c>
      <c r="Y133" s="97" t="n">
        <v>1.7</v>
      </c>
      <c r="Z133" s="97" t="n">
        <v>5</v>
      </c>
      <c r="AA133" s="92" t="inlineStr">
        <is>
          <t>WATCHLIST</t>
        </is>
      </c>
    </row>
    <row r="134">
      <c r="A134" s="99" t="inlineStr">
        <is>
          <t>IDBI</t>
        </is>
      </c>
      <c r="B134" s="99" t="inlineStr">
        <is>
          <t>IDBI Bank Ltd.</t>
        </is>
      </c>
      <c r="C134" s="99" t="inlineStr">
        <is>
          <t>Financial Services</t>
        </is>
      </c>
      <c r="D134" s="99" t="inlineStr">
        <is>
          <t>Smallcap</t>
        </is>
      </c>
      <c r="E134" s="99" t="n">
        <v>84.93000000000001</v>
      </c>
      <c r="F134" s="99" t="n">
        <v>-0.15</v>
      </c>
      <c r="G134" s="99" t="n">
        <v>7500047</v>
      </c>
      <c r="H134" s="99" t="n">
        <v>0.98</v>
      </c>
      <c r="I134" s="99" t="n">
        <v>91320</v>
      </c>
      <c r="J134" s="99" t="inlineStr">
        <is>
          <t>Y</t>
        </is>
      </c>
      <c r="K134" s="99" t="inlineStr">
        <is>
          <t>Y</t>
        </is>
      </c>
      <c r="L134" s="99" t="inlineStr">
        <is>
          <t>N</t>
        </is>
      </c>
      <c r="M134" s="99" t="n">
        <v>52.8</v>
      </c>
      <c r="N134" s="99" t="inlineStr">
        <is>
          <t>Y</t>
        </is>
      </c>
      <c r="O134" s="99" t="n">
        <v>2.67</v>
      </c>
      <c r="P134" s="99" t="inlineStr">
        <is>
          <t>N</t>
        </is>
      </c>
      <c r="Q134" s="99" t="inlineStr">
        <is>
          <t>N/A</t>
        </is>
      </c>
      <c r="R134" s="99" t="inlineStr">
        <is>
          <t>N</t>
        </is>
      </c>
      <c r="S134" s="99" t="n">
        <v>-0.6</v>
      </c>
      <c r="T134" s="99" t="n">
        <v>11.2</v>
      </c>
      <c r="U134" s="99" t="inlineStr">
        <is>
          <t>Y</t>
        </is>
      </c>
      <c r="V134" s="99" t="n">
        <v>9.800000000000001</v>
      </c>
      <c r="W134" s="99" t="n">
        <v>13.9</v>
      </c>
      <c r="X134" s="99" t="inlineStr">
        <is>
          <t>N/A</t>
        </is>
      </c>
      <c r="Y134" s="99" t="n">
        <v>6</v>
      </c>
      <c r="Z134" s="99" t="n">
        <v>5</v>
      </c>
      <c r="AA134" s="94" t="inlineStr">
        <is>
          <t>WATCHLIST</t>
        </is>
      </c>
    </row>
    <row r="135">
      <c r="A135" s="97" t="inlineStr">
        <is>
          <t>INDIACEM</t>
        </is>
      </c>
      <c r="B135" s="97" t="inlineStr">
        <is>
          <t>India Cements Ltd.</t>
        </is>
      </c>
      <c r="C135" s="97" t="inlineStr">
        <is>
          <t>Construction Materials</t>
        </is>
      </c>
      <c r="D135" s="97" t="inlineStr">
        <is>
          <t>Smallcap</t>
        </is>
      </c>
      <c r="E135" s="97" t="n">
        <v>407</v>
      </c>
      <c r="F135" s="97" t="n">
        <v>-0.29</v>
      </c>
      <c r="G135" s="97" t="n">
        <v>168482</v>
      </c>
      <c r="H135" s="97" t="n">
        <v>0.24</v>
      </c>
      <c r="I135" s="97" t="n">
        <v>12613</v>
      </c>
      <c r="J135" s="97" t="inlineStr">
        <is>
          <t>Y</t>
        </is>
      </c>
      <c r="K135" s="97" t="inlineStr">
        <is>
          <t>Y</t>
        </is>
      </c>
      <c r="L135" s="97" t="inlineStr">
        <is>
          <t>Y</t>
        </is>
      </c>
      <c r="M135" s="97" t="n">
        <v>63.5</v>
      </c>
      <c r="N135" s="97" t="inlineStr">
        <is>
          <t>Y</t>
        </is>
      </c>
      <c r="O135" s="97" t="n">
        <v>13.87</v>
      </c>
      <c r="P135" s="97" t="inlineStr">
        <is>
          <t>N</t>
        </is>
      </c>
      <c r="Q135" s="97" t="inlineStr">
        <is>
          <t>N/A</t>
        </is>
      </c>
      <c r="R135" s="97" t="inlineStr">
        <is>
          <t>N</t>
        </is>
      </c>
      <c r="S135" s="97" t="n">
        <v>7.1</v>
      </c>
      <c r="T135" s="97" t="n">
        <v>1.8</v>
      </c>
      <c r="U135" s="97" t="inlineStr">
        <is>
          <t>Y</t>
        </is>
      </c>
      <c r="V135" s="97" t="n">
        <v>137</v>
      </c>
      <c r="W135" s="97" t="inlineStr">
        <is>
          <t>N/A</t>
        </is>
      </c>
      <c r="X135" s="97" t="n">
        <v>12.89</v>
      </c>
      <c r="Y135" s="97" t="n">
        <v>-54.9</v>
      </c>
      <c r="Z135" s="97" t="n">
        <v>5</v>
      </c>
      <c r="AA135" s="92" t="inlineStr">
        <is>
          <t>WATCHLIST</t>
        </is>
      </c>
    </row>
    <row r="136">
      <c r="A136" s="99" t="inlineStr">
        <is>
          <t>INDUSINDBK</t>
        </is>
      </c>
      <c r="B136" s="99" t="inlineStr">
        <is>
          <t>IndusInd Bank Ltd.</t>
        </is>
      </c>
      <c r="C136" s="99" t="inlineStr">
        <is>
          <t>Financial Services</t>
        </is>
      </c>
      <c r="D136" s="99" t="inlineStr">
        <is>
          <t>Large/Midcap</t>
        </is>
      </c>
      <c r="E136" s="99" t="n">
        <v>996.05</v>
      </c>
      <c r="F136" s="99" t="n">
        <v>-0.9399999999999999</v>
      </c>
      <c r="G136" s="99" t="n">
        <v>1995292</v>
      </c>
      <c r="H136" s="99" t="n">
        <v>0.34</v>
      </c>
      <c r="I136" s="99" t="n">
        <v>77606</v>
      </c>
      <c r="J136" s="99" t="inlineStr">
        <is>
          <t>Y</t>
        </is>
      </c>
      <c r="K136" s="99" t="inlineStr">
        <is>
          <t>Y</t>
        </is>
      </c>
      <c r="L136" s="99" t="inlineStr">
        <is>
          <t>Y</t>
        </is>
      </c>
      <c r="M136" s="99" t="n">
        <v>46.9</v>
      </c>
      <c r="N136" s="99" t="inlineStr">
        <is>
          <t>N</t>
        </is>
      </c>
      <c r="O136" s="99" t="n">
        <v>28.03</v>
      </c>
      <c r="P136" s="99" t="inlineStr">
        <is>
          <t>N</t>
        </is>
      </c>
      <c r="Q136" s="99" t="inlineStr">
        <is>
          <t>N/A</t>
        </is>
      </c>
      <c r="R136" s="99" t="inlineStr">
        <is>
          <t>N</t>
        </is>
      </c>
      <c r="S136" s="99" t="n">
        <v>9.4</v>
      </c>
      <c r="T136" s="99" t="n">
        <v>9.699999999999999</v>
      </c>
      <c r="U136" s="99" t="inlineStr">
        <is>
          <t>Y</t>
        </is>
      </c>
      <c r="V136" s="99" t="n">
        <v>58.8</v>
      </c>
      <c r="W136" s="99" t="inlineStr">
        <is>
          <t>N/A</t>
        </is>
      </c>
      <c r="X136" s="99" t="inlineStr">
        <is>
          <t>N/A</t>
        </is>
      </c>
      <c r="Y136" s="99" t="n">
        <v>74.5</v>
      </c>
      <c r="Z136" s="99" t="n">
        <v>5</v>
      </c>
      <c r="AA136" s="94" t="inlineStr">
        <is>
          <t>WATCHLIST</t>
        </is>
      </c>
    </row>
    <row r="137">
      <c r="A137" s="97" t="inlineStr">
        <is>
          <t>NAUKRI</t>
        </is>
      </c>
      <c r="B137" s="97" t="inlineStr">
        <is>
          <t>Info Edge (India) Ltd.</t>
        </is>
      </c>
      <c r="C137" s="97" t="inlineStr">
        <is>
          <t>Consumer Services</t>
        </is>
      </c>
      <c r="D137" s="97" t="inlineStr">
        <is>
          <t>Large/Midcap</t>
        </is>
      </c>
      <c r="E137" s="97" t="n">
        <v>1165.5</v>
      </c>
      <c r="F137" s="97" t="n">
        <v>-0.07000000000000001</v>
      </c>
      <c r="G137" s="97" t="n">
        <v>1248750</v>
      </c>
      <c r="H137" s="97" t="n">
        <v>0.5600000000000001</v>
      </c>
      <c r="I137" s="97" t="n">
        <v>75494</v>
      </c>
      <c r="J137" s="97" t="inlineStr">
        <is>
          <t>Y</t>
        </is>
      </c>
      <c r="K137" s="97" t="inlineStr">
        <is>
          <t>Y</t>
        </is>
      </c>
      <c r="L137" s="97" t="inlineStr">
        <is>
          <t>Y</t>
        </is>
      </c>
      <c r="M137" s="97" t="n">
        <v>74.2</v>
      </c>
      <c r="N137" s="97" t="inlineStr">
        <is>
          <t>N</t>
        </is>
      </c>
      <c r="O137" s="97" t="n">
        <v>41.07</v>
      </c>
      <c r="P137" s="97" t="inlineStr">
        <is>
          <t>N</t>
        </is>
      </c>
      <c r="Q137" s="97" t="inlineStr">
        <is>
          <t>N/A</t>
        </is>
      </c>
      <c r="R137" s="97" t="inlineStr">
        <is>
          <t>N</t>
        </is>
      </c>
      <c r="S137" s="97" t="n">
        <v>20.5</v>
      </c>
      <c r="T137" s="97" t="n">
        <v>18.4</v>
      </c>
      <c r="U137" s="97" t="inlineStr">
        <is>
          <t>Y</t>
        </is>
      </c>
      <c r="V137" s="97" t="n">
        <v>52.1</v>
      </c>
      <c r="W137" s="97" t="n">
        <v>4.6</v>
      </c>
      <c r="X137" s="97" t="n">
        <v>0.64</v>
      </c>
      <c r="Y137" s="97" t="n">
        <v>108.2</v>
      </c>
      <c r="Z137" s="97" t="n">
        <v>5</v>
      </c>
      <c r="AA137" s="92" t="inlineStr">
        <is>
          <t>WATCHLIST</t>
        </is>
      </c>
    </row>
    <row r="138">
      <c r="A138" s="99" t="inlineStr">
        <is>
          <t>JBMA</t>
        </is>
      </c>
      <c r="B138" s="99" t="inlineStr">
        <is>
          <t>JBM Auto Ltd.</t>
        </is>
      </c>
      <c r="C138" s="99" t="inlineStr">
        <is>
          <t>Automobile and Auto Components</t>
        </is>
      </c>
      <c r="D138" s="99" t="inlineStr">
        <is>
          <t>Smallcap</t>
        </is>
      </c>
      <c r="E138" s="99" t="n">
        <v>656.05</v>
      </c>
      <c r="F138" s="99" t="n">
        <v>-0.46</v>
      </c>
      <c r="G138" s="99" t="n">
        <v>225514</v>
      </c>
      <c r="H138" s="99" t="n">
        <v>0.65</v>
      </c>
      <c r="I138" s="99" t="n">
        <v>15515</v>
      </c>
      <c r="J138" s="99" t="inlineStr">
        <is>
          <t>Y</t>
        </is>
      </c>
      <c r="K138" s="99" t="inlineStr">
        <is>
          <t>N</t>
        </is>
      </c>
      <c r="L138" s="99" t="inlineStr">
        <is>
          <t>Y</t>
        </is>
      </c>
      <c r="M138" s="99" t="n">
        <v>34.7</v>
      </c>
      <c r="N138" s="99" t="inlineStr">
        <is>
          <t>N</t>
        </is>
      </c>
      <c r="O138" s="99" t="n">
        <v>18.37</v>
      </c>
      <c r="P138" s="99" t="inlineStr">
        <is>
          <t>N</t>
        </is>
      </c>
      <c r="Q138" s="99" t="inlineStr">
        <is>
          <t>N/A</t>
        </is>
      </c>
      <c r="R138" s="99" t="inlineStr">
        <is>
          <t>N</t>
        </is>
      </c>
      <c r="S138" s="99" t="n">
        <v>-4.3</v>
      </c>
      <c r="T138" s="99" t="n">
        <v>3.4</v>
      </c>
      <c r="U138" s="99" t="inlineStr">
        <is>
          <t>Y</t>
        </is>
      </c>
      <c r="V138" s="99" t="n">
        <v>70.90000000000001</v>
      </c>
      <c r="W138" s="99" t="n">
        <v>16</v>
      </c>
      <c r="X138" s="99" t="n">
        <v>190.28</v>
      </c>
      <c r="Y138" s="99" t="n">
        <v>34.7</v>
      </c>
      <c r="Z138" s="99" t="n">
        <v>5</v>
      </c>
      <c r="AA138" s="94" t="inlineStr">
        <is>
          <t>WATCHLIST</t>
        </is>
      </c>
    </row>
    <row r="139">
      <c r="A139" s="97" t="inlineStr">
        <is>
          <t>JSWCEMENT</t>
        </is>
      </c>
      <c r="B139" s="97" t="inlineStr">
        <is>
          <t>JSW Cement Ltd.</t>
        </is>
      </c>
      <c r="C139" s="97" t="inlineStr">
        <is>
          <t>Construction Materials</t>
        </is>
      </c>
      <c r="D139" s="97" t="inlineStr">
        <is>
          <t>Smallcap</t>
        </is>
      </c>
      <c r="E139" s="97" t="n">
        <v>132.12</v>
      </c>
      <c r="F139" s="97" t="n">
        <v>-1.29</v>
      </c>
      <c r="G139" s="97" t="n">
        <v>1298867</v>
      </c>
      <c r="H139" s="97" t="n">
        <v>0.59</v>
      </c>
      <c r="I139" s="97" t="n">
        <v>17721</v>
      </c>
      <c r="J139" s="97" t="inlineStr">
        <is>
          <t>Y</t>
        </is>
      </c>
      <c r="K139" s="97" t="inlineStr">
        <is>
          <t>Y</t>
        </is>
      </c>
      <c r="L139" s="97" t="inlineStr">
        <is>
          <t>Y</t>
        </is>
      </c>
      <c r="M139" s="97" t="n">
        <v>42.5</v>
      </c>
      <c r="N139" s="97" t="inlineStr">
        <is>
          <t>N</t>
        </is>
      </c>
      <c r="O139" s="97" t="n">
        <v>3.53</v>
      </c>
      <c r="P139" s="97" t="inlineStr">
        <is>
          <t>N</t>
        </is>
      </c>
      <c r="Q139" s="97" t="inlineStr">
        <is>
          <t>N/A</t>
        </is>
      </c>
      <c r="R139" s="97" t="inlineStr">
        <is>
          <t>N</t>
        </is>
      </c>
      <c r="S139" s="97" t="n">
        <v>0.4</v>
      </c>
      <c r="T139" s="97" t="n">
        <v>7.2</v>
      </c>
      <c r="U139" s="97" t="inlineStr">
        <is>
          <t>Y</t>
        </is>
      </c>
      <c r="V139" s="97" t="inlineStr">
        <is>
          <t>N/A</t>
        </is>
      </c>
      <c r="W139" s="97" t="n">
        <v>-18</v>
      </c>
      <c r="X139" s="97" t="n">
        <v>68.39</v>
      </c>
      <c r="Y139" s="97" t="n">
        <v>161.3</v>
      </c>
      <c r="Z139" s="97" t="n">
        <v>5</v>
      </c>
      <c r="AA139" s="92" t="inlineStr">
        <is>
          <t>WATCHLIST</t>
        </is>
      </c>
    </row>
    <row r="140">
      <c r="A140" s="99" t="inlineStr">
        <is>
          <t>JSL</t>
        </is>
      </c>
      <c r="B140" s="99" t="inlineStr">
        <is>
          <t>Jindal Stainless Ltd.</t>
        </is>
      </c>
      <c r="C140" s="99" t="inlineStr">
        <is>
          <t>Metals &amp; Mining</t>
        </is>
      </c>
      <c r="D140" s="99" t="inlineStr">
        <is>
          <t>Large/Midcap</t>
        </is>
      </c>
      <c r="E140" s="99" t="n">
        <v>714.25</v>
      </c>
      <c r="F140" s="99" t="n">
        <v>-2.94</v>
      </c>
      <c r="G140" s="99" t="n">
        <v>313931</v>
      </c>
      <c r="H140" s="99" t="n">
        <v>0.85</v>
      </c>
      <c r="I140" s="99" t="n">
        <v>58851</v>
      </c>
      <c r="J140" s="99" t="inlineStr">
        <is>
          <t>Y</t>
        </is>
      </c>
      <c r="K140" s="99" t="inlineStr">
        <is>
          <t>Y</t>
        </is>
      </c>
      <c r="L140" s="99" t="inlineStr">
        <is>
          <t>N</t>
        </is>
      </c>
      <c r="M140" s="99" t="n">
        <v>55.2</v>
      </c>
      <c r="N140" s="99" t="inlineStr">
        <is>
          <t>Y</t>
        </is>
      </c>
      <c r="O140" s="99" t="n">
        <v>16.71</v>
      </c>
      <c r="P140" s="99" t="inlineStr">
        <is>
          <t>N</t>
        </is>
      </c>
      <c r="Q140" s="99" t="inlineStr">
        <is>
          <t>N/A</t>
        </is>
      </c>
      <c r="R140" s="99" t="inlineStr">
        <is>
          <t>N</t>
        </is>
      </c>
      <c r="S140" s="99" t="n">
        <v>3.8</v>
      </c>
      <c r="T140" s="99" t="n">
        <v>-8.199999999999999</v>
      </c>
      <c r="U140" s="99" t="inlineStr">
        <is>
          <t>N</t>
        </is>
      </c>
      <c r="V140" s="99" t="n">
        <v>18.5</v>
      </c>
      <c r="W140" s="99" t="n">
        <v>17.4</v>
      </c>
      <c r="X140" s="99" t="n">
        <v>37.52</v>
      </c>
      <c r="Y140" s="99" t="n">
        <v>1.8</v>
      </c>
      <c r="Z140" s="99" t="n">
        <v>5</v>
      </c>
      <c r="AA140" s="94" t="inlineStr">
        <is>
          <t>WATCHLIST</t>
        </is>
      </c>
    </row>
    <row r="141">
      <c r="A141" s="97" t="inlineStr">
        <is>
          <t>KPRMILL</t>
        </is>
      </c>
      <c r="B141" s="97" t="inlineStr">
        <is>
          <t>K.P.R. Mill Ltd.</t>
        </is>
      </c>
      <c r="C141" s="97" t="inlineStr">
        <is>
          <t>Textiles</t>
        </is>
      </c>
      <c r="D141" s="97" t="inlineStr">
        <is>
          <t>Large/Midcap</t>
        </is>
      </c>
      <c r="E141" s="97" t="n">
        <v>1061.5</v>
      </c>
      <c r="F141" s="97" t="n">
        <v>2.72</v>
      </c>
      <c r="G141" s="97" t="n">
        <v>458555</v>
      </c>
      <c r="H141" s="97" t="n">
        <v>0.91</v>
      </c>
      <c r="I141" s="97" t="n">
        <v>36359</v>
      </c>
      <c r="J141" s="97" t="inlineStr">
        <is>
          <t>Y</t>
        </is>
      </c>
      <c r="K141" s="97" t="inlineStr">
        <is>
          <t>N</t>
        </is>
      </c>
      <c r="L141" s="97" t="inlineStr">
        <is>
          <t>Y</t>
        </is>
      </c>
      <c r="M141" s="97" t="n">
        <v>28.7</v>
      </c>
      <c r="N141" s="97" t="inlineStr">
        <is>
          <t>N</t>
        </is>
      </c>
      <c r="O141" s="97" t="n">
        <v>41.34</v>
      </c>
      <c r="P141" s="97" t="inlineStr">
        <is>
          <t>N</t>
        </is>
      </c>
      <c r="Q141" s="97" t="inlineStr">
        <is>
          <t>N/A</t>
        </is>
      </c>
      <c r="R141" s="97" t="inlineStr">
        <is>
          <t>N</t>
        </is>
      </c>
      <c r="S141" s="97" t="n">
        <v>-9.6</v>
      </c>
      <c r="T141" s="97" t="n">
        <v>15.3</v>
      </c>
      <c r="U141" s="97" t="inlineStr">
        <is>
          <t>Y</t>
        </is>
      </c>
      <c r="V141" s="97" t="n">
        <v>41.8</v>
      </c>
      <c r="W141" s="97" t="n">
        <v>16.2</v>
      </c>
      <c r="X141" s="97" t="n">
        <v>10.46</v>
      </c>
      <c r="Y141" s="97" t="n">
        <v>8.9</v>
      </c>
      <c r="Z141" s="97" t="n">
        <v>5</v>
      </c>
      <c r="AA141" s="92" t="inlineStr">
        <is>
          <t>WATCHLIST</t>
        </is>
      </c>
    </row>
    <row r="142">
      <c r="A142" s="99" t="inlineStr">
        <is>
          <t>KPITTECH</t>
        </is>
      </c>
      <c r="B142" s="99" t="inlineStr">
        <is>
          <t>KPIT Technologies Ltd.</t>
        </is>
      </c>
      <c r="C142" s="99" t="inlineStr">
        <is>
          <t>Information Technology</t>
        </is>
      </c>
      <c r="D142" s="99" t="inlineStr">
        <is>
          <t>Large/Midcap</t>
        </is>
      </c>
      <c r="E142" s="99" t="n">
        <v>583.2</v>
      </c>
      <c r="F142" s="99" t="n">
        <v>5.86</v>
      </c>
      <c r="G142" s="99" t="n">
        <v>9475364</v>
      </c>
      <c r="H142" s="99" t="n">
        <v>4.18</v>
      </c>
      <c r="I142" s="99" t="n">
        <v>15876</v>
      </c>
      <c r="J142" s="99" t="inlineStr">
        <is>
          <t>Y</t>
        </is>
      </c>
      <c r="K142" s="99" t="inlineStr">
        <is>
          <t>N</t>
        </is>
      </c>
      <c r="L142" s="99" t="inlineStr">
        <is>
          <t>N</t>
        </is>
      </c>
      <c r="M142" s="99" t="n">
        <v>60.1</v>
      </c>
      <c r="N142" s="99" t="inlineStr">
        <is>
          <t>Y</t>
        </is>
      </c>
      <c r="O142" s="99" t="n">
        <v>16.61</v>
      </c>
      <c r="P142" s="99" t="inlineStr">
        <is>
          <t>Y</t>
        </is>
      </c>
      <c r="Q142" s="99" t="inlineStr">
        <is>
          <t>N/A</t>
        </is>
      </c>
      <c r="R142" s="99" t="inlineStr">
        <is>
          <t>N</t>
        </is>
      </c>
      <c r="S142" s="99" t="n">
        <v>-20.4</v>
      </c>
      <c r="T142" s="99" t="n">
        <v>-20.6</v>
      </c>
      <c r="U142" s="99" t="inlineStr">
        <is>
          <t>N</t>
        </is>
      </c>
      <c r="V142" s="99" t="n">
        <v>25.1</v>
      </c>
      <c r="W142" s="99" t="n">
        <v>19.7</v>
      </c>
      <c r="X142" s="99" t="n">
        <v>23.62</v>
      </c>
      <c r="Y142" s="99" t="n">
        <v>22.3</v>
      </c>
      <c r="Z142" s="99" t="n">
        <v>5</v>
      </c>
      <c r="AA142" s="94" t="inlineStr">
        <is>
          <t>WATCHLIST</t>
        </is>
      </c>
    </row>
    <row r="143">
      <c r="A143" s="97" t="inlineStr">
        <is>
          <t>KAJARIACER</t>
        </is>
      </c>
      <c r="B143" s="97" t="inlineStr">
        <is>
          <t>Kajaria Ceramics Ltd.</t>
        </is>
      </c>
      <c r="C143" s="97" t="inlineStr">
        <is>
          <t>Consumer Durables</t>
        </is>
      </c>
      <c r="D143" s="97" t="inlineStr">
        <is>
          <t>Smallcap</t>
        </is>
      </c>
      <c r="E143" s="97" t="n">
        <v>1214.9</v>
      </c>
      <c r="F143" s="97" t="n">
        <v>0.44</v>
      </c>
      <c r="G143" s="97" t="n">
        <v>130038</v>
      </c>
      <c r="H143" s="97" t="n">
        <v>0.53</v>
      </c>
      <c r="I143" s="97" t="n">
        <v>19091</v>
      </c>
      <c r="J143" s="97" t="inlineStr">
        <is>
          <t>Y</t>
        </is>
      </c>
      <c r="K143" s="97" t="inlineStr">
        <is>
          <t>Y</t>
        </is>
      </c>
      <c r="L143" s="97" t="inlineStr">
        <is>
          <t>Y</t>
        </is>
      </c>
      <c r="M143" s="97" t="n">
        <v>49.7</v>
      </c>
      <c r="N143" s="97" t="inlineStr">
        <is>
          <t>N</t>
        </is>
      </c>
      <c r="O143" s="97" t="n">
        <v>28.04</v>
      </c>
      <c r="P143" s="97" t="inlineStr">
        <is>
          <t>N</t>
        </is>
      </c>
      <c r="Q143" s="97" t="inlineStr">
        <is>
          <t>N/A</t>
        </is>
      </c>
      <c r="R143" s="97" t="inlineStr">
        <is>
          <t>N</t>
        </is>
      </c>
      <c r="S143" s="97" t="n">
        <v>2.6</v>
      </c>
      <c r="T143" s="97" t="n">
        <v>-0.5</v>
      </c>
      <c r="U143" s="97" t="inlineStr">
        <is>
          <t>N</t>
        </is>
      </c>
      <c r="V143" s="97" t="n">
        <v>39.7</v>
      </c>
      <c r="W143" s="97" t="n">
        <v>16.5</v>
      </c>
      <c r="X143" s="97" t="n">
        <v>7.3</v>
      </c>
      <c r="Y143" s="97" t="n">
        <v>77.59999999999999</v>
      </c>
      <c r="Z143" s="97" t="n">
        <v>5</v>
      </c>
      <c r="AA143" s="92" t="inlineStr">
        <is>
          <t>WATCHLIST</t>
        </is>
      </c>
    </row>
    <row r="144">
      <c r="A144" s="99" t="inlineStr">
        <is>
          <t>KALYANKJIL</t>
        </is>
      </c>
      <c r="B144" s="99" t="inlineStr">
        <is>
          <t>Kalyan Jewellers India Ltd.</t>
        </is>
      </c>
      <c r="C144" s="99" t="inlineStr">
        <is>
          <t>Consumer Durables</t>
        </is>
      </c>
      <c r="D144" s="99" t="inlineStr">
        <is>
          <t>Large/Midcap</t>
        </is>
      </c>
      <c r="E144" s="99" t="n">
        <v>573.55</v>
      </c>
      <c r="F144" s="99" t="n">
        <v>-2.06</v>
      </c>
      <c r="G144" s="99" t="n">
        <v>11499577</v>
      </c>
      <c r="H144" s="99" t="n">
        <v>0.44</v>
      </c>
      <c r="I144" s="99" t="n">
        <v>59233</v>
      </c>
      <c r="J144" s="99" t="inlineStr">
        <is>
          <t>Y</t>
        </is>
      </c>
      <c r="K144" s="99" t="inlineStr">
        <is>
          <t>Y</t>
        </is>
      </c>
      <c r="L144" s="99" t="inlineStr">
        <is>
          <t>Y</t>
        </is>
      </c>
      <c r="M144" s="99" t="n">
        <v>81.8</v>
      </c>
      <c r="N144" s="99" t="inlineStr">
        <is>
          <t>N</t>
        </is>
      </c>
      <c r="O144" s="99" t="n">
        <v>33.09</v>
      </c>
      <c r="P144" s="99" t="inlineStr">
        <is>
          <t>N</t>
        </is>
      </c>
      <c r="Q144" s="99" t="inlineStr">
        <is>
          <t>N/A</t>
        </is>
      </c>
      <c r="R144" s="99" t="inlineStr">
        <is>
          <t>N</t>
        </is>
      </c>
      <c r="S144" s="99" t="n">
        <v>52.9</v>
      </c>
      <c r="T144" s="99" t="n">
        <v>39.6</v>
      </c>
      <c r="U144" s="99" t="inlineStr">
        <is>
          <t>Y</t>
        </is>
      </c>
      <c r="V144" s="99" t="n">
        <v>43.8</v>
      </c>
      <c r="W144" s="99" t="n">
        <v>24.3</v>
      </c>
      <c r="X144" s="99" t="n">
        <v>96.97</v>
      </c>
      <c r="Y144" s="99" t="n">
        <v>-1.6</v>
      </c>
      <c r="Z144" s="99" t="n">
        <v>5</v>
      </c>
      <c r="AA144" s="94" t="inlineStr">
        <is>
          <t>WATCHLIST</t>
        </is>
      </c>
    </row>
    <row r="145">
      <c r="A145" s="97" t="inlineStr">
        <is>
          <t>LTF</t>
        </is>
      </c>
      <c r="B145" s="97" t="inlineStr">
        <is>
          <t>L&amp;T Finance Ltd.</t>
        </is>
      </c>
      <c r="C145" s="97" t="inlineStr">
        <is>
          <t>Financial Services</t>
        </is>
      </c>
      <c r="D145" s="97" t="inlineStr">
        <is>
          <t>Large/Midcap</t>
        </is>
      </c>
      <c r="E145" s="97" t="n">
        <v>302.4</v>
      </c>
      <c r="F145" s="97" t="n">
        <v>-0.87</v>
      </c>
      <c r="G145" s="97" t="n">
        <v>2838253</v>
      </c>
      <c r="H145" s="97" t="n">
        <v>0.57</v>
      </c>
      <c r="I145" s="97" t="n">
        <v>75771</v>
      </c>
      <c r="J145" s="97" t="inlineStr">
        <is>
          <t>Y</t>
        </is>
      </c>
      <c r="K145" s="97" t="inlineStr">
        <is>
          <t>Y</t>
        </is>
      </c>
      <c r="L145" s="97" t="inlineStr">
        <is>
          <t>Y</t>
        </is>
      </c>
      <c r="M145" s="97" t="n">
        <v>20.8</v>
      </c>
      <c r="N145" s="97" t="inlineStr">
        <is>
          <t>N</t>
        </is>
      </c>
      <c r="O145" s="97" t="n">
        <v>10.18</v>
      </c>
      <c r="P145" s="97" t="inlineStr">
        <is>
          <t>N</t>
        </is>
      </c>
      <c r="Q145" s="97" t="inlineStr">
        <is>
          <t>N/A</t>
        </is>
      </c>
      <c r="R145" s="97" t="inlineStr">
        <is>
          <t>N</t>
        </is>
      </c>
      <c r="S145" s="97" t="n">
        <v>2.2</v>
      </c>
      <c r="T145" s="97" t="n">
        <v>7.6</v>
      </c>
      <c r="U145" s="97" t="inlineStr">
        <is>
          <t>Y</t>
        </is>
      </c>
      <c r="V145" s="97" t="n">
        <v>23.9</v>
      </c>
      <c r="W145" s="97" t="inlineStr">
        <is>
          <t>N/A</t>
        </is>
      </c>
      <c r="X145" s="97" t="n">
        <v>393.44</v>
      </c>
      <c r="Y145" s="97" t="n">
        <v>11.9</v>
      </c>
      <c r="Z145" s="97" t="n">
        <v>5</v>
      </c>
      <c r="AA145" s="92" t="inlineStr">
        <is>
          <t>WATCHLIST</t>
        </is>
      </c>
    </row>
    <row r="146">
      <c r="A146" s="99" t="inlineStr">
        <is>
          <t>THELEELA</t>
        </is>
      </c>
      <c r="B146" s="99" t="inlineStr">
        <is>
          <t>Leela Palaces Hotels &amp; Resorts Ltd.</t>
        </is>
      </c>
      <c r="C146" s="99" t="inlineStr">
        <is>
          <t>Consumer Services</t>
        </is>
      </c>
      <c r="D146" s="99" t="inlineStr">
        <is>
          <t>Smallcap</t>
        </is>
      </c>
      <c r="E146" s="99" t="n">
        <v>474.7</v>
      </c>
      <c r="F146" s="99" t="n">
        <v>-0.26</v>
      </c>
      <c r="G146" s="99" t="n">
        <v>153341</v>
      </c>
      <c r="H146" s="99" t="n">
        <v>0.6</v>
      </c>
      <c r="I146" s="99" t="n">
        <v>15853</v>
      </c>
      <c r="J146" s="99" t="inlineStr">
        <is>
          <t>Y</t>
        </is>
      </c>
      <c r="K146" s="99" t="inlineStr">
        <is>
          <t>Y</t>
        </is>
      </c>
      <c r="L146" s="99" t="inlineStr">
        <is>
          <t>Y</t>
        </is>
      </c>
      <c r="M146" s="99" t="n">
        <v>34.7</v>
      </c>
      <c r="N146" s="99" t="inlineStr">
        <is>
          <t>N</t>
        </is>
      </c>
      <c r="O146" s="99" t="n">
        <v>16.9</v>
      </c>
      <c r="P146" s="99" t="inlineStr">
        <is>
          <t>N</t>
        </is>
      </c>
      <c r="Q146" s="99" t="inlineStr">
        <is>
          <t>N/A</t>
        </is>
      </c>
      <c r="R146" s="99" t="inlineStr">
        <is>
          <t>N</t>
        </is>
      </c>
      <c r="S146" s="99" t="n">
        <v>-0.8</v>
      </c>
      <c r="T146" s="99" t="n">
        <v>13.6</v>
      </c>
      <c r="U146" s="99" t="inlineStr">
        <is>
          <t>Y</t>
        </is>
      </c>
      <c r="V146" s="99" t="n">
        <v>38.2</v>
      </c>
      <c r="W146" s="99" t="n">
        <v>8</v>
      </c>
      <c r="X146" s="99" t="n">
        <v>28.07</v>
      </c>
      <c r="Y146" s="99" t="n">
        <v>16.2</v>
      </c>
      <c r="Z146" s="99" t="n">
        <v>5</v>
      </c>
      <c r="AA146" s="94" t="inlineStr">
        <is>
          <t>WATCHLIST</t>
        </is>
      </c>
    </row>
    <row r="147">
      <c r="A147" s="97" t="inlineStr">
        <is>
          <t>LENSKART</t>
        </is>
      </c>
      <c r="B147" s="97" t="inlineStr">
        <is>
          <t>Lenskart Solutions Ltd.</t>
        </is>
      </c>
      <c r="C147" s="97" t="inlineStr">
        <is>
          <t>Consumer Services</t>
        </is>
      </c>
      <c r="D147" s="97" t="inlineStr">
        <is>
          <t>Large/Midcap</t>
        </is>
      </c>
      <c r="E147" s="97" t="n">
        <v>555.9</v>
      </c>
      <c r="F147" s="97" t="n">
        <v>-0.27</v>
      </c>
      <c r="G147" s="97" t="n">
        <v>2426138</v>
      </c>
      <c r="H147" s="97" t="n">
        <v>0.42</v>
      </c>
      <c r="I147" s="97" t="n">
        <v>96251</v>
      </c>
      <c r="J147" s="97" t="inlineStr">
        <is>
          <t>Y</t>
        </is>
      </c>
      <c r="K147" s="97" t="inlineStr">
        <is>
          <t>Y</t>
        </is>
      </c>
      <c r="L147" s="97" t="inlineStr">
        <is>
          <t>N/A</t>
        </is>
      </c>
      <c r="M147" s="97" t="n">
        <v>65.09999999999999</v>
      </c>
      <c r="N147" s="97" t="inlineStr">
        <is>
          <t>Y</t>
        </is>
      </c>
      <c r="O147" s="97" t="n">
        <v>16.01</v>
      </c>
      <c r="P147" s="97" t="inlineStr">
        <is>
          <t>N</t>
        </is>
      </c>
      <c r="Q147" s="97" t="inlineStr">
        <is>
          <t>N/A</t>
        </is>
      </c>
      <c r="R147" s="97" t="inlineStr">
        <is>
          <t>N</t>
        </is>
      </c>
      <c r="S147" s="97" t="n">
        <v>10.3</v>
      </c>
      <c r="T147" s="97" t="n">
        <v>7.5</v>
      </c>
      <c r="U147" s="97" t="inlineStr">
        <is>
          <t>Y</t>
        </is>
      </c>
      <c r="V147" s="97" t="n">
        <v>192.4</v>
      </c>
      <c r="W147" s="97" t="n">
        <v>6.7</v>
      </c>
      <c r="X147" s="97" t="n">
        <v>34.98</v>
      </c>
      <c r="Y147" s="97" t="n">
        <v>52.9</v>
      </c>
      <c r="Z147" s="97" t="n">
        <v>5</v>
      </c>
      <c r="AA147" s="92" t="inlineStr">
        <is>
          <t>WATCHLIST</t>
        </is>
      </c>
    </row>
    <row r="148">
      <c r="A148" s="99" t="inlineStr">
        <is>
          <t>M&amp;MFIN</t>
        </is>
      </c>
      <c r="B148" s="99" t="inlineStr">
        <is>
          <t>Mahindra &amp; Mahindra Financial Services Ltd.</t>
        </is>
      </c>
      <c r="C148" s="99" t="inlineStr">
        <is>
          <t>Financial Services</t>
        </is>
      </c>
      <c r="D148" s="99" t="inlineStr">
        <is>
          <t>Large/Midcap</t>
        </is>
      </c>
      <c r="E148" s="99" t="n">
        <v>356.5</v>
      </c>
      <c r="F148" s="99" t="n">
        <v>-3.74</v>
      </c>
      <c r="G148" s="99" t="n">
        <v>4252062</v>
      </c>
      <c r="H148" s="99" t="n">
        <v>0.15</v>
      </c>
      <c r="I148" s="99" t="n">
        <v>49537</v>
      </c>
      <c r="J148" s="99" t="inlineStr">
        <is>
          <t>Y</t>
        </is>
      </c>
      <c r="K148" s="99" t="inlineStr">
        <is>
          <t>Y</t>
        </is>
      </c>
      <c r="L148" s="99" t="inlineStr">
        <is>
          <t>Y</t>
        </is>
      </c>
      <c r="M148" s="99" t="n">
        <v>65.59999999999999</v>
      </c>
      <c r="N148" s="99" t="inlineStr">
        <is>
          <t>Y</t>
        </is>
      </c>
      <c r="O148" s="99" t="n">
        <v>14.38</v>
      </c>
      <c r="P148" s="99" t="inlineStr">
        <is>
          <t>N</t>
        </is>
      </c>
      <c r="Q148" s="99" t="inlineStr">
        <is>
          <t>N/A</t>
        </is>
      </c>
      <c r="R148" s="99" t="inlineStr">
        <is>
          <t>N</t>
        </is>
      </c>
      <c r="S148" s="99" t="n">
        <v>12</v>
      </c>
      <c r="T148" s="99" t="n">
        <v>14.4</v>
      </c>
      <c r="U148" s="99" t="inlineStr">
        <is>
          <t>Y</t>
        </is>
      </c>
      <c r="V148" s="99" t="n">
        <v>15.2</v>
      </c>
      <c r="W148" s="99" t="inlineStr">
        <is>
          <t>N/A</t>
        </is>
      </c>
      <c r="X148" s="99" t="n">
        <v>429.85</v>
      </c>
      <c r="Y148" s="99" t="n">
        <v>-1.3</v>
      </c>
      <c r="Z148" s="99" t="n">
        <v>5</v>
      </c>
      <c r="AA148" s="94" t="inlineStr">
        <is>
          <t>WATCHLIST</t>
        </is>
      </c>
    </row>
    <row r="149">
      <c r="A149" s="97" t="inlineStr">
        <is>
          <t>MRPL</t>
        </is>
      </c>
      <c r="B149" s="97" t="inlineStr">
        <is>
          <t>Mangalore Refinery &amp; Petrochemicals Ltd.</t>
        </is>
      </c>
      <c r="C149" s="97" t="inlineStr">
        <is>
          <t>Oil Gas &amp; Consumable Fuels</t>
        </is>
      </c>
      <c r="D149" s="97" t="inlineStr">
        <is>
          <t>Smallcap</t>
        </is>
      </c>
      <c r="E149" s="97" t="n">
        <v>169.75</v>
      </c>
      <c r="F149" s="97" t="n">
        <v>-3.52</v>
      </c>
      <c r="G149" s="97" t="n">
        <v>9099976</v>
      </c>
      <c r="H149" s="97" t="n">
        <v>0.42</v>
      </c>
      <c r="I149" s="97" t="n">
        <v>29750</v>
      </c>
      <c r="J149" s="97" t="inlineStr">
        <is>
          <t>Y</t>
        </is>
      </c>
      <c r="K149" s="97" t="inlineStr">
        <is>
          <t>Y</t>
        </is>
      </c>
      <c r="L149" s="97" t="inlineStr">
        <is>
          <t>Y</t>
        </is>
      </c>
      <c r="M149" s="97" t="n">
        <v>64.5</v>
      </c>
      <c r="N149" s="97" t="inlineStr">
        <is>
          <t>Y</t>
        </is>
      </c>
      <c r="O149" s="97" t="n">
        <v>9.1</v>
      </c>
      <c r="P149" s="97" t="inlineStr">
        <is>
          <t>N</t>
        </is>
      </c>
      <c r="Q149" s="97" t="inlineStr">
        <is>
          <t>N/A</t>
        </is>
      </c>
      <c r="R149" s="97" t="inlineStr">
        <is>
          <t>N</t>
        </is>
      </c>
      <c r="S149" s="97" t="n">
        <v>11.3</v>
      </c>
      <c r="T149" s="97" t="n">
        <v>-1.5</v>
      </c>
      <c r="U149" s="97" t="inlineStr">
        <is>
          <t>N</t>
        </is>
      </c>
      <c r="V149" s="97" t="n">
        <v>9.5</v>
      </c>
      <c r="W149" s="97" t="inlineStr">
        <is>
          <t>N/A</t>
        </is>
      </c>
      <c r="X149" s="97" t="n">
        <v>108.06</v>
      </c>
      <c r="Y149" s="97" t="n">
        <v>708.5</v>
      </c>
      <c r="Z149" s="97" t="n">
        <v>5</v>
      </c>
      <c r="AA149" s="92" t="inlineStr">
        <is>
          <t>WATCHLIST</t>
        </is>
      </c>
    </row>
    <row r="150">
      <c r="A150" s="99" t="inlineStr">
        <is>
          <t>MANKIND</t>
        </is>
      </c>
      <c r="B150" s="99" t="inlineStr">
        <is>
          <t>Mankind Pharma Ltd.</t>
        </is>
      </c>
      <c r="C150" s="99" t="inlineStr">
        <is>
          <t>Healthcare</t>
        </is>
      </c>
      <c r="D150" s="99" t="inlineStr">
        <is>
          <t>Large/Midcap</t>
        </is>
      </c>
      <c r="E150" s="99" t="n">
        <v>2507.2</v>
      </c>
      <c r="F150" s="99" t="n">
        <v>-1.96</v>
      </c>
      <c r="G150" s="99" t="n">
        <v>186027</v>
      </c>
      <c r="H150" s="99" t="n">
        <v>0.8</v>
      </c>
      <c r="I150" s="99" t="n">
        <v>103546</v>
      </c>
      <c r="J150" s="99" t="inlineStr">
        <is>
          <t>Y</t>
        </is>
      </c>
      <c r="K150" s="99" t="inlineStr">
        <is>
          <t>Y</t>
        </is>
      </c>
      <c r="L150" s="99" t="inlineStr">
        <is>
          <t>Y</t>
        </is>
      </c>
      <c r="M150" s="99" t="n">
        <v>45.8</v>
      </c>
      <c r="N150" s="99" t="inlineStr">
        <is>
          <t>N</t>
        </is>
      </c>
      <c r="O150" s="99" t="n">
        <v>65.34</v>
      </c>
      <c r="P150" s="99" t="inlineStr">
        <is>
          <t>N</t>
        </is>
      </c>
      <c r="Q150" s="99" t="inlineStr">
        <is>
          <t>N/A</t>
        </is>
      </c>
      <c r="R150" s="99" t="inlineStr">
        <is>
          <t>N</t>
        </is>
      </c>
      <c r="S150" s="99" t="n">
        <v>2.9</v>
      </c>
      <c r="T150" s="99" t="n">
        <v>11.3</v>
      </c>
      <c r="U150" s="99" t="inlineStr">
        <is>
          <t>Y</t>
        </is>
      </c>
      <c r="V150" s="99" t="n">
        <v>54.1</v>
      </c>
      <c r="W150" s="99" t="n">
        <v>12.5</v>
      </c>
      <c r="X150" s="99" t="n">
        <v>38.11</v>
      </c>
      <c r="Y150" s="99" t="n">
        <v>35.6</v>
      </c>
      <c r="Z150" s="99" t="n">
        <v>5</v>
      </c>
      <c r="AA150" s="94" t="inlineStr">
        <is>
          <t>WATCHLIST</t>
        </is>
      </c>
    </row>
    <row r="151">
      <c r="A151" s="97" t="inlineStr">
        <is>
          <t>MAXHEALTH</t>
        </is>
      </c>
      <c r="B151" s="97" t="inlineStr">
        <is>
          <t>Max Healthcare Institute Ltd.</t>
        </is>
      </c>
      <c r="C151" s="97" t="inlineStr">
        <is>
          <t>Healthcare</t>
        </is>
      </c>
      <c r="D151" s="97" t="inlineStr">
        <is>
          <t>Large/Midcap</t>
        </is>
      </c>
      <c r="E151" s="97" t="n">
        <v>1080.4</v>
      </c>
      <c r="F151" s="97" t="n">
        <v>-0.35</v>
      </c>
      <c r="G151" s="97" t="n">
        <v>983063</v>
      </c>
      <c r="H151" s="97" t="n">
        <v>0.63</v>
      </c>
      <c r="I151" s="97" t="n">
        <v>105149</v>
      </c>
      <c r="J151" s="97" t="inlineStr">
        <is>
          <t>Y</t>
        </is>
      </c>
      <c r="K151" s="97" t="inlineStr">
        <is>
          <t>Y</t>
        </is>
      </c>
      <c r="L151" s="97" t="inlineStr">
        <is>
          <t>Y</t>
        </is>
      </c>
      <c r="M151" s="97" t="n">
        <v>32.6</v>
      </c>
      <c r="N151" s="97" t="inlineStr">
        <is>
          <t>N</t>
        </is>
      </c>
      <c r="O151" s="97" t="n">
        <v>26.31</v>
      </c>
      <c r="P151" s="97" t="inlineStr">
        <is>
          <t>N</t>
        </is>
      </c>
      <c r="Q151" s="97" t="inlineStr">
        <is>
          <t>N/A</t>
        </is>
      </c>
      <c r="R151" s="97" t="inlineStr">
        <is>
          <t>N</t>
        </is>
      </c>
      <c r="S151" s="97" t="n">
        <v>-2.6</v>
      </c>
      <c r="T151" s="97" t="n">
        <v>8.1</v>
      </c>
      <c r="U151" s="97" t="inlineStr">
        <is>
          <t>Y</t>
        </is>
      </c>
      <c r="V151" s="97" t="n">
        <v>73</v>
      </c>
      <c r="W151" s="97" t="n">
        <v>14.3</v>
      </c>
      <c r="X151" s="97" t="n">
        <v>32.37</v>
      </c>
      <c r="Y151" s="97" t="n">
        <v>13.7</v>
      </c>
      <c r="Z151" s="97" t="n">
        <v>5</v>
      </c>
      <c r="AA151" s="92" t="inlineStr">
        <is>
          <t>WATCHLIST</t>
        </is>
      </c>
    </row>
    <row r="152">
      <c r="A152" s="99" t="inlineStr">
        <is>
          <t>MINDACORP</t>
        </is>
      </c>
      <c r="B152" s="99" t="inlineStr">
        <is>
          <t>Minda Corporation Ltd.</t>
        </is>
      </c>
      <c r="C152" s="99" t="inlineStr">
        <is>
          <t>Automobile and Auto Components</t>
        </is>
      </c>
      <c r="D152" s="99" t="inlineStr">
        <is>
          <t>Smallcap</t>
        </is>
      </c>
      <c r="E152" s="99" t="n">
        <v>676.45</v>
      </c>
      <c r="F152" s="99" t="n">
        <v>2.84</v>
      </c>
      <c r="G152" s="99" t="n">
        <v>192716</v>
      </c>
      <c r="H152" s="99" t="n">
        <v>1.29</v>
      </c>
      <c r="I152" s="99" t="n">
        <v>15921</v>
      </c>
      <c r="J152" s="99" t="inlineStr">
        <is>
          <t>Y</t>
        </is>
      </c>
      <c r="K152" s="99" t="inlineStr">
        <is>
          <t>Y</t>
        </is>
      </c>
      <c r="L152" s="99" t="inlineStr">
        <is>
          <t>Y</t>
        </is>
      </c>
      <c r="M152" s="99" t="n">
        <v>42.6</v>
      </c>
      <c r="N152" s="99" t="inlineStr">
        <is>
          <t>N</t>
        </is>
      </c>
      <c r="O152" s="99" t="n">
        <v>20.44</v>
      </c>
      <c r="P152" s="99" t="inlineStr">
        <is>
          <t>N</t>
        </is>
      </c>
      <c r="Q152" s="99" t="inlineStr">
        <is>
          <t>N/A</t>
        </is>
      </c>
      <c r="R152" s="99" t="inlineStr">
        <is>
          <t>N</t>
        </is>
      </c>
      <c r="S152" s="99" t="n">
        <v>2</v>
      </c>
      <c r="T152" s="99" t="n">
        <v>30.7</v>
      </c>
      <c r="U152" s="99" t="inlineStr">
        <is>
          <t>Y</t>
        </is>
      </c>
      <c r="V152" s="99" t="n">
        <v>44.9</v>
      </c>
      <c r="W152" s="99" t="n">
        <v>14.7</v>
      </c>
      <c r="X152" s="99" t="n">
        <v>55.35</v>
      </c>
      <c r="Y152" s="99" t="n">
        <v>45.4</v>
      </c>
      <c r="Z152" s="99" t="n">
        <v>5</v>
      </c>
      <c r="AA152" s="94" t="inlineStr">
        <is>
          <t>WATCHLIST</t>
        </is>
      </c>
    </row>
    <row r="153">
      <c r="A153" s="97" t="inlineStr">
        <is>
          <t>MSUMI</t>
        </is>
      </c>
      <c r="B153" s="97" t="inlineStr">
        <is>
          <t>Motherson Sumi Wiring India Ltd.</t>
        </is>
      </c>
      <c r="C153" s="97" t="inlineStr">
        <is>
          <t>Automobile and Auto Components</t>
        </is>
      </c>
      <c r="D153" s="97" t="inlineStr">
        <is>
          <t>Smallcap</t>
        </is>
      </c>
      <c r="E153" s="97" t="n">
        <v>40.11</v>
      </c>
      <c r="F153" s="97" t="n">
        <v>0.45</v>
      </c>
      <c r="G153" s="97" t="n">
        <v>3663165</v>
      </c>
      <c r="H153" s="97" t="n">
        <v>0.66</v>
      </c>
      <c r="I153" s="97" t="n">
        <v>26600</v>
      </c>
      <c r="J153" s="97" t="inlineStr">
        <is>
          <t>Y</t>
        </is>
      </c>
      <c r="K153" s="97" t="inlineStr">
        <is>
          <t>Y</t>
        </is>
      </c>
      <c r="L153" s="97" t="inlineStr">
        <is>
          <t>N</t>
        </is>
      </c>
      <c r="M153" s="97" t="n">
        <v>46.2</v>
      </c>
      <c r="N153" s="97" t="inlineStr">
        <is>
          <t>N</t>
        </is>
      </c>
      <c r="O153" s="97" t="n">
        <v>0.97</v>
      </c>
      <c r="P153" s="97" t="inlineStr">
        <is>
          <t>N</t>
        </is>
      </c>
      <c r="Q153" s="97" t="inlineStr">
        <is>
          <t>N/A</t>
        </is>
      </c>
      <c r="R153" s="97" t="inlineStr">
        <is>
          <t>N</t>
        </is>
      </c>
      <c r="S153" s="97" t="n">
        <v>-0.3</v>
      </c>
      <c r="T153" s="97" t="n">
        <v>3.5</v>
      </c>
      <c r="U153" s="97" t="inlineStr">
        <is>
          <t>Y</t>
        </is>
      </c>
      <c r="V153" s="97" t="n">
        <v>42.7</v>
      </c>
      <c r="W153" s="97" t="n">
        <v>32.4</v>
      </c>
      <c r="X153" s="97" t="n">
        <v>10.79</v>
      </c>
      <c r="Y153" s="97" t="n">
        <v>12</v>
      </c>
      <c r="Z153" s="97" t="n">
        <v>5</v>
      </c>
      <c r="AA153" s="92" t="inlineStr">
        <is>
          <t>WATCHLIST</t>
        </is>
      </c>
    </row>
    <row r="154">
      <c r="A154" s="99" t="inlineStr">
        <is>
          <t>MOTILALOFS</t>
        </is>
      </c>
      <c r="B154" s="99" t="inlineStr">
        <is>
          <t>Motilal Oswal Financial Services Ltd.</t>
        </is>
      </c>
      <c r="C154" s="99" t="inlineStr">
        <is>
          <t>Financial Services</t>
        </is>
      </c>
      <c r="D154" s="99" t="inlineStr">
        <is>
          <t>Large/Midcap</t>
        </is>
      </c>
      <c r="E154" s="99" t="n">
        <v>871.95</v>
      </c>
      <c r="F154" s="99" t="n">
        <v>-7.26</v>
      </c>
      <c r="G154" s="99" t="n">
        <v>14328752</v>
      </c>
      <c r="H154" s="99" t="n">
        <v>27.31</v>
      </c>
      <c r="I154" s="99" t="n">
        <v>52504</v>
      </c>
      <c r="J154" s="99" t="inlineStr">
        <is>
          <t>Y</t>
        </is>
      </c>
      <c r="K154" s="99" t="inlineStr">
        <is>
          <t>N</t>
        </is>
      </c>
      <c r="L154" s="99" t="inlineStr">
        <is>
          <t>Y</t>
        </is>
      </c>
      <c r="M154" s="99" t="n">
        <v>34.7</v>
      </c>
      <c r="N154" s="99" t="inlineStr">
        <is>
          <t>N</t>
        </is>
      </c>
      <c r="O154" s="99" t="n">
        <v>33.65</v>
      </c>
      <c r="P154" s="99" t="inlineStr">
        <is>
          <t>Y</t>
        </is>
      </c>
      <c r="Q154" s="99" t="inlineStr">
        <is>
          <t>N/A</t>
        </is>
      </c>
      <c r="R154" s="99" t="inlineStr">
        <is>
          <t>N</t>
        </is>
      </c>
      <c r="S154" s="99" t="n">
        <v>-6.8</v>
      </c>
      <c r="T154" s="99" t="n">
        <v>11.6</v>
      </c>
      <c r="U154" s="99" t="inlineStr">
        <is>
          <t>Y</t>
        </is>
      </c>
      <c r="V154" s="99" t="n">
        <v>27</v>
      </c>
      <c r="W154" s="99" t="inlineStr">
        <is>
          <t>N/A</t>
        </is>
      </c>
      <c r="X154" s="99" t="n">
        <v>165.8</v>
      </c>
      <c r="Y154" s="99" t="n">
        <v>675.3</v>
      </c>
      <c r="Z154" s="99" t="n">
        <v>5</v>
      </c>
      <c r="AA154" s="94" t="inlineStr">
        <is>
          <t>WATCHLIST</t>
        </is>
      </c>
    </row>
    <row r="155">
      <c r="A155" s="97" t="inlineStr">
        <is>
          <t>MCX</t>
        </is>
      </c>
      <c r="B155" s="97" t="inlineStr">
        <is>
          <t>Multi Commodity Exchange of India Ltd.</t>
        </is>
      </c>
      <c r="C155" s="97" t="inlineStr">
        <is>
          <t>Financial Services</t>
        </is>
      </c>
      <c r="D155" s="97" t="inlineStr">
        <is>
          <t>Large/Midcap</t>
        </is>
      </c>
      <c r="E155" s="97" t="n">
        <v>2730</v>
      </c>
      <c r="F155" s="97" t="n">
        <v>-0.82</v>
      </c>
      <c r="G155" s="97" t="n">
        <v>1157955</v>
      </c>
      <c r="H155" s="97" t="n">
        <v>0.91</v>
      </c>
      <c r="I155" s="97" t="n">
        <v>69482</v>
      </c>
      <c r="J155" s="97" t="inlineStr">
        <is>
          <t>Y</t>
        </is>
      </c>
      <c r="K155" s="97" t="inlineStr">
        <is>
          <t>N</t>
        </is>
      </c>
      <c r="L155" s="97" t="inlineStr">
        <is>
          <t>Y</t>
        </is>
      </c>
      <c r="M155" s="97" t="n">
        <v>50.5</v>
      </c>
      <c r="N155" s="97" t="inlineStr">
        <is>
          <t>Y</t>
        </is>
      </c>
      <c r="O155" s="97" t="n">
        <v>92.64</v>
      </c>
      <c r="P155" s="97" t="inlineStr">
        <is>
          <t>N</t>
        </is>
      </c>
      <c r="Q155" s="97" t="inlineStr">
        <is>
          <t>N/A</t>
        </is>
      </c>
      <c r="R155" s="97" t="inlineStr">
        <is>
          <t>N</t>
        </is>
      </c>
      <c r="S155" s="97" t="n">
        <v>-2.5</v>
      </c>
      <c r="T155" s="97" t="n">
        <v>-7.5</v>
      </c>
      <c r="U155" s="97" t="inlineStr">
        <is>
          <t>N</t>
        </is>
      </c>
      <c r="V155" s="97" t="n">
        <v>52.4</v>
      </c>
      <c r="W155" s="97" t="n">
        <v>37.9</v>
      </c>
      <c r="X155" s="97" t="n">
        <v>0.11</v>
      </c>
      <c r="Y155" s="97" t="n">
        <v>32.1</v>
      </c>
      <c r="Z155" s="97" t="n">
        <v>5</v>
      </c>
      <c r="AA155" s="92" t="inlineStr">
        <is>
          <t>WATCHLIST</t>
        </is>
      </c>
    </row>
    <row r="156">
      <c r="A156" s="99" t="inlineStr">
        <is>
          <t>NUVOCO</t>
        </is>
      </c>
      <c r="B156" s="99" t="inlineStr">
        <is>
          <t>Nuvoco Vistas Corporation Ltd.</t>
        </is>
      </c>
      <c r="C156" s="99" t="inlineStr">
        <is>
          <t>Construction Materials</t>
        </is>
      </c>
      <c r="D156" s="99" t="inlineStr">
        <is>
          <t>Smallcap</t>
        </is>
      </c>
      <c r="E156" s="99" t="n">
        <v>356.05</v>
      </c>
      <c r="F156" s="99" t="n">
        <v>-1.6</v>
      </c>
      <c r="G156" s="99" t="n">
        <v>495896</v>
      </c>
      <c r="H156" s="99" t="n">
        <v>0.25</v>
      </c>
      <c r="I156" s="99" t="n">
        <v>12717</v>
      </c>
      <c r="J156" s="99" t="inlineStr">
        <is>
          <t>Y</t>
        </is>
      </c>
      <c r="K156" s="99" t="inlineStr">
        <is>
          <t>Y</t>
        </is>
      </c>
      <c r="L156" s="99" t="inlineStr">
        <is>
          <t>Y</t>
        </is>
      </c>
      <c r="M156" s="99" t="n">
        <v>63.6</v>
      </c>
      <c r="N156" s="99" t="inlineStr">
        <is>
          <t>Y</t>
        </is>
      </c>
      <c r="O156" s="99" t="n">
        <v>19.74</v>
      </c>
      <c r="P156" s="99" t="inlineStr">
        <is>
          <t>N</t>
        </is>
      </c>
      <c r="Q156" s="99" t="inlineStr">
        <is>
          <t>N/A</t>
        </is>
      </c>
      <c r="R156" s="99" t="inlineStr">
        <is>
          <t>N</t>
        </is>
      </c>
      <c r="S156" s="99" t="n">
        <v>17.3</v>
      </c>
      <c r="T156" s="99" t="n">
        <v>24.7</v>
      </c>
      <c r="U156" s="99" t="inlineStr">
        <is>
          <t>Y</t>
        </is>
      </c>
      <c r="V156" s="99" t="n">
        <v>32.9</v>
      </c>
      <c r="W156" s="99" t="inlineStr">
        <is>
          <t>N/A</t>
        </is>
      </c>
      <c r="X156" s="99" t="n">
        <v>48.06</v>
      </c>
      <c r="Y156" s="99" t="n"/>
      <c r="Z156" s="99" t="n">
        <v>5</v>
      </c>
      <c r="AA156" s="94" t="inlineStr">
        <is>
          <t>WATCHLIST</t>
        </is>
      </c>
    </row>
    <row r="157">
      <c r="A157" s="97" t="inlineStr">
        <is>
          <t>OIL</t>
        </is>
      </c>
      <c r="B157" s="97" t="inlineStr">
        <is>
          <t>Oil India Ltd.</t>
        </is>
      </c>
      <c r="C157" s="97" t="inlineStr">
        <is>
          <t>Oil Gas &amp; Consumable Fuels</t>
        </is>
      </c>
      <c r="D157" s="97" t="inlineStr">
        <is>
          <t>Large/Midcap</t>
        </is>
      </c>
      <c r="E157" s="97" t="n">
        <v>449.75</v>
      </c>
      <c r="F157" s="97" t="n">
        <v>-1.97</v>
      </c>
      <c r="G157" s="97" t="n">
        <v>2893431</v>
      </c>
      <c r="H157" s="97" t="n">
        <v>0.99</v>
      </c>
      <c r="I157" s="97" t="n">
        <v>73157</v>
      </c>
      <c r="J157" s="97" t="inlineStr">
        <is>
          <t>Y</t>
        </is>
      </c>
      <c r="K157" s="97" t="inlineStr">
        <is>
          <t>Y</t>
        </is>
      </c>
      <c r="L157" s="97" t="inlineStr">
        <is>
          <t>Y</t>
        </is>
      </c>
      <c r="M157" s="97" t="n">
        <v>61.9</v>
      </c>
      <c r="N157" s="97" t="inlineStr">
        <is>
          <t>Y</t>
        </is>
      </c>
      <c r="O157" s="97" t="n">
        <v>10.69</v>
      </c>
      <c r="P157" s="97" t="inlineStr">
        <is>
          <t>N</t>
        </is>
      </c>
      <c r="Q157" s="97" t="inlineStr">
        <is>
          <t>N/A</t>
        </is>
      </c>
      <c r="R157" s="97" t="inlineStr">
        <is>
          <t>N</t>
        </is>
      </c>
      <c r="S157" s="97" t="n">
        <v>11.6</v>
      </c>
      <c r="T157" s="97" t="n">
        <v>-8.199999999999999</v>
      </c>
      <c r="U157" s="97" t="inlineStr">
        <is>
          <t>N</t>
        </is>
      </c>
      <c r="V157" s="97" t="n">
        <v>11.1</v>
      </c>
      <c r="W157" s="97" t="n">
        <v>12.7</v>
      </c>
      <c r="X157" s="97" t="n">
        <v>58.74</v>
      </c>
      <c r="Y157" s="97" t="n">
        <v>75.7</v>
      </c>
      <c r="Z157" s="97" t="n">
        <v>5</v>
      </c>
      <c r="AA157" s="92" t="inlineStr">
        <is>
          <t>WATCHLIST</t>
        </is>
      </c>
    </row>
    <row r="158">
      <c r="A158" s="99" t="inlineStr">
        <is>
          <t>OFSS</t>
        </is>
      </c>
      <c r="B158" s="99" t="inlineStr">
        <is>
          <t>Oracle Financial Services Software Ltd.</t>
        </is>
      </c>
      <c r="C158" s="99" t="inlineStr">
        <is>
          <t>Information Technology</t>
        </is>
      </c>
      <c r="D158" s="99" t="inlineStr">
        <is>
          <t>Large/Midcap</t>
        </is>
      </c>
      <c r="E158" s="99" t="n">
        <v>10652</v>
      </c>
      <c r="F158" s="99" t="n">
        <v>-1.76</v>
      </c>
      <c r="G158" s="99" t="n">
        <v>452845</v>
      </c>
      <c r="H158" s="99" t="n">
        <v>0.34</v>
      </c>
      <c r="I158" s="99" t="n">
        <v>92753</v>
      </c>
      <c r="J158" s="99" t="inlineStr">
        <is>
          <t>Y</t>
        </is>
      </c>
      <c r="K158" s="99" t="inlineStr">
        <is>
          <t>Y</t>
        </is>
      </c>
      <c r="L158" s="99" t="inlineStr">
        <is>
          <t>Y</t>
        </is>
      </c>
      <c r="M158" s="99" t="n">
        <v>40.8</v>
      </c>
      <c r="N158" s="99" t="inlineStr">
        <is>
          <t>N</t>
        </is>
      </c>
      <c r="O158" s="99" t="n">
        <v>460.14</v>
      </c>
      <c r="P158" s="99" t="inlineStr">
        <is>
          <t>N</t>
        </is>
      </c>
      <c r="Q158" s="99" t="inlineStr">
        <is>
          <t>N/A</t>
        </is>
      </c>
      <c r="R158" s="99" t="inlineStr">
        <is>
          <t>N</t>
        </is>
      </c>
      <c r="S158" s="99" t="n">
        <v>-1.9</v>
      </c>
      <c r="T158" s="99" t="n">
        <v>13.6</v>
      </c>
      <c r="U158" s="99" t="inlineStr">
        <is>
          <t>Y</t>
        </is>
      </c>
      <c r="V158" s="99" t="n">
        <v>27.2</v>
      </c>
      <c r="W158" s="99" t="inlineStr">
        <is>
          <t>N/A</t>
        </is>
      </c>
      <c r="X158" s="99" t="n">
        <v>0.41</v>
      </c>
      <c r="Y158" s="99" t="n">
        <v>68.2</v>
      </c>
      <c r="Z158" s="99" t="n">
        <v>5</v>
      </c>
      <c r="AA158" s="94" t="inlineStr">
        <is>
          <t>WATCHLIST</t>
        </is>
      </c>
    </row>
    <row r="159">
      <c r="A159" s="97" t="inlineStr">
        <is>
          <t>PCBL</t>
        </is>
      </c>
      <c r="B159" s="97" t="inlineStr">
        <is>
          <t>PCBL Chemical Ltd.</t>
        </is>
      </c>
      <c r="C159" s="97" t="inlineStr">
        <is>
          <t>Chemicals</t>
        </is>
      </c>
      <c r="D159" s="97" t="inlineStr">
        <is>
          <t>Smallcap</t>
        </is>
      </c>
      <c r="E159" s="97" t="n">
        <v>317.9</v>
      </c>
      <c r="F159" s="97" t="n">
        <v>-0.53</v>
      </c>
      <c r="G159" s="97" t="n">
        <v>1308687</v>
      </c>
      <c r="H159" s="97" t="n">
        <v>1.04</v>
      </c>
      <c r="I159" s="97" t="n">
        <v>12508</v>
      </c>
      <c r="J159" s="97" t="inlineStr">
        <is>
          <t>Y</t>
        </is>
      </c>
      <c r="K159" s="97" t="inlineStr">
        <is>
          <t>Y</t>
        </is>
      </c>
      <c r="L159" s="97" t="inlineStr">
        <is>
          <t>Y</t>
        </is>
      </c>
      <c r="M159" s="97" t="n">
        <v>47.7</v>
      </c>
      <c r="N159" s="97" t="inlineStr">
        <is>
          <t>N</t>
        </is>
      </c>
      <c r="O159" s="97" t="n">
        <v>12.47</v>
      </c>
      <c r="P159" s="97" t="inlineStr">
        <is>
          <t>N</t>
        </is>
      </c>
      <c r="Q159" s="97" t="inlineStr">
        <is>
          <t>N/A</t>
        </is>
      </c>
      <c r="R159" s="97" t="inlineStr">
        <is>
          <t>N</t>
        </is>
      </c>
      <c r="S159" s="97" t="n">
        <v>1.2</v>
      </c>
      <c r="T159" s="97" t="n">
        <v>7</v>
      </c>
      <c r="U159" s="97" t="inlineStr">
        <is>
          <t>Y</t>
        </is>
      </c>
      <c r="V159" s="97" t="n">
        <v>62.1</v>
      </c>
      <c r="W159" s="97" t="n">
        <v>5.1</v>
      </c>
      <c r="X159" s="97" t="n">
        <v>124.13</v>
      </c>
      <c r="Y159" s="97" t="n">
        <v>1882.8</v>
      </c>
      <c r="Z159" s="97" t="n">
        <v>5</v>
      </c>
      <c r="AA159" s="92" t="inlineStr">
        <is>
          <t>WATCHLIST</t>
        </is>
      </c>
    </row>
    <row r="160">
      <c r="A160" s="99" t="inlineStr">
        <is>
          <t>PNBHOUSING</t>
        </is>
      </c>
      <c r="B160" s="99" t="inlineStr">
        <is>
          <t>PNB Housing Finance Ltd.</t>
        </is>
      </c>
      <c r="C160" s="99" t="inlineStr">
        <is>
          <t>Financial Services</t>
        </is>
      </c>
      <c r="D160" s="99" t="inlineStr">
        <is>
          <t>Smallcap</t>
        </is>
      </c>
      <c r="E160" s="99" t="n">
        <v>1058</v>
      </c>
      <c r="F160" s="99" t="n">
        <v>-0.82</v>
      </c>
      <c r="G160" s="99" t="n">
        <v>429139</v>
      </c>
      <c r="H160" s="99" t="n">
        <v>0.82</v>
      </c>
      <c r="I160" s="99" t="n">
        <v>27570</v>
      </c>
      <c r="J160" s="99" t="inlineStr">
        <is>
          <t>Y</t>
        </is>
      </c>
      <c r="K160" s="99" t="inlineStr">
        <is>
          <t>Y</t>
        </is>
      </c>
      <c r="L160" s="99" t="inlineStr">
        <is>
          <t>Y</t>
        </is>
      </c>
      <c r="M160" s="99" t="n">
        <v>41.7</v>
      </c>
      <c r="N160" s="99" t="inlineStr">
        <is>
          <t>N</t>
        </is>
      </c>
      <c r="O160" s="99" t="n">
        <v>31.84</v>
      </c>
      <c r="P160" s="99" t="inlineStr">
        <is>
          <t>N</t>
        </is>
      </c>
      <c r="Q160" s="99" t="inlineStr">
        <is>
          <t>N/A</t>
        </is>
      </c>
      <c r="R160" s="99" t="inlineStr">
        <is>
          <t>N</t>
        </is>
      </c>
      <c r="S160" s="99" t="n">
        <v>2.3</v>
      </c>
      <c r="T160" s="99" t="n">
        <v>1</v>
      </c>
      <c r="U160" s="99" t="inlineStr">
        <is>
          <t>Y</t>
        </is>
      </c>
      <c r="V160" s="99" t="n">
        <v>12</v>
      </c>
      <c r="W160" s="99" t="n">
        <v>12.7</v>
      </c>
      <c r="X160" s="99" t="n">
        <v>277.42</v>
      </c>
      <c r="Y160" s="99" t="n">
        <v>26</v>
      </c>
      <c r="Z160" s="99" t="n">
        <v>5</v>
      </c>
      <c r="AA160" s="94" t="inlineStr">
        <is>
          <t>WATCHLIST</t>
        </is>
      </c>
    </row>
    <row r="161">
      <c r="A161" s="97" t="inlineStr">
        <is>
          <t>PVRINOX</t>
        </is>
      </c>
      <c r="B161" s="97" t="inlineStr">
        <is>
          <t>PVR INOX Ltd.</t>
        </is>
      </c>
      <c r="C161" s="97" t="inlineStr">
        <is>
          <t>Media Entertainment &amp; Publication</t>
        </is>
      </c>
      <c r="D161" s="97" t="inlineStr">
        <is>
          <t>Smallcap</t>
        </is>
      </c>
      <c r="E161" s="97" t="n">
        <v>1063.95</v>
      </c>
      <c r="F161" s="97" t="n">
        <v>5.61</v>
      </c>
      <c r="G161" s="97" t="n">
        <v>1849646</v>
      </c>
      <c r="H161" s="97" t="n">
        <v>2.48</v>
      </c>
      <c r="I161" s="97" t="n">
        <v>10448</v>
      </c>
      <c r="J161" s="97" t="inlineStr">
        <is>
          <t>Y</t>
        </is>
      </c>
      <c r="K161" s="97" t="inlineStr">
        <is>
          <t>Y</t>
        </is>
      </c>
      <c r="L161" s="97" t="inlineStr">
        <is>
          <t>Y</t>
        </is>
      </c>
      <c r="M161" s="97" t="n">
        <v>61.3</v>
      </c>
      <c r="N161" s="97" t="inlineStr">
        <is>
          <t>Y</t>
        </is>
      </c>
      <c r="O161" s="97" t="n">
        <v>30.53</v>
      </c>
      <c r="P161" s="97" t="inlineStr">
        <is>
          <t>Y</t>
        </is>
      </c>
      <c r="Q161" s="97" t="inlineStr">
        <is>
          <t>N/A</t>
        </is>
      </c>
      <c r="R161" s="97" t="inlineStr">
        <is>
          <t>N</t>
        </is>
      </c>
      <c r="S161" s="97" t="n">
        <v>8.9</v>
      </c>
      <c r="T161" s="97" t="n">
        <v>-2.1</v>
      </c>
      <c r="U161" s="97" t="inlineStr">
        <is>
          <t>N</t>
        </is>
      </c>
      <c r="V161" s="97" t="n">
        <v>37.3</v>
      </c>
      <c r="W161" s="97" t="inlineStr">
        <is>
          <t>N/A</t>
        </is>
      </c>
      <c r="X161" s="97" t="n">
        <v>91.87</v>
      </c>
      <c r="Y161" s="97" t="n">
        <v>-69.7</v>
      </c>
      <c r="Z161" s="97" t="n">
        <v>5</v>
      </c>
      <c r="AA161" s="92" t="inlineStr">
        <is>
          <t>WATCHLIST</t>
        </is>
      </c>
    </row>
    <row r="162">
      <c r="A162" s="99" t="inlineStr">
        <is>
          <t>PHOENIXLTD</t>
        </is>
      </c>
      <c r="B162" s="99" t="inlineStr">
        <is>
          <t>Phoenix Mills Ltd.</t>
        </is>
      </c>
      <c r="C162" s="99" t="inlineStr">
        <is>
          <t>Realty</t>
        </is>
      </c>
      <c r="D162" s="99" t="inlineStr">
        <is>
          <t>Large/Midcap</t>
        </is>
      </c>
      <c r="E162" s="99" t="n">
        <v>2010.7</v>
      </c>
      <c r="F162" s="99" t="n">
        <v>-1.22</v>
      </c>
      <c r="G162" s="99" t="n">
        <v>1100435</v>
      </c>
      <c r="H162" s="99" t="n">
        <v>1.96</v>
      </c>
      <c r="I162" s="99" t="n">
        <v>71914</v>
      </c>
      <c r="J162" s="99" t="inlineStr">
        <is>
          <t>Y</t>
        </is>
      </c>
      <c r="K162" s="99" t="inlineStr">
        <is>
          <t>Y</t>
        </is>
      </c>
      <c r="L162" s="99" t="inlineStr">
        <is>
          <t>Y</t>
        </is>
      </c>
      <c r="M162" s="99" t="n">
        <v>37.9</v>
      </c>
      <c r="N162" s="99" t="inlineStr">
        <is>
          <t>N</t>
        </is>
      </c>
      <c r="O162" s="99" t="n">
        <v>57.02</v>
      </c>
      <c r="P162" s="99" t="inlineStr">
        <is>
          <t>N</t>
        </is>
      </c>
      <c r="Q162" s="99" t="inlineStr">
        <is>
          <t>N/A</t>
        </is>
      </c>
      <c r="R162" s="99" t="inlineStr">
        <is>
          <t>N</t>
        </is>
      </c>
      <c r="S162" s="99" t="n">
        <v>6.6</v>
      </c>
      <c r="T162" s="99" t="n">
        <v>14.7</v>
      </c>
      <c r="U162" s="99" t="inlineStr">
        <is>
          <t>Y</t>
        </is>
      </c>
      <c r="V162" s="99" t="n">
        <v>57.5</v>
      </c>
      <c r="W162" s="99" t="n">
        <v>11.1</v>
      </c>
      <c r="X162" s="99" t="n">
        <v>37.21</v>
      </c>
      <c r="Y162" s="99" t="n">
        <v>46.3</v>
      </c>
      <c r="Z162" s="99" t="n">
        <v>5</v>
      </c>
      <c r="AA162" s="94" t="inlineStr">
        <is>
          <t>WATCHLIST</t>
        </is>
      </c>
    </row>
    <row r="163">
      <c r="A163" s="97" t="inlineStr">
        <is>
          <t>POLYCAB</t>
        </is>
      </c>
      <c r="B163" s="97" t="inlineStr">
        <is>
          <t>Polycab India Ltd.</t>
        </is>
      </c>
      <c r="C163" s="97" t="inlineStr">
        <is>
          <t>Capital Goods</t>
        </is>
      </c>
      <c r="D163" s="97" t="inlineStr">
        <is>
          <t>Large/Midcap</t>
        </is>
      </c>
      <c r="E163" s="97" t="n">
        <v>8907.5</v>
      </c>
      <c r="F163" s="97" t="n">
        <v>-0.31</v>
      </c>
      <c r="G163" s="97" t="n">
        <v>189569</v>
      </c>
      <c r="H163" s="97" t="n">
        <v>0.48</v>
      </c>
      <c r="I163" s="97" t="n">
        <v>134178</v>
      </c>
      <c r="J163" s="97" t="inlineStr">
        <is>
          <t>Y</t>
        </is>
      </c>
      <c r="K163" s="97" t="inlineStr">
        <is>
          <t>N</t>
        </is>
      </c>
      <c r="L163" s="97" t="inlineStr">
        <is>
          <t>Y</t>
        </is>
      </c>
      <c r="M163" s="97" t="n">
        <v>33.5</v>
      </c>
      <c r="N163" s="97" t="inlineStr">
        <is>
          <t>N</t>
        </is>
      </c>
      <c r="O163" s="97" t="n">
        <v>257.54</v>
      </c>
      <c r="P163" s="97" t="inlineStr">
        <is>
          <t>N</t>
        </is>
      </c>
      <c r="Q163" s="97" t="inlineStr">
        <is>
          <t>N/A</t>
        </is>
      </c>
      <c r="R163" s="97" t="inlineStr">
        <is>
          <t>N</t>
        </is>
      </c>
      <c r="S163" s="97" t="n">
        <v>-5.5</v>
      </c>
      <c r="T163" s="97" t="n">
        <v>10.4</v>
      </c>
      <c r="U163" s="97" t="inlineStr">
        <is>
          <t>Y</t>
        </is>
      </c>
      <c r="V163" s="97" t="n">
        <v>46.9</v>
      </c>
      <c r="W163" s="97" t="n">
        <v>25.5</v>
      </c>
      <c r="X163" s="97" t="n">
        <v>1.74</v>
      </c>
      <c r="Y163" s="97" t="n">
        <v>1.5</v>
      </c>
      <c r="Z163" s="97" t="n">
        <v>5</v>
      </c>
      <c r="AA163" s="92" t="inlineStr">
        <is>
          <t>WATCHLIST</t>
        </is>
      </c>
    </row>
    <row r="164">
      <c r="A164" s="99" t="inlineStr">
        <is>
          <t>POONAWALLA</t>
        </is>
      </c>
      <c r="B164" s="99" t="inlineStr">
        <is>
          <t>Poonawalla Fincorp Ltd.</t>
        </is>
      </c>
      <c r="C164" s="99" t="inlineStr">
        <is>
          <t>Financial Services</t>
        </is>
      </c>
      <c r="D164" s="99" t="inlineStr">
        <is>
          <t>Smallcap</t>
        </is>
      </c>
      <c r="E164" s="99" t="n">
        <v>459.7</v>
      </c>
      <c r="F164" s="99" t="n">
        <v>-1.13</v>
      </c>
      <c r="G164" s="99" t="n">
        <v>623865</v>
      </c>
      <c r="H164" s="99" t="n">
        <v>0.6899999999999999</v>
      </c>
      <c r="I164" s="99" t="n">
        <v>40255</v>
      </c>
      <c r="J164" s="99" t="inlineStr">
        <is>
          <t>Y</t>
        </is>
      </c>
      <c r="K164" s="99" t="inlineStr">
        <is>
          <t>Y</t>
        </is>
      </c>
      <c r="L164" s="99" t="inlineStr">
        <is>
          <t>Y</t>
        </is>
      </c>
      <c r="M164" s="99" t="n">
        <v>42.7</v>
      </c>
      <c r="N164" s="99" t="inlineStr">
        <is>
          <t>N</t>
        </is>
      </c>
      <c r="O164" s="99" t="n">
        <v>15.68</v>
      </c>
      <c r="P164" s="99" t="inlineStr">
        <is>
          <t>N</t>
        </is>
      </c>
      <c r="Q164" s="99" t="inlineStr">
        <is>
          <t>N/A</t>
        </is>
      </c>
      <c r="R164" s="99" t="inlineStr">
        <is>
          <t>N</t>
        </is>
      </c>
      <c r="S164" s="99" t="n">
        <v>5.5</v>
      </c>
      <c r="T164" s="99" t="n">
        <v>9.699999999999999</v>
      </c>
      <c r="U164" s="99" t="inlineStr">
        <is>
          <t>Y</t>
        </is>
      </c>
      <c r="V164" s="99" t="n">
        <v>48.1</v>
      </c>
      <c r="W164" s="99" t="inlineStr">
        <is>
          <t>N/A</t>
        </is>
      </c>
      <c r="X164" s="99" t="n">
        <v>468.06</v>
      </c>
      <c r="Y164" s="99" t="n">
        <v>20.8</v>
      </c>
      <c r="Z164" s="99" t="n">
        <v>5</v>
      </c>
      <c r="AA164" s="94" t="inlineStr">
        <is>
          <t>WATCHLIST</t>
        </is>
      </c>
    </row>
    <row r="165">
      <c r="A165" s="97" t="inlineStr">
        <is>
          <t>POWERGRID</t>
        </is>
      </c>
      <c r="B165" s="97" t="inlineStr">
        <is>
          <t>Power Grid Corporation of India Ltd.</t>
        </is>
      </c>
      <c r="C165" s="97" t="inlineStr">
        <is>
          <t>Power</t>
        </is>
      </c>
      <c r="D165" s="97" t="inlineStr">
        <is>
          <t>Large/Midcap</t>
        </is>
      </c>
      <c r="E165" s="97" t="n">
        <v>288.2</v>
      </c>
      <c r="F165" s="97" t="n">
        <v>-0.55</v>
      </c>
      <c r="G165" s="97" t="n">
        <v>8474555</v>
      </c>
      <c r="H165" s="97" t="n">
        <v>1.3</v>
      </c>
      <c r="I165" s="97" t="n">
        <v>268043</v>
      </c>
      <c r="J165" s="97" t="inlineStr">
        <is>
          <t>Y</t>
        </is>
      </c>
      <c r="K165" s="97" t="inlineStr">
        <is>
          <t>N</t>
        </is>
      </c>
      <c r="L165" s="97" t="inlineStr">
        <is>
          <t>Y</t>
        </is>
      </c>
      <c r="M165" s="97" t="n">
        <v>54.3</v>
      </c>
      <c r="N165" s="97" t="inlineStr">
        <is>
          <t>Y</t>
        </is>
      </c>
      <c r="O165" s="97" t="n">
        <v>4.89</v>
      </c>
      <c r="P165" s="97" t="inlineStr">
        <is>
          <t>N</t>
        </is>
      </c>
      <c r="Q165" s="97" t="inlineStr">
        <is>
          <t>N/A</t>
        </is>
      </c>
      <c r="R165" s="97" t="inlineStr">
        <is>
          <t>N</t>
        </is>
      </c>
      <c r="S165" s="97" t="n">
        <v>2.6</v>
      </c>
      <c r="T165" s="97" t="n">
        <v>-9.5</v>
      </c>
      <c r="U165" s="97" t="inlineStr">
        <is>
          <t>N</t>
        </is>
      </c>
      <c r="V165" s="97" t="n">
        <v>14.3</v>
      </c>
      <c r="W165" s="97" t="n">
        <v>16.5</v>
      </c>
      <c r="X165" s="97" t="n">
        <v>150.99</v>
      </c>
      <c r="Y165" s="97" t="n">
        <v>8.6</v>
      </c>
      <c r="Z165" s="97" t="n">
        <v>5</v>
      </c>
      <c r="AA165" s="92" t="inlineStr">
        <is>
          <t>WATCHLIST</t>
        </is>
      </c>
    </row>
    <row r="166">
      <c r="A166" s="99" t="inlineStr">
        <is>
          <t>PRESTIGE</t>
        </is>
      </c>
      <c r="B166" s="99" t="inlineStr">
        <is>
          <t>Prestige Estates Projects Ltd.</t>
        </is>
      </c>
      <c r="C166" s="99" t="inlineStr">
        <is>
          <t>Realty</t>
        </is>
      </c>
      <c r="D166" s="99" t="inlineStr">
        <is>
          <t>Large/Midcap</t>
        </is>
      </c>
      <c r="E166" s="99" t="n">
        <v>1592.8</v>
      </c>
      <c r="F166" s="99" t="n">
        <v>-1.92</v>
      </c>
      <c r="G166" s="99" t="n">
        <v>793038</v>
      </c>
      <c r="H166" s="99" t="n">
        <v>1.7</v>
      </c>
      <c r="I166" s="99" t="n">
        <v>68607</v>
      </c>
      <c r="J166" s="99" t="inlineStr">
        <is>
          <t>Y</t>
        </is>
      </c>
      <c r="K166" s="99" t="inlineStr">
        <is>
          <t>Y</t>
        </is>
      </c>
      <c r="L166" s="99" t="inlineStr">
        <is>
          <t>Y</t>
        </is>
      </c>
      <c r="M166" s="99" t="n">
        <v>38.6</v>
      </c>
      <c r="N166" s="99" t="inlineStr">
        <is>
          <t>N</t>
        </is>
      </c>
      <c r="O166" s="99" t="n">
        <v>54.51</v>
      </c>
      <c r="P166" s="99" t="inlineStr">
        <is>
          <t>N</t>
        </is>
      </c>
      <c r="Q166" s="99" t="inlineStr">
        <is>
          <t>N/A</t>
        </is>
      </c>
      <c r="R166" s="99" t="inlineStr">
        <is>
          <t>N</t>
        </is>
      </c>
      <c r="S166" s="99" t="n">
        <v>3.4</v>
      </c>
      <c r="T166" s="99" t="n">
        <v>11.6</v>
      </c>
      <c r="U166" s="99" t="inlineStr">
        <is>
          <t>Y</t>
        </is>
      </c>
      <c r="V166" s="99" t="n">
        <v>57.5</v>
      </c>
      <c r="W166" s="99" t="n">
        <v>8</v>
      </c>
      <c r="X166" s="99" t="n">
        <v>105.49</v>
      </c>
      <c r="Y166" s="99" t="n">
        <v>12.4</v>
      </c>
      <c r="Z166" s="99" t="n">
        <v>5</v>
      </c>
      <c r="AA166" s="94" t="inlineStr">
        <is>
          <t>WATCHLIST</t>
        </is>
      </c>
    </row>
    <row r="167">
      <c r="A167" s="97" t="inlineStr">
        <is>
          <t>PNB</t>
        </is>
      </c>
      <c r="B167" s="97" t="inlineStr">
        <is>
          <t>Punjab National Bank</t>
        </is>
      </c>
      <c r="C167" s="97" t="inlineStr">
        <is>
          <t>Financial Services</t>
        </is>
      </c>
      <c r="D167" s="97" t="inlineStr">
        <is>
          <t>Large/Midcap</t>
        </is>
      </c>
      <c r="E167" s="97" t="n">
        <v>110.38</v>
      </c>
      <c r="F167" s="97" t="n">
        <v>0.21</v>
      </c>
      <c r="G167" s="97" t="n">
        <v>11902256</v>
      </c>
      <c r="H167" s="97" t="n">
        <v>0.6</v>
      </c>
      <c r="I167" s="97" t="n">
        <v>126859</v>
      </c>
      <c r="J167" s="97" t="inlineStr">
        <is>
          <t>Y</t>
        </is>
      </c>
      <c r="K167" s="97" t="inlineStr">
        <is>
          <t>Y</t>
        </is>
      </c>
      <c r="L167" s="97" t="inlineStr">
        <is>
          <t>N</t>
        </is>
      </c>
      <c r="M167" s="97" t="n">
        <v>65</v>
      </c>
      <c r="N167" s="97" t="inlineStr">
        <is>
          <t>Y</t>
        </is>
      </c>
      <c r="O167" s="97" t="n">
        <v>2.5</v>
      </c>
      <c r="P167" s="97" t="inlineStr">
        <is>
          <t>N</t>
        </is>
      </c>
      <c r="Q167" s="97" t="inlineStr">
        <is>
          <t>N/A</t>
        </is>
      </c>
      <c r="R167" s="97" t="inlineStr">
        <is>
          <t>N</t>
        </is>
      </c>
      <c r="S167" s="97" t="n">
        <v>3.4</v>
      </c>
      <c r="T167" s="97" t="n">
        <v>2.7</v>
      </c>
      <c r="U167" s="97" t="inlineStr">
        <is>
          <t>Y</t>
        </is>
      </c>
      <c r="V167" s="97" t="n">
        <v>5.7</v>
      </c>
      <c r="W167" s="97" t="n">
        <v>15</v>
      </c>
      <c r="X167" s="97" t="inlineStr">
        <is>
          <t>N/A</t>
        </is>
      </c>
      <c r="Y167" s="97" t="n">
        <v>4</v>
      </c>
      <c r="Z167" s="97" t="n">
        <v>5</v>
      </c>
      <c r="AA167" s="92" t="inlineStr">
        <is>
          <t>WATCHLIST</t>
        </is>
      </c>
    </row>
    <row r="168">
      <c r="A168" s="99" t="inlineStr">
        <is>
          <t>RADICO</t>
        </is>
      </c>
      <c r="B168" s="99" t="inlineStr">
        <is>
          <t>Radico Khaitan Ltd</t>
        </is>
      </c>
      <c r="C168" s="99" t="inlineStr">
        <is>
          <t>Fast Moving Consumer Goods</t>
        </is>
      </c>
      <c r="D168" s="99" t="inlineStr">
        <is>
          <t>Large/Midcap</t>
        </is>
      </c>
      <c r="E168" s="99" t="n">
        <v>4091.3</v>
      </c>
      <c r="F168" s="99" t="n">
        <v>0.86</v>
      </c>
      <c r="G168" s="99" t="n">
        <v>343711</v>
      </c>
      <c r="H168" s="99" t="n">
        <v>1.49</v>
      </c>
      <c r="I168" s="99" t="n">
        <v>54816</v>
      </c>
      <c r="J168" s="99" t="inlineStr">
        <is>
          <t>Y</t>
        </is>
      </c>
      <c r="K168" s="99" t="inlineStr">
        <is>
          <t>Y</t>
        </is>
      </c>
      <c r="L168" s="99" t="inlineStr">
        <is>
          <t>Y</t>
        </is>
      </c>
      <c r="M168" s="99" t="n">
        <v>49.2</v>
      </c>
      <c r="N168" s="99" t="inlineStr">
        <is>
          <t>N</t>
        </is>
      </c>
      <c r="O168" s="99" t="n">
        <v>83.26000000000001</v>
      </c>
      <c r="P168" s="99" t="inlineStr">
        <is>
          <t>N</t>
        </is>
      </c>
      <c r="Q168" s="99" t="inlineStr">
        <is>
          <t>N/A</t>
        </is>
      </c>
      <c r="R168" s="99" t="inlineStr">
        <is>
          <t>N</t>
        </is>
      </c>
      <c r="S168" s="99" t="n">
        <v>8.1</v>
      </c>
      <c r="T168" s="99" t="n">
        <v>19.1</v>
      </c>
      <c r="U168" s="99" t="inlineStr">
        <is>
          <t>Y</t>
        </is>
      </c>
      <c r="V168" s="99" t="n">
        <v>90.90000000000001</v>
      </c>
      <c r="W168" s="99" t="inlineStr">
        <is>
          <t>N/A</t>
        </is>
      </c>
      <c r="X168" s="99" t="n">
        <v>20.94</v>
      </c>
      <c r="Y168" s="99" t="n">
        <v>15.8</v>
      </c>
      <c r="Z168" s="99" t="n">
        <v>5</v>
      </c>
      <c r="AA168" s="94" t="inlineStr">
        <is>
          <t>WATCHLIST</t>
        </is>
      </c>
    </row>
    <row r="169">
      <c r="A169" s="97" t="inlineStr">
        <is>
          <t>RKFORGE</t>
        </is>
      </c>
      <c r="B169" s="97" t="inlineStr">
        <is>
          <t>Ramkrishna Forgings Ltd.</t>
        </is>
      </c>
      <c r="C169" s="97" t="inlineStr">
        <is>
          <t>Automobile and Auto Components</t>
        </is>
      </c>
      <c r="D169" s="97" t="inlineStr">
        <is>
          <t>Smallcap</t>
        </is>
      </c>
      <c r="E169" s="97" t="n">
        <v>580.7</v>
      </c>
      <c r="F169" s="97" t="n">
        <v>-0.57</v>
      </c>
      <c r="G169" s="97" t="n">
        <v>3245747</v>
      </c>
      <c r="H169" s="97" t="n">
        <v>2.05</v>
      </c>
      <c r="I169" s="97" t="n">
        <v>10579</v>
      </c>
      <c r="J169" s="97" t="inlineStr">
        <is>
          <t>Y</t>
        </is>
      </c>
      <c r="K169" s="97" t="inlineStr">
        <is>
          <t>Y</t>
        </is>
      </c>
      <c r="L169" s="97" t="inlineStr">
        <is>
          <t>Y</t>
        </is>
      </c>
      <c r="M169" s="97" t="n">
        <v>52.6</v>
      </c>
      <c r="N169" s="97" t="inlineStr">
        <is>
          <t>Y</t>
        </is>
      </c>
      <c r="O169" s="97" t="n">
        <v>17.87</v>
      </c>
      <c r="P169" s="97" t="inlineStr">
        <is>
          <t>Y</t>
        </is>
      </c>
      <c r="Q169" s="97" t="inlineStr">
        <is>
          <t>N/A</t>
        </is>
      </c>
      <c r="R169" s="97" t="inlineStr">
        <is>
          <t>N</t>
        </is>
      </c>
      <c r="S169" s="97" t="n">
        <v>4.1</v>
      </c>
      <c r="T169" s="97" t="n">
        <v>-2.3</v>
      </c>
      <c r="U169" s="97" t="inlineStr">
        <is>
          <t>N</t>
        </is>
      </c>
      <c r="V169" s="97" t="n">
        <v>99.90000000000001</v>
      </c>
      <c r="W169" s="97" t="inlineStr">
        <is>
          <t>N/A</t>
        </is>
      </c>
      <c r="X169" s="97" t="n">
        <v>74.42</v>
      </c>
      <c r="Y169" s="97" t="n">
        <v>-16.2</v>
      </c>
      <c r="Z169" s="97" t="n">
        <v>5</v>
      </c>
      <c r="AA169" s="92" t="inlineStr">
        <is>
          <t>WATCHLIST</t>
        </is>
      </c>
    </row>
    <row r="170">
      <c r="A170" s="99" t="inlineStr">
        <is>
          <t>SBILIFE</t>
        </is>
      </c>
      <c r="B170" s="99" t="inlineStr">
        <is>
          <t>SBI Life Insurance Company Ltd.</t>
        </is>
      </c>
      <c r="C170" s="99" t="inlineStr">
        <is>
          <t>Financial Services</t>
        </is>
      </c>
      <c r="D170" s="99" t="inlineStr">
        <is>
          <t>Large/Midcap</t>
        </is>
      </c>
      <c r="E170" s="99" t="n">
        <v>1858.6</v>
      </c>
      <c r="F170" s="99" t="n">
        <v>0.28</v>
      </c>
      <c r="G170" s="99" t="n">
        <v>1034104</v>
      </c>
      <c r="H170" s="99" t="n">
        <v>1.57</v>
      </c>
      <c r="I170" s="99" t="n">
        <v>186466</v>
      </c>
      <c r="J170" s="99" t="inlineStr">
        <is>
          <t>Y</t>
        </is>
      </c>
      <c r="K170" s="99" t="inlineStr">
        <is>
          <t>Y</t>
        </is>
      </c>
      <c r="L170" s="99" t="inlineStr">
        <is>
          <t>N</t>
        </is>
      </c>
      <c r="M170" s="99" t="n">
        <v>60.3</v>
      </c>
      <c r="N170" s="99" t="inlineStr">
        <is>
          <t>Y</t>
        </is>
      </c>
      <c r="O170" s="99" t="n">
        <v>45.58</v>
      </c>
      <c r="P170" s="99" t="inlineStr">
        <is>
          <t>N</t>
        </is>
      </c>
      <c r="Q170" s="99" t="inlineStr">
        <is>
          <t>N/A</t>
        </is>
      </c>
      <c r="R170" s="99" t="inlineStr">
        <is>
          <t>N</t>
        </is>
      </c>
      <c r="S170" s="99" t="n">
        <v>7.6</v>
      </c>
      <c r="T170" s="99" t="n">
        <v>2.9</v>
      </c>
      <c r="U170" s="99" t="inlineStr">
        <is>
          <t>Y</t>
        </is>
      </c>
      <c r="V170" s="99" t="n">
        <v>72</v>
      </c>
      <c r="W170" s="99" t="n">
        <v>13.7</v>
      </c>
      <c r="X170" s="99" t="inlineStr">
        <is>
          <t>N/A</t>
        </is>
      </c>
      <c r="Y170" s="99" t="n">
        <v>39.5</v>
      </c>
      <c r="Z170" s="99" t="n">
        <v>5</v>
      </c>
      <c r="AA170" s="94" t="inlineStr">
        <is>
          <t>WATCHLIST</t>
        </is>
      </c>
    </row>
    <row r="171">
      <c r="A171" s="97" t="inlineStr">
        <is>
          <t>SCHNEIDER</t>
        </is>
      </c>
      <c r="B171" s="97" t="inlineStr">
        <is>
          <t>Schneider Electric Infrastructure Ltd.</t>
        </is>
      </c>
      <c r="C171" s="97" t="inlineStr">
        <is>
          <t>Capital Goods</t>
        </is>
      </c>
      <c r="D171" s="97" t="inlineStr">
        <is>
          <t>Smallcap</t>
        </is>
      </c>
      <c r="E171" s="97" t="n">
        <v>1352.6</v>
      </c>
      <c r="F171" s="97" t="n">
        <v>0.83</v>
      </c>
      <c r="G171" s="97" t="n">
        <v>130128</v>
      </c>
      <c r="H171" s="97" t="n">
        <v>0.78</v>
      </c>
      <c r="I171" s="97" t="n">
        <v>32341</v>
      </c>
      <c r="J171" s="97" t="inlineStr">
        <is>
          <t>Y</t>
        </is>
      </c>
      <c r="K171" s="97" t="inlineStr">
        <is>
          <t>Y</t>
        </is>
      </c>
      <c r="L171" s="97" t="inlineStr">
        <is>
          <t>Y</t>
        </is>
      </c>
      <c r="M171" s="97" t="n">
        <v>30.8</v>
      </c>
      <c r="N171" s="97" t="inlineStr">
        <is>
          <t>N</t>
        </is>
      </c>
      <c r="O171" s="97" t="n">
        <v>56.24</v>
      </c>
      <c r="P171" s="97" t="inlineStr">
        <is>
          <t>N</t>
        </is>
      </c>
      <c r="Q171" s="97" t="inlineStr">
        <is>
          <t>N/A</t>
        </is>
      </c>
      <c r="R171" s="97" t="inlineStr">
        <is>
          <t>N</t>
        </is>
      </c>
      <c r="S171" s="97" t="n">
        <v>2.4</v>
      </c>
      <c r="T171" s="97" t="n">
        <v>14.1</v>
      </c>
      <c r="U171" s="97" t="inlineStr">
        <is>
          <t>Y</t>
        </is>
      </c>
      <c r="V171" s="97" t="n">
        <v>151.5</v>
      </c>
      <c r="W171" s="97" t="n">
        <v>31.8</v>
      </c>
      <c r="X171" s="97" t="n">
        <v>70.8</v>
      </c>
      <c r="Y171" s="97" t="n">
        <v>-77.40000000000001</v>
      </c>
      <c r="Z171" s="97" t="n">
        <v>5</v>
      </c>
      <c r="AA171" s="92" t="inlineStr">
        <is>
          <t>WATCHLIST</t>
        </is>
      </c>
    </row>
    <row r="172">
      <c r="A172" s="99" t="inlineStr">
        <is>
          <t>SIEMENS</t>
        </is>
      </c>
      <c r="B172" s="99" t="inlineStr">
        <is>
          <t>Siemens Ltd.</t>
        </is>
      </c>
      <c r="C172" s="99" t="inlineStr">
        <is>
          <t>Capital Goods</t>
        </is>
      </c>
      <c r="D172" s="99" t="inlineStr">
        <is>
          <t>Large/Midcap</t>
        </is>
      </c>
      <c r="E172" s="99" t="n">
        <v>3689.8</v>
      </c>
      <c r="F172" s="99" t="n">
        <v>0.09</v>
      </c>
      <c r="G172" s="99" t="n">
        <v>232607</v>
      </c>
      <c r="H172" s="99" t="n">
        <v>0.9</v>
      </c>
      <c r="I172" s="99" t="n">
        <v>131401</v>
      </c>
      <c r="J172" s="99" t="inlineStr">
        <is>
          <t>Y</t>
        </is>
      </c>
      <c r="K172" s="99" t="inlineStr">
        <is>
          <t>Y</t>
        </is>
      </c>
      <c r="L172" s="99" t="inlineStr">
        <is>
          <t>Y</t>
        </is>
      </c>
      <c r="M172" s="99" t="n">
        <v>62.7</v>
      </c>
      <c r="N172" s="99" t="inlineStr">
        <is>
          <t>Y</t>
        </is>
      </c>
      <c r="O172" s="99" t="n">
        <v>99.09</v>
      </c>
      <c r="P172" s="99" t="inlineStr">
        <is>
          <t>N</t>
        </is>
      </c>
      <c r="Q172" s="99" t="inlineStr">
        <is>
          <t>N/A</t>
        </is>
      </c>
      <c r="R172" s="99" t="inlineStr">
        <is>
          <t>N</t>
        </is>
      </c>
      <c r="S172" s="99" t="n">
        <v>2.8</v>
      </c>
      <c r="T172" s="99" t="n">
        <v>-1.8</v>
      </c>
      <c r="U172" s="99" t="inlineStr">
        <is>
          <t>N</t>
        </is>
      </c>
      <c r="V172" s="99" t="n">
        <v>77.5</v>
      </c>
      <c r="W172" s="99" t="inlineStr">
        <is>
          <t>N/A</t>
        </is>
      </c>
      <c r="X172" s="99" t="n">
        <v>2.21</v>
      </c>
      <c r="Y172" s="99" t="n">
        <v>33.5</v>
      </c>
      <c r="Z172" s="99" t="n">
        <v>5</v>
      </c>
      <c r="AA172" s="94" t="inlineStr">
        <is>
          <t>WATCHLIST</t>
        </is>
      </c>
    </row>
    <row r="173">
      <c r="A173" s="97" t="inlineStr">
        <is>
          <t>SONACOMS</t>
        </is>
      </c>
      <c r="B173" s="97" t="inlineStr">
        <is>
          <t>Sona BLW Precision Forgings Ltd.</t>
        </is>
      </c>
      <c r="C173" s="97" t="inlineStr">
        <is>
          <t>Automobile and Auto Components</t>
        </is>
      </c>
      <c r="D173" s="97" t="inlineStr">
        <is>
          <t>Smallcap</t>
        </is>
      </c>
      <c r="E173" s="97" t="n">
        <v>717.95</v>
      </c>
      <c r="F173" s="97" t="n">
        <v>-0.25</v>
      </c>
      <c r="G173" s="97" t="n">
        <v>8733705</v>
      </c>
      <c r="H173" s="97" t="n">
        <v>2.63</v>
      </c>
      <c r="I173" s="97" t="n">
        <v>44707</v>
      </c>
      <c r="J173" s="97" t="inlineStr">
        <is>
          <t>Y</t>
        </is>
      </c>
      <c r="K173" s="97" t="inlineStr">
        <is>
          <t>Y</t>
        </is>
      </c>
      <c r="L173" s="97" t="inlineStr">
        <is>
          <t>Y</t>
        </is>
      </c>
      <c r="M173" s="97" t="n">
        <v>72.8</v>
      </c>
      <c r="N173" s="97" t="inlineStr">
        <is>
          <t>N</t>
        </is>
      </c>
      <c r="O173" s="97" t="n">
        <v>20.62</v>
      </c>
      <c r="P173" s="97" t="inlineStr">
        <is>
          <t>Y</t>
        </is>
      </c>
      <c r="Q173" s="97" t="inlineStr">
        <is>
          <t>N/A</t>
        </is>
      </c>
      <c r="R173" s="97" t="inlineStr">
        <is>
          <t>N</t>
        </is>
      </c>
      <c r="S173" s="97" t="n">
        <v>17</v>
      </c>
      <c r="T173" s="97" t="n">
        <v>20.6</v>
      </c>
      <c r="U173" s="97" t="inlineStr">
        <is>
          <t>Y</t>
        </is>
      </c>
      <c r="V173" s="97" t="n">
        <v>64.09999999999999</v>
      </c>
      <c r="W173" s="97" t="inlineStr">
        <is>
          <t>N/A</t>
        </is>
      </c>
      <c r="X173" s="97" t="n">
        <v>7.21</v>
      </c>
      <c r="Y173" s="97" t="n">
        <v>-6</v>
      </c>
      <c r="Z173" s="97" t="n">
        <v>5</v>
      </c>
      <c r="AA173" s="92" t="inlineStr">
        <is>
          <t>WATCHLIST</t>
        </is>
      </c>
    </row>
    <row r="174">
      <c r="A174" s="99" t="inlineStr">
        <is>
          <t>SUNPHARMA</t>
        </is>
      </c>
      <c r="B174" s="99" t="inlineStr">
        <is>
          <t>Sun Pharmaceutical Industries Ltd.</t>
        </is>
      </c>
      <c r="C174" s="99" t="inlineStr">
        <is>
          <t>Healthcare</t>
        </is>
      </c>
      <c r="D174" s="99" t="inlineStr">
        <is>
          <t>Large/Midcap</t>
        </is>
      </c>
      <c r="E174" s="99" t="n">
        <v>1941.1</v>
      </c>
      <c r="F174" s="99" t="n">
        <v>-0.66</v>
      </c>
      <c r="G174" s="99" t="n">
        <v>1578929</v>
      </c>
      <c r="H174" s="99" t="n">
        <v>0.91</v>
      </c>
      <c r="I174" s="99" t="n">
        <v>465735</v>
      </c>
      <c r="J174" s="99" t="inlineStr">
        <is>
          <t>Y</t>
        </is>
      </c>
      <c r="K174" s="99" t="inlineStr">
        <is>
          <t>Y</t>
        </is>
      </c>
      <c r="L174" s="99" t="inlineStr">
        <is>
          <t>Y</t>
        </is>
      </c>
      <c r="M174" s="99" t="n">
        <v>58</v>
      </c>
      <c r="N174" s="99" t="inlineStr">
        <is>
          <t>Y</t>
        </is>
      </c>
      <c r="O174" s="99" t="n">
        <v>32.14</v>
      </c>
      <c r="P174" s="99" t="inlineStr">
        <is>
          <t>N</t>
        </is>
      </c>
      <c r="Q174" s="99" t="inlineStr">
        <is>
          <t>N/A</t>
        </is>
      </c>
      <c r="R174" s="99" t="inlineStr">
        <is>
          <t>N</t>
        </is>
      </c>
      <c r="S174" s="99" t="n">
        <v>5.5</v>
      </c>
      <c r="T174" s="99" t="n">
        <v>10</v>
      </c>
      <c r="U174" s="99" t="inlineStr">
        <is>
          <t>Y</t>
        </is>
      </c>
      <c r="V174" s="99" t="n">
        <v>40.7</v>
      </c>
      <c r="W174" s="99" t="n">
        <v>14.7</v>
      </c>
      <c r="X174" s="99" t="n">
        <v>5.52</v>
      </c>
      <c r="Y174" s="99" t="n">
        <v>-19.4</v>
      </c>
      <c r="Z174" s="99" t="n">
        <v>5</v>
      </c>
      <c r="AA174" s="94" t="inlineStr">
        <is>
          <t>WATCHLIST</t>
        </is>
      </c>
    </row>
    <row r="175">
      <c r="A175" s="97" t="inlineStr">
        <is>
          <t>SUPREMEIND</t>
        </is>
      </c>
      <c r="B175" s="97" t="inlineStr">
        <is>
          <t>Supreme Industries Ltd.</t>
        </is>
      </c>
      <c r="C175" s="97" t="inlineStr">
        <is>
          <t>Capital Goods</t>
        </is>
      </c>
      <c r="D175" s="97" t="inlineStr">
        <is>
          <t>Large/Midcap</t>
        </is>
      </c>
      <c r="E175" s="97" t="n">
        <v>3458.9</v>
      </c>
      <c r="F175" s="97" t="n">
        <v>1.23</v>
      </c>
      <c r="G175" s="97" t="n">
        <v>129919</v>
      </c>
      <c r="H175" s="97" t="n">
        <v>1.11</v>
      </c>
      <c r="I175" s="97" t="n">
        <v>43956</v>
      </c>
      <c r="J175" s="97" t="inlineStr">
        <is>
          <t>Y</t>
        </is>
      </c>
      <c r="K175" s="97" t="inlineStr">
        <is>
          <t>Y</t>
        </is>
      </c>
      <c r="L175" s="97" t="inlineStr">
        <is>
          <t>N</t>
        </is>
      </c>
      <c r="M175" s="97" t="n">
        <v>67.09999999999999</v>
      </c>
      <c r="N175" s="97" t="inlineStr">
        <is>
          <t>Y</t>
        </is>
      </c>
      <c r="O175" s="97" t="n">
        <v>88.23999999999999</v>
      </c>
      <c r="P175" s="97" t="inlineStr">
        <is>
          <t>N</t>
        </is>
      </c>
      <c r="Q175" s="97" t="inlineStr">
        <is>
          <t>N/A</t>
        </is>
      </c>
      <c r="R175" s="97" t="inlineStr">
        <is>
          <t>N</t>
        </is>
      </c>
      <c r="S175" s="97" t="n">
        <v>2.1</v>
      </c>
      <c r="T175" s="97" t="n">
        <v>-4.5</v>
      </c>
      <c r="U175" s="97" t="inlineStr">
        <is>
          <t>N</t>
        </is>
      </c>
      <c r="V175" s="97" t="n">
        <v>46.1</v>
      </c>
      <c r="W175" s="97" t="n">
        <v>16.1</v>
      </c>
      <c r="X175" s="97" t="n">
        <v>1.47</v>
      </c>
      <c r="Y175" s="97" t="n">
        <v>182.7</v>
      </c>
      <c r="Z175" s="97" t="n">
        <v>5</v>
      </c>
      <c r="AA175" s="92" t="inlineStr">
        <is>
          <t>WATCHLIST</t>
        </is>
      </c>
    </row>
    <row r="176">
      <c r="A176" s="99" t="inlineStr">
        <is>
          <t>SPLPETRO</t>
        </is>
      </c>
      <c r="B176" s="99" t="inlineStr">
        <is>
          <t>Supreme Petrochem Ltd.</t>
        </is>
      </c>
      <c r="C176" s="99" t="inlineStr">
        <is>
          <t>Chemicals</t>
        </is>
      </c>
      <c r="D176" s="99" t="inlineStr">
        <is>
          <t>Smallcap</t>
        </is>
      </c>
      <c r="E176" s="99" t="n">
        <v>741.6</v>
      </c>
      <c r="F176" s="99" t="n">
        <v>0.84</v>
      </c>
      <c r="G176" s="99" t="n">
        <v>210520</v>
      </c>
      <c r="H176" s="99" t="n">
        <v>0.66</v>
      </c>
      <c r="I176" s="99" t="n">
        <v>13945</v>
      </c>
      <c r="J176" s="99" t="inlineStr">
        <is>
          <t>Y</t>
        </is>
      </c>
      <c r="K176" s="99" t="inlineStr">
        <is>
          <t>Y</t>
        </is>
      </c>
      <c r="L176" s="99" t="inlineStr">
        <is>
          <t>Y</t>
        </is>
      </c>
      <c r="M176" s="99" t="n">
        <v>59.6</v>
      </c>
      <c r="N176" s="99" t="inlineStr">
        <is>
          <t>Y</t>
        </is>
      </c>
      <c r="O176" s="99" t="n">
        <v>23.81</v>
      </c>
      <c r="P176" s="99" t="inlineStr">
        <is>
          <t>N</t>
        </is>
      </c>
      <c r="Q176" s="99" t="inlineStr">
        <is>
          <t>N/A</t>
        </is>
      </c>
      <c r="R176" s="99" t="inlineStr">
        <is>
          <t>N</t>
        </is>
      </c>
      <c r="S176" s="99" t="n">
        <v>2.3</v>
      </c>
      <c r="T176" s="99" t="n">
        <v>-2.7</v>
      </c>
      <c r="U176" s="99" t="inlineStr">
        <is>
          <t>N</t>
        </is>
      </c>
      <c r="V176" s="99" t="n">
        <v>42.4</v>
      </c>
      <c r="W176" s="99" t="n">
        <v>14.3</v>
      </c>
      <c r="X176" s="99" t="n">
        <v>5.61</v>
      </c>
      <c r="Y176" s="99" t="n">
        <v>451.4</v>
      </c>
      <c r="Z176" s="99" t="n">
        <v>5</v>
      </c>
      <c r="AA176" s="94" t="inlineStr">
        <is>
          <t>WATCHLIST</t>
        </is>
      </c>
    </row>
    <row r="177">
      <c r="A177" s="97" t="inlineStr">
        <is>
          <t>TECHM</t>
        </is>
      </c>
      <c r="B177" s="97" t="inlineStr">
        <is>
          <t>Tech Mahindra Ltd.</t>
        </is>
      </c>
      <c r="C177" s="97" t="inlineStr">
        <is>
          <t>Information Technology</t>
        </is>
      </c>
      <c r="D177" s="97" t="inlineStr">
        <is>
          <t>Large/Midcap</t>
        </is>
      </c>
      <c r="E177" s="97" t="n">
        <v>1559.5</v>
      </c>
      <c r="F177" s="97" t="n">
        <v>0.24</v>
      </c>
      <c r="G177" s="97" t="n">
        <v>1231512</v>
      </c>
      <c r="H177" s="97" t="n">
        <v>0.61</v>
      </c>
      <c r="I177" s="97" t="n">
        <v>138148</v>
      </c>
      <c r="J177" s="97" t="inlineStr">
        <is>
          <t>Y</t>
        </is>
      </c>
      <c r="K177" s="97" t="inlineStr">
        <is>
          <t>Y</t>
        </is>
      </c>
      <c r="L177" s="97" t="inlineStr">
        <is>
          <t>Y</t>
        </is>
      </c>
      <c r="M177" s="97" t="n">
        <v>77.59999999999999</v>
      </c>
      <c r="N177" s="97" t="inlineStr">
        <is>
          <t>N</t>
        </is>
      </c>
      <c r="O177" s="97" t="n">
        <v>46.7</v>
      </c>
      <c r="P177" s="97" t="inlineStr">
        <is>
          <t>N</t>
        </is>
      </c>
      <c r="Q177" s="97" t="inlineStr">
        <is>
          <t>N/A</t>
        </is>
      </c>
      <c r="R177" s="97" t="inlineStr">
        <is>
          <t>N</t>
        </is>
      </c>
      <c r="S177" s="97" t="n">
        <v>12.4</v>
      </c>
      <c r="T177" s="97" t="n">
        <v>10.2</v>
      </c>
      <c r="U177" s="97" t="inlineStr">
        <is>
          <t>Y</t>
        </is>
      </c>
      <c r="V177" s="97" t="n">
        <v>27</v>
      </c>
      <c r="W177" s="97" t="inlineStr">
        <is>
          <t>N/A</t>
        </is>
      </c>
      <c r="X177" s="97" t="n">
        <v>7.27</v>
      </c>
      <c r="Y177" s="97" t="n">
        <v>8.199999999999999</v>
      </c>
      <c r="Z177" s="97" t="n">
        <v>5</v>
      </c>
      <c r="AA177" s="92" t="inlineStr">
        <is>
          <t>WATCHLIST</t>
        </is>
      </c>
    </row>
    <row r="178">
      <c r="A178" s="99" t="inlineStr">
        <is>
          <t>NIACL</t>
        </is>
      </c>
      <c r="B178" s="99" t="inlineStr">
        <is>
          <t>The New India Assurance Company Ltd.</t>
        </is>
      </c>
      <c r="C178" s="99" t="inlineStr">
        <is>
          <t>Financial Services</t>
        </is>
      </c>
      <c r="D178" s="99" t="inlineStr">
        <is>
          <t>Large/Midcap</t>
        </is>
      </c>
      <c r="E178" s="99" t="n">
        <v>173.2</v>
      </c>
      <c r="F178" s="99" t="n">
        <v>0.08</v>
      </c>
      <c r="G178" s="99" t="n">
        <v>560258</v>
      </c>
      <c r="H178" s="99" t="n">
        <v>1.16</v>
      </c>
      <c r="I178" s="99" t="n">
        <v>28543</v>
      </c>
      <c r="J178" s="99" t="inlineStr">
        <is>
          <t>Y</t>
        </is>
      </c>
      <c r="K178" s="99" t="inlineStr">
        <is>
          <t>Y</t>
        </is>
      </c>
      <c r="L178" s="99" t="inlineStr">
        <is>
          <t>Y</t>
        </is>
      </c>
      <c r="M178" s="99" t="n">
        <v>34.1</v>
      </c>
      <c r="N178" s="99" t="inlineStr">
        <is>
          <t>N</t>
        </is>
      </c>
      <c r="O178" s="99" t="n">
        <v>5.34</v>
      </c>
      <c r="P178" s="99" t="inlineStr">
        <is>
          <t>N</t>
        </is>
      </c>
      <c r="Q178" s="99" t="inlineStr">
        <is>
          <t>N/A</t>
        </is>
      </c>
      <c r="R178" s="99" t="inlineStr">
        <is>
          <t>N</t>
        </is>
      </c>
      <c r="S178" s="99" t="n">
        <v>-4.4</v>
      </c>
      <c r="T178" s="99" t="n">
        <v>8.6</v>
      </c>
      <c r="U178" s="99" t="inlineStr">
        <is>
          <t>Y</t>
        </is>
      </c>
      <c r="V178" s="99" t="n">
        <v>20.2</v>
      </c>
      <c r="W178" s="99" t="inlineStr">
        <is>
          <t>N/A</t>
        </is>
      </c>
      <c r="X178" s="99" t="inlineStr">
        <is>
          <t>N/A</t>
        </is>
      </c>
      <c r="Y178" s="99" t="n">
        <v>52.1</v>
      </c>
      <c r="Z178" s="99" t="n">
        <v>5</v>
      </c>
      <c r="AA178" s="94" t="inlineStr">
        <is>
          <t>WATCHLIST</t>
        </is>
      </c>
    </row>
    <row r="179">
      <c r="A179" s="97" t="inlineStr">
        <is>
          <t>TITAN</t>
        </is>
      </c>
      <c r="B179" s="97" t="inlineStr">
        <is>
          <t>Titan Company Ltd.</t>
        </is>
      </c>
      <c r="C179" s="97" t="inlineStr">
        <is>
          <t>Consumer Durables</t>
        </is>
      </c>
      <c r="D179" s="97" t="inlineStr">
        <is>
          <t>Large/Midcap</t>
        </is>
      </c>
      <c r="E179" s="97" t="n">
        <v>4677</v>
      </c>
      <c r="F179" s="97" t="n">
        <v>-0.43</v>
      </c>
      <c r="G179" s="97" t="n">
        <v>513858</v>
      </c>
      <c r="H179" s="97" t="n">
        <v>0.79</v>
      </c>
      <c r="I179" s="97" t="n">
        <v>414871</v>
      </c>
      <c r="J179" s="97" t="inlineStr">
        <is>
          <t>Y</t>
        </is>
      </c>
      <c r="K179" s="97" t="inlineStr">
        <is>
          <t>Y</t>
        </is>
      </c>
      <c r="L179" s="97" t="inlineStr">
        <is>
          <t>Y</t>
        </is>
      </c>
      <c r="M179" s="97" t="n">
        <v>76</v>
      </c>
      <c r="N179" s="97" t="inlineStr">
        <is>
          <t>N</t>
        </is>
      </c>
      <c r="O179" s="97" t="n">
        <v>73.92</v>
      </c>
      <c r="P179" s="97" t="inlineStr">
        <is>
          <t>N</t>
        </is>
      </c>
      <c r="Q179" s="97" t="inlineStr">
        <is>
          <t>N/A</t>
        </is>
      </c>
      <c r="R179" s="97" t="inlineStr">
        <is>
          <t>N</t>
        </is>
      </c>
      <c r="S179" s="97" t="n">
        <v>10.4</v>
      </c>
      <c r="T179" s="97" t="n">
        <v>6.2</v>
      </c>
      <c r="U179" s="97" t="inlineStr">
        <is>
          <t>Y</t>
        </is>
      </c>
      <c r="V179" s="97" t="n">
        <v>82</v>
      </c>
      <c r="W179" s="97" t="n">
        <v>37.1</v>
      </c>
      <c r="X179" s="97" t="n">
        <v>195</v>
      </c>
      <c r="Y179" s="97" t="n">
        <v>-30</v>
      </c>
      <c r="Z179" s="97" t="n">
        <v>5</v>
      </c>
      <c r="AA179" s="92" t="inlineStr">
        <is>
          <t>WATCHLIST</t>
        </is>
      </c>
    </row>
    <row r="180">
      <c r="A180" s="99" t="inlineStr">
        <is>
          <t>TRITURBINE</t>
        </is>
      </c>
      <c r="B180" s="99" t="inlineStr">
        <is>
          <t>Triveni Turbine Ltd.</t>
        </is>
      </c>
      <c r="C180" s="99" t="inlineStr">
        <is>
          <t>Capital Goods</t>
        </is>
      </c>
      <c r="D180" s="99" t="inlineStr">
        <is>
          <t>Smallcap</t>
        </is>
      </c>
      <c r="E180" s="99" t="n">
        <v>611.8</v>
      </c>
      <c r="F180" s="99" t="n">
        <v>0.37</v>
      </c>
      <c r="G180" s="99" t="n">
        <v>253366</v>
      </c>
      <c r="H180" s="99" t="n">
        <v>1.01</v>
      </c>
      <c r="I180" s="99" t="n">
        <v>19449</v>
      </c>
      <c r="J180" s="99" t="inlineStr">
        <is>
          <t>Y</t>
        </is>
      </c>
      <c r="K180" s="99" t="inlineStr">
        <is>
          <t>N</t>
        </is>
      </c>
      <c r="L180" s="99" t="inlineStr">
        <is>
          <t>Y</t>
        </is>
      </c>
      <c r="M180" s="99" t="n">
        <v>36.1</v>
      </c>
      <c r="N180" s="99" t="inlineStr">
        <is>
          <t>N</t>
        </is>
      </c>
      <c r="O180" s="99" t="n">
        <v>20.68</v>
      </c>
      <c r="P180" s="99" t="inlineStr">
        <is>
          <t>N</t>
        </is>
      </c>
      <c r="Q180" s="99" t="inlineStr">
        <is>
          <t>N/A</t>
        </is>
      </c>
      <c r="R180" s="99" t="inlineStr">
        <is>
          <t>N</t>
        </is>
      </c>
      <c r="S180" s="99" t="n">
        <v>-7.5</v>
      </c>
      <c r="T180" s="99" t="n">
        <v>7</v>
      </c>
      <c r="U180" s="99" t="inlineStr">
        <is>
          <t>Y</t>
        </is>
      </c>
      <c r="V180" s="99" t="n">
        <v>55.6</v>
      </c>
      <c r="W180" s="99" t="n">
        <v>26.2</v>
      </c>
      <c r="X180" s="99" t="n">
        <v>2.48</v>
      </c>
      <c r="Y180" s="99" t="n">
        <v>10.6</v>
      </c>
      <c r="Z180" s="99" t="n">
        <v>5</v>
      </c>
      <c r="AA180" s="94" t="inlineStr">
        <is>
          <t>WATCHLIST</t>
        </is>
      </c>
    </row>
    <row r="181">
      <c r="A181" s="97" t="inlineStr">
        <is>
          <t>UNOMINDA</t>
        </is>
      </c>
      <c r="B181" s="97" t="inlineStr">
        <is>
          <t>UNO Minda Ltd.</t>
        </is>
      </c>
      <c r="C181" s="97" t="inlineStr">
        <is>
          <t>Automobile and Auto Components</t>
        </is>
      </c>
      <c r="D181" s="97" t="inlineStr">
        <is>
          <t>Large/Midcap</t>
        </is>
      </c>
      <c r="E181" s="97" t="n">
        <v>1127</v>
      </c>
      <c r="F181" s="97" t="n">
        <v>-0.26</v>
      </c>
      <c r="G181" s="97" t="n">
        <v>1004753</v>
      </c>
      <c r="H181" s="97" t="n">
        <v>1.53</v>
      </c>
      <c r="I181" s="97" t="n">
        <v>65081</v>
      </c>
      <c r="J181" s="97" t="inlineStr">
        <is>
          <t>Y</t>
        </is>
      </c>
      <c r="K181" s="97" t="inlineStr">
        <is>
          <t>Y</t>
        </is>
      </c>
      <c r="L181" s="97" t="inlineStr">
        <is>
          <t>N</t>
        </is>
      </c>
      <c r="M181" s="97" t="n">
        <v>45.9</v>
      </c>
      <c r="N181" s="97" t="inlineStr">
        <is>
          <t>N</t>
        </is>
      </c>
      <c r="O181" s="97" t="n">
        <v>30.01</v>
      </c>
      <c r="P181" s="97" t="inlineStr">
        <is>
          <t>N</t>
        </is>
      </c>
      <c r="Q181" s="97" t="inlineStr">
        <is>
          <t>N/A</t>
        </is>
      </c>
      <c r="R181" s="97" t="inlineStr">
        <is>
          <t>N</t>
        </is>
      </c>
      <c r="S181" s="97" t="n">
        <v>0.2</v>
      </c>
      <c r="T181" s="97" t="n">
        <v>0.3</v>
      </c>
      <c r="U181" s="97" t="inlineStr">
        <is>
          <t>Y</t>
        </is>
      </c>
      <c r="V181" s="97" t="n">
        <v>54.3</v>
      </c>
      <c r="W181" s="97" t="n">
        <v>19.2</v>
      </c>
      <c r="X181" s="97" t="n">
        <v>37.74</v>
      </c>
      <c r="Y181" s="97" t="n">
        <v>17.8</v>
      </c>
      <c r="Z181" s="97" t="n">
        <v>5</v>
      </c>
      <c r="AA181" s="92" t="inlineStr">
        <is>
          <t>WATCHLIST</t>
        </is>
      </c>
    </row>
    <row r="182">
      <c r="A182" s="99" t="inlineStr">
        <is>
          <t>ULTRACEMCO</t>
        </is>
      </c>
      <c r="B182" s="99" t="inlineStr">
        <is>
          <t>UltraTech Cement Ltd.</t>
        </is>
      </c>
      <c r="C182" s="99" t="inlineStr">
        <is>
          <t>Construction Materials</t>
        </is>
      </c>
      <c r="D182" s="99" t="inlineStr">
        <is>
          <t>Large/Midcap</t>
        </is>
      </c>
      <c r="E182" s="99" t="n">
        <v>11846</v>
      </c>
      <c r="F182" s="99" t="n">
        <v>-0.52</v>
      </c>
      <c r="G182" s="99" t="n">
        <v>229015</v>
      </c>
      <c r="H182" s="99" t="n">
        <v>0.45</v>
      </c>
      <c r="I182" s="99" t="n">
        <v>348473</v>
      </c>
      <c r="J182" s="99" t="inlineStr">
        <is>
          <t>Y</t>
        </is>
      </c>
      <c r="K182" s="99" t="inlineStr">
        <is>
          <t>Y</t>
        </is>
      </c>
      <c r="L182" s="99" t="inlineStr">
        <is>
          <t>Y</t>
        </is>
      </c>
      <c r="M182" s="99" t="n">
        <v>54.8</v>
      </c>
      <c r="N182" s="99" t="inlineStr">
        <is>
          <t>Y</t>
        </is>
      </c>
      <c r="O182" s="99" t="n">
        <v>238.21</v>
      </c>
      <c r="P182" s="99" t="inlineStr">
        <is>
          <t>N</t>
        </is>
      </c>
      <c r="Q182" s="99" t="inlineStr">
        <is>
          <t>N/A</t>
        </is>
      </c>
      <c r="R182" s="99" t="inlineStr">
        <is>
          <t>N</t>
        </is>
      </c>
      <c r="S182" s="99" t="n">
        <v>4.2</v>
      </c>
      <c r="T182" s="99" t="n">
        <v>0.7</v>
      </c>
      <c r="U182" s="99" t="inlineStr">
        <is>
          <t>Y</t>
        </is>
      </c>
      <c r="V182" s="99" t="n">
        <v>40.8</v>
      </c>
      <c r="W182" s="99" t="inlineStr">
        <is>
          <t>N/A</t>
        </is>
      </c>
      <c r="X182" s="99" t="n">
        <v>29.43</v>
      </c>
      <c r="Y182" s="99" t="n">
        <v>-12.9</v>
      </c>
      <c r="Z182" s="99" t="n">
        <v>5</v>
      </c>
      <c r="AA182" s="94" t="inlineStr">
        <is>
          <t>WATCHLIST</t>
        </is>
      </c>
    </row>
    <row r="183">
      <c r="A183" s="97" t="inlineStr">
        <is>
          <t>WELSPUNLIV</t>
        </is>
      </c>
      <c r="B183" s="97" t="inlineStr">
        <is>
          <t>Welspun Living Ltd.</t>
        </is>
      </c>
      <c r="C183" s="97" t="inlineStr">
        <is>
          <t>Textiles</t>
        </is>
      </c>
      <c r="D183" s="97" t="inlineStr">
        <is>
          <t>Smallcap</t>
        </is>
      </c>
      <c r="E183" s="97" t="n">
        <v>162</v>
      </c>
      <c r="F183" s="97" t="n">
        <v>-1.81</v>
      </c>
      <c r="G183" s="97" t="n">
        <v>855247</v>
      </c>
      <c r="H183" s="97" t="n">
        <v>0.62</v>
      </c>
      <c r="I183" s="97" t="n">
        <v>15251</v>
      </c>
      <c r="J183" s="97" t="inlineStr">
        <is>
          <t>Y</t>
        </is>
      </c>
      <c r="K183" s="97" t="inlineStr">
        <is>
          <t>Y</t>
        </is>
      </c>
      <c r="L183" s="97" t="inlineStr">
        <is>
          <t>Y</t>
        </is>
      </c>
      <c r="M183" s="97" t="n">
        <v>40.6</v>
      </c>
      <c r="N183" s="97" t="inlineStr">
        <is>
          <t>N</t>
        </is>
      </c>
      <c r="O183" s="97" t="n">
        <v>6.09</v>
      </c>
      <c r="P183" s="97" t="inlineStr">
        <is>
          <t>N</t>
        </is>
      </c>
      <c r="Q183" s="97" t="inlineStr">
        <is>
          <t>N/A</t>
        </is>
      </c>
      <c r="R183" s="97" t="inlineStr">
        <is>
          <t>N</t>
        </is>
      </c>
      <c r="S183" s="97" t="n">
        <v>-2.1</v>
      </c>
      <c r="T183" s="97" t="n">
        <v>25</v>
      </c>
      <c r="U183" s="97" t="inlineStr">
        <is>
          <t>Y</t>
        </is>
      </c>
      <c r="V183" s="97" t="n">
        <v>75.7</v>
      </c>
      <c r="W183" s="97" t="n">
        <v>4.3</v>
      </c>
      <c r="X183" s="97" t="n">
        <v>46.5</v>
      </c>
      <c r="Y183" s="97" t="n">
        <v>49281</v>
      </c>
      <c r="Z183" s="97" t="n">
        <v>5</v>
      </c>
      <c r="AA183" s="92" t="inlineStr">
        <is>
          <t>WATCHLIST</t>
        </is>
      </c>
    </row>
    <row r="184">
      <c r="A184" s="99" t="inlineStr">
        <is>
          <t>ZEEL</t>
        </is>
      </c>
      <c r="B184" s="99" t="inlineStr">
        <is>
          <t>Zee Entertainment Enterprises Ltd.</t>
        </is>
      </c>
      <c r="C184" s="99" t="inlineStr">
        <is>
          <t>Media Entertainment &amp; Publication</t>
        </is>
      </c>
      <c r="D184" s="99" t="inlineStr">
        <is>
          <t>Smallcap</t>
        </is>
      </c>
      <c r="E184" s="99" t="n">
        <v>105.46</v>
      </c>
      <c r="F184" s="99" t="n">
        <v>1.97</v>
      </c>
      <c r="G184" s="99" t="n">
        <v>13489797</v>
      </c>
      <c r="H184" s="99" t="n">
        <v>1.13</v>
      </c>
      <c r="I184" s="99" t="n">
        <v>10130</v>
      </c>
      <c r="J184" s="99" t="inlineStr">
        <is>
          <t>Y</t>
        </is>
      </c>
      <c r="K184" s="99" t="inlineStr">
        <is>
          <t>Y</t>
        </is>
      </c>
      <c r="L184" s="99" t="inlineStr">
        <is>
          <t>Y</t>
        </is>
      </c>
      <c r="M184" s="99" t="n">
        <v>57.3</v>
      </c>
      <c r="N184" s="99" t="inlineStr">
        <is>
          <t>Y</t>
        </is>
      </c>
      <c r="O184" s="99" t="n">
        <v>4.29</v>
      </c>
      <c r="P184" s="99" t="inlineStr">
        <is>
          <t>N</t>
        </is>
      </c>
      <c r="Q184" s="99" t="inlineStr">
        <is>
          <t>N/A</t>
        </is>
      </c>
      <c r="R184" s="99" t="inlineStr">
        <is>
          <t>N</t>
        </is>
      </c>
      <c r="S184" s="99" t="n">
        <v>-4.2</v>
      </c>
      <c r="T184" s="99" t="n">
        <v>17.1</v>
      </c>
      <c r="U184" s="99" t="inlineStr">
        <is>
          <t>Y</t>
        </is>
      </c>
      <c r="V184" s="99" t="n">
        <v>37.4</v>
      </c>
      <c r="W184" s="99" t="n">
        <v>2.3</v>
      </c>
      <c r="X184" s="99" t="n">
        <v>2.26</v>
      </c>
      <c r="Y184" s="99" t="n">
        <v>-165.9</v>
      </c>
      <c r="Z184" s="99" t="n">
        <v>5</v>
      </c>
      <c r="AA184" s="94" t="inlineStr">
        <is>
          <t>WATCHLIST</t>
        </is>
      </c>
    </row>
    <row r="185">
      <c r="A185" s="97" t="inlineStr">
        <is>
          <t>ZENSARTECH</t>
        </is>
      </c>
      <c r="B185" s="97" t="inlineStr">
        <is>
          <t>Zensar Technolgies Ltd.</t>
        </is>
      </c>
      <c r="C185" s="97" t="inlineStr">
        <is>
          <t>Information Technology</t>
        </is>
      </c>
      <c r="D185" s="97" t="inlineStr">
        <is>
          <t>Smallcap</t>
        </is>
      </c>
      <c r="E185" s="97" t="n">
        <v>505.9</v>
      </c>
      <c r="F185" s="97" t="n">
        <v>3.87</v>
      </c>
      <c r="G185" s="97" t="n">
        <v>4472153</v>
      </c>
      <c r="H185" s="97" t="n">
        <v>3.24</v>
      </c>
      <c r="I185" s="97" t="n">
        <v>11471</v>
      </c>
      <c r="J185" s="97" t="inlineStr">
        <is>
          <t>Y</t>
        </is>
      </c>
      <c r="K185" s="97" t="inlineStr">
        <is>
          <t>Y</t>
        </is>
      </c>
      <c r="L185" s="97" t="inlineStr">
        <is>
          <t>N</t>
        </is>
      </c>
      <c r="M185" s="97" t="n">
        <v>58.5</v>
      </c>
      <c r="N185" s="97" t="inlineStr">
        <is>
          <t>Y</t>
        </is>
      </c>
      <c r="O185" s="97" t="n">
        <v>26.69</v>
      </c>
      <c r="P185" s="97" t="inlineStr">
        <is>
          <t>N</t>
        </is>
      </c>
      <c r="Q185" s="97" t="inlineStr">
        <is>
          <t>N/A</t>
        </is>
      </c>
      <c r="R185" s="97" t="inlineStr">
        <is>
          <t>N</t>
        </is>
      </c>
      <c r="S185" s="97" t="n">
        <v>17.4</v>
      </c>
      <c r="T185" s="97" t="n">
        <v>0</v>
      </c>
      <c r="U185" s="97" t="inlineStr">
        <is>
          <t>N</t>
        </is>
      </c>
      <c r="V185" s="97" t="n">
        <v>15</v>
      </c>
      <c r="W185" s="97" t="n">
        <v>17.6</v>
      </c>
      <c r="X185" s="97" t="n">
        <v>1.68</v>
      </c>
      <c r="Y185" s="97" t="n">
        <v>5.4</v>
      </c>
      <c r="Z185" s="97" t="n">
        <v>5</v>
      </c>
      <c r="AA185" s="92" t="inlineStr">
        <is>
          <t>WATCHLIST</t>
        </is>
      </c>
    </row>
    <row r="186">
      <c r="A186" s="99" t="inlineStr">
        <is>
          <t>ZYDUSWELL</t>
        </is>
      </c>
      <c r="B186" s="99" t="inlineStr">
        <is>
          <t>Zydus Wellness Ltd.</t>
        </is>
      </c>
      <c r="C186" s="99" t="inlineStr">
        <is>
          <t>Fast Moving Consumer Goods</t>
        </is>
      </c>
      <c r="D186" s="99" t="inlineStr">
        <is>
          <t>Smallcap</t>
        </is>
      </c>
      <c r="E186" s="99" t="n">
        <v>563.05</v>
      </c>
      <c r="F186" s="99" t="n">
        <v>2.21</v>
      </c>
      <c r="G186" s="99" t="n">
        <v>212435</v>
      </c>
      <c r="H186" s="99" t="n">
        <v>0.91</v>
      </c>
      <c r="I186" s="99" t="n">
        <v>17914</v>
      </c>
      <c r="J186" s="99" t="inlineStr">
        <is>
          <t>Y</t>
        </is>
      </c>
      <c r="K186" s="99" t="inlineStr">
        <is>
          <t>Y</t>
        </is>
      </c>
      <c r="L186" s="99" t="inlineStr">
        <is>
          <t>Y</t>
        </is>
      </c>
      <c r="M186" s="99" t="n">
        <v>45.2</v>
      </c>
      <c r="N186" s="99" t="inlineStr">
        <is>
          <t>N</t>
        </is>
      </c>
      <c r="O186" s="99" t="n">
        <v>22.94</v>
      </c>
      <c r="P186" s="99" t="inlineStr">
        <is>
          <t>N</t>
        </is>
      </c>
      <c r="Q186" s="99" t="inlineStr">
        <is>
          <t>N/A</t>
        </is>
      </c>
      <c r="R186" s="99" t="inlineStr">
        <is>
          <t>N</t>
        </is>
      </c>
      <c r="S186" s="99" t="n">
        <v>10</v>
      </c>
      <c r="T186" s="99" t="n">
        <v>13.3</v>
      </c>
      <c r="U186" s="99" t="inlineStr">
        <is>
          <t>Y</t>
        </is>
      </c>
      <c r="V186" s="99" t="n">
        <v>91</v>
      </c>
      <c r="W186" s="99" t="n">
        <v>3.4</v>
      </c>
      <c r="X186" s="99" t="n">
        <v>54.97</v>
      </c>
      <c r="Y186" s="99" t="n">
        <v>506</v>
      </c>
      <c r="Z186" s="99" t="n">
        <v>5</v>
      </c>
      <c r="AA186" s="94" t="inlineStr">
        <is>
          <t>WATCHLIST</t>
        </is>
      </c>
    </row>
    <row r="187">
      <c r="A187" s="97" t="inlineStr">
        <is>
          <t>ECLERX</t>
        </is>
      </c>
      <c r="B187" s="97" t="inlineStr">
        <is>
          <t>eClerx Services Ltd.</t>
        </is>
      </c>
      <c r="C187" s="97" t="inlineStr">
        <is>
          <t>Services</t>
        </is>
      </c>
      <c r="D187" s="97" t="inlineStr">
        <is>
          <t>Smallcap</t>
        </is>
      </c>
      <c r="E187" s="97" t="n">
        <v>1861.5</v>
      </c>
      <c r="F187" s="97" t="n">
        <v>-1.48</v>
      </c>
      <c r="G187" s="97" t="n">
        <v>205758</v>
      </c>
      <c r="H187" s="97" t="n">
        <v>0.57</v>
      </c>
      <c r="I187" s="97" t="n">
        <v>17131</v>
      </c>
      <c r="J187" s="97" t="inlineStr">
        <is>
          <t>Y</t>
        </is>
      </c>
      <c r="K187" s="97" t="inlineStr">
        <is>
          <t>Y</t>
        </is>
      </c>
      <c r="L187" s="97" t="inlineStr">
        <is>
          <t>Y</t>
        </is>
      </c>
      <c r="M187" s="97" t="n">
        <v>72.8</v>
      </c>
      <c r="N187" s="97" t="inlineStr">
        <is>
          <t>N</t>
        </is>
      </c>
      <c r="O187" s="97" t="n">
        <v>103.14</v>
      </c>
      <c r="P187" s="97" t="inlineStr">
        <is>
          <t>N</t>
        </is>
      </c>
      <c r="Q187" s="97" t="inlineStr">
        <is>
          <t>N/A</t>
        </is>
      </c>
      <c r="R187" s="97" t="inlineStr">
        <is>
          <t>N</t>
        </is>
      </c>
      <c r="S187" s="97" t="n">
        <v>33.6</v>
      </c>
      <c r="T187" s="97" t="n">
        <v>32</v>
      </c>
      <c r="U187" s="97" t="inlineStr">
        <is>
          <t>Y</t>
        </is>
      </c>
      <c r="V187" s="97" t="n">
        <v>25</v>
      </c>
      <c r="W187" s="97" t="n">
        <v>29</v>
      </c>
      <c r="X187" s="97" t="n">
        <v>15.01</v>
      </c>
      <c r="Y187" s="97" t="n">
        <v>-1.4</v>
      </c>
      <c r="Z187" s="97" t="n">
        <v>5</v>
      </c>
      <c r="AA187" s="92" t="inlineStr">
        <is>
          <t>WATCHLIST</t>
        </is>
      </c>
    </row>
    <row r="188">
      <c r="A188" s="99" t="inlineStr">
        <is>
          <t>360ONE</t>
        </is>
      </c>
      <c r="B188" s="99" t="inlineStr">
        <is>
          <t>360 ONE WAM Ltd.</t>
        </is>
      </c>
      <c r="C188" s="99" t="inlineStr">
        <is>
          <t>Financial Services</t>
        </is>
      </c>
      <c r="D188" s="99" t="inlineStr">
        <is>
          <t>Large/Midcap</t>
        </is>
      </c>
      <c r="E188" s="99" t="n">
        <v>1102.3</v>
      </c>
      <c r="F188" s="99" t="n">
        <v>1.76</v>
      </c>
      <c r="G188" s="99" t="n">
        <v>918262</v>
      </c>
      <c r="H188" s="99" t="n">
        <v>0.88</v>
      </c>
      <c r="I188" s="99" t="n">
        <v>44851</v>
      </c>
      <c r="J188" s="99" t="inlineStr">
        <is>
          <t>Y</t>
        </is>
      </c>
      <c r="K188" s="99" t="inlineStr">
        <is>
          <t>N</t>
        </is>
      </c>
      <c r="L188" s="99" t="inlineStr">
        <is>
          <t>Y</t>
        </is>
      </c>
      <c r="M188" s="99" t="n">
        <v>44.2</v>
      </c>
      <c r="N188" s="99" t="inlineStr">
        <is>
          <t>N</t>
        </is>
      </c>
      <c r="O188" s="99" t="n">
        <v>34.8</v>
      </c>
      <c r="P188" s="99" t="inlineStr">
        <is>
          <t>N</t>
        </is>
      </c>
      <c r="Q188" s="99" t="inlineStr">
        <is>
          <t>N/A</t>
        </is>
      </c>
      <c r="R188" s="99" t="inlineStr">
        <is>
          <t>N</t>
        </is>
      </c>
      <c r="S188" s="99" t="n">
        <v>2.6</v>
      </c>
      <c r="T188" s="99" t="n">
        <v>5.8</v>
      </c>
      <c r="U188" s="99" t="inlineStr">
        <is>
          <t>Y</t>
        </is>
      </c>
      <c r="V188" s="99" t="n">
        <v>36.6</v>
      </c>
      <c r="W188" s="99" t="inlineStr">
        <is>
          <t>N/A</t>
        </is>
      </c>
      <c r="X188" s="99" t="n">
        <v>161.98</v>
      </c>
      <c r="Y188" s="99" t="n">
        <v>14.5</v>
      </c>
      <c r="Z188" s="99" t="n">
        <v>4</v>
      </c>
      <c r="AA188" s="94" t="inlineStr">
        <is>
          <t>AVOID</t>
        </is>
      </c>
    </row>
    <row r="189">
      <c r="A189" s="97" t="inlineStr">
        <is>
          <t>APLAPOLLO</t>
        </is>
      </c>
      <c r="B189" s="97" t="inlineStr">
        <is>
          <t>APL Apollo Tubes Ltd.</t>
        </is>
      </c>
      <c r="C189" s="97" t="inlineStr">
        <is>
          <t>Capital Goods</t>
        </is>
      </c>
      <c r="D189" s="97" t="inlineStr">
        <is>
          <t>Large/Midcap</t>
        </is>
      </c>
      <c r="E189" s="97" t="n">
        <v>1822.8</v>
      </c>
      <c r="F189" s="97" t="n">
        <v>-0.44</v>
      </c>
      <c r="G189" s="97" t="n">
        <v>230999</v>
      </c>
      <c r="H189" s="97" t="n">
        <v>0.73</v>
      </c>
      <c r="I189" s="97" t="n">
        <v>50612</v>
      </c>
      <c r="J189" s="97" t="inlineStr">
        <is>
          <t>Y</t>
        </is>
      </c>
      <c r="K189" s="97" t="inlineStr">
        <is>
          <t>N</t>
        </is>
      </c>
      <c r="L189" s="97" t="inlineStr">
        <is>
          <t>N</t>
        </is>
      </c>
      <c r="M189" s="97" t="n">
        <v>54.1</v>
      </c>
      <c r="N189" s="97" t="inlineStr">
        <is>
          <t>Y</t>
        </is>
      </c>
      <c r="O189" s="97" t="n">
        <v>31.81</v>
      </c>
      <c r="P189" s="97" t="inlineStr">
        <is>
          <t>N</t>
        </is>
      </c>
      <c r="Q189" s="97" t="inlineStr">
        <is>
          <t>N/A</t>
        </is>
      </c>
      <c r="R189" s="97" t="inlineStr">
        <is>
          <t>N</t>
        </is>
      </c>
      <c r="S189" s="97" t="n">
        <v>2.7</v>
      </c>
      <c r="T189" s="97" t="n">
        <v>-6.8</v>
      </c>
      <c r="U189" s="97" t="inlineStr">
        <is>
          <t>N</t>
        </is>
      </c>
      <c r="V189" s="97" t="n">
        <v>42</v>
      </c>
      <c r="W189" s="97" t="n">
        <v>25.3</v>
      </c>
      <c r="X189" s="97" t="n">
        <v>9.4</v>
      </c>
      <c r="Y189" s="97" t="n">
        <v>14.3</v>
      </c>
      <c r="Z189" s="97" t="n">
        <v>4</v>
      </c>
      <c r="AA189" s="92" t="inlineStr">
        <is>
          <t>AVOID</t>
        </is>
      </c>
    </row>
    <row r="190">
      <c r="A190" s="99" t="inlineStr">
        <is>
          <t>AARTIIND</t>
        </is>
      </c>
      <c r="B190" s="99" t="inlineStr">
        <is>
          <t>Aarti Industries Ltd.</t>
        </is>
      </c>
      <c r="C190" s="99" t="inlineStr">
        <is>
          <t>Chemicals</t>
        </is>
      </c>
      <c r="D190" s="99" t="inlineStr">
        <is>
          <t>Smallcap</t>
        </is>
      </c>
      <c r="E190" s="99" t="n">
        <v>477.8</v>
      </c>
      <c r="F190" s="99" t="n">
        <v>-0.08</v>
      </c>
      <c r="G190" s="99" t="n">
        <v>309677</v>
      </c>
      <c r="H190" s="99" t="n">
        <v>0.49</v>
      </c>
      <c r="I190" s="99" t="n">
        <v>17331</v>
      </c>
      <c r="J190" s="99" t="inlineStr">
        <is>
          <t>Y</t>
        </is>
      </c>
      <c r="K190" s="99" t="inlineStr">
        <is>
          <t>Y</t>
        </is>
      </c>
      <c r="L190" s="99" t="inlineStr">
        <is>
          <t>Y</t>
        </is>
      </c>
      <c r="M190" s="99" t="n">
        <v>44.8</v>
      </c>
      <c r="N190" s="99" t="inlineStr">
        <is>
          <t>N</t>
        </is>
      </c>
      <c r="O190" s="99" t="n">
        <v>16.23</v>
      </c>
      <c r="P190" s="99" t="inlineStr">
        <is>
          <t>N</t>
        </is>
      </c>
      <c r="Q190" s="99" t="inlineStr">
        <is>
          <t>N/A</t>
        </is>
      </c>
      <c r="R190" s="99" t="inlineStr">
        <is>
          <t>N</t>
        </is>
      </c>
      <c r="S190" s="99" t="n">
        <v>3.6</v>
      </c>
      <c r="T190" s="99" t="n">
        <v>-4.3</v>
      </c>
      <c r="U190" s="99" t="inlineStr">
        <is>
          <t>N</t>
        </is>
      </c>
      <c r="V190" s="99" t="n">
        <v>41.3</v>
      </c>
      <c r="W190" s="99" t="n">
        <v>7.2</v>
      </c>
      <c r="X190" s="99" t="n">
        <v>83.39</v>
      </c>
      <c r="Y190" s="99" t="n">
        <v>3</v>
      </c>
      <c r="Z190" s="99" t="n">
        <v>4</v>
      </c>
      <c r="AA190" s="94" t="inlineStr">
        <is>
          <t>AVOID</t>
        </is>
      </c>
    </row>
    <row r="191">
      <c r="A191" s="97" t="inlineStr">
        <is>
          <t>ACUTAAS</t>
        </is>
      </c>
      <c r="B191" s="97" t="inlineStr">
        <is>
          <t>Acutaas Chemicals Ltd.</t>
        </is>
      </c>
      <c r="C191" s="97" t="inlineStr">
        <is>
          <t>Healthcare</t>
        </is>
      </c>
      <c r="D191" s="97" t="inlineStr">
        <is>
          <t>Smallcap</t>
        </is>
      </c>
      <c r="E191" s="97" t="n">
        <v>3259.5</v>
      </c>
      <c r="F191" s="97" t="n">
        <v>-5.77</v>
      </c>
      <c r="G191" s="97" t="n">
        <v>1243383</v>
      </c>
      <c r="H191" s="97" t="n">
        <v>5.08</v>
      </c>
      <c r="I191" s="97" t="n">
        <v>26686</v>
      </c>
      <c r="J191" s="97" t="inlineStr">
        <is>
          <t>Y</t>
        </is>
      </c>
      <c r="K191" s="97" t="inlineStr">
        <is>
          <t>N</t>
        </is>
      </c>
      <c r="L191" s="97" t="inlineStr">
        <is>
          <t>Y</t>
        </is>
      </c>
      <c r="M191" s="97" t="n">
        <v>37.4</v>
      </c>
      <c r="N191" s="97" t="inlineStr">
        <is>
          <t>N</t>
        </is>
      </c>
      <c r="O191" s="97" t="n">
        <v>135.88</v>
      </c>
      <c r="P191" s="97" t="inlineStr">
        <is>
          <t>Y</t>
        </is>
      </c>
      <c r="Q191" s="97" t="inlineStr">
        <is>
          <t>N/A</t>
        </is>
      </c>
      <c r="R191" s="97" t="inlineStr">
        <is>
          <t>N</t>
        </is>
      </c>
      <c r="S191" s="97" t="n">
        <v>-0.2</v>
      </c>
      <c r="T191" s="97" t="n">
        <v>30.8</v>
      </c>
      <c r="U191" s="97" t="inlineStr">
        <is>
          <t>Y</t>
        </is>
      </c>
      <c r="V191" s="97" t="n">
        <v>93.40000000000001</v>
      </c>
      <c r="W191" s="97" t="inlineStr">
        <is>
          <t>N/A</t>
        </is>
      </c>
      <c r="X191" s="97" t="n">
        <v>2.08</v>
      </c>
      <c r="Y191" s="97" t="n"/>
      <c r="Z191" s="97" t="n">
        <v>4</v>
      </c>
      <c r="AA191" s="92" t="inlineStr">
        <is>
          <t>AVOID</t>
        </is>
      </c>
    </row>
    <row r="192">
      <c r="A192" s="99" t="inlineStr">
        <is>
          <t>ADANIENT</t>
        </is>
      </c>
      <c r="B192" s="99" t="inlineStr">
        <is>
          <t>Adani Enterprises Ltd.</t>
        </is>
      </c>
      <c r="C192" s="99" t="inlineStr">
        <is>
          <t>Metals &amp; Mining</t>
        </is>
      </c>
      <c r="D192" s="99" t="inlineStr">
        <is>
          <t>Large/Midcap</t>
        </is>
      </c>
      <c r="E192" s="99" t="n">
        <v>3026.4</v>
      </c>
      <c r="F192" s="99" t="n">
        <v>0.54</v>
      </c>
      <c r="G192" s="99" t="n">
        <v>1280635</v>
      </c>
      <c r="H192" s="99" t="n">
        <v>1.09</v>
      </c>
      <c r="I192" s="99" t="n">
        <v>430649</v>
      </c>
      <c r="J192" s="99" t="inlineStr">
        <is>
          <t>Y</t>
        </is>
      </c>
      <c r="K192" s="99" t="inlineStr">
        <is>
          <t>Y</t>
        </is>
      </c>
      <c r="L192" s="99" t="inlineStr">
        <is>
          <t>Y</t>
        </is>
      </c>
      <c r="M192" s="99" t="n">
        <v>34</v>
      </c>
      <c r="N192" s="99" t="inlineStr">
        <is>
          <t>N</t>
        </is>
      </c>
      <c r="O192" s="99" t="n">
        <v>77.16</v>
      </c>
      <c r="P192" s="99" t="inlineStr">
        <is>
          <t>N</t>
        </is>
      </c>
      <c r="Q192" s="99" t="inlineStr">
        <is>
          <t>N/A</t>
        </is>
      </c>
      <c r="R192" s="99" t="inlineStr">
        <is>
          <t>N</t>
        </is>
      </c>
      <c r="S192" s="99" t="n">
        <v>0.7</v>
      </c>
      <c r="T192" s="99" t="n">
        <v>25.4</v>
      </c>
      <c r="U192" s="99" t="inlineStr">
        <is>
          <t>Y</t>
        </is>
      </c>
      <c r="V192" s="99" t="n">
        <v>41.2</v>
      </c>
      <c r="W192" s="99" t="n">
        <v>13.7</v>
      </c>
      <c r="X192" s="99" t="n">
        <v>119.56</v>
      </c>
      <c r="Y192" s="99" t="n">
        <v>-103.9</v>
      </c>
      <c r="Z192" s="99" t="n">
        <v>4</v>
      </c>
      <c r="AA192" s="94" t="inlineStr">
        <is>
          <t>AVOID</t>
        </is>
      </c>
    </row>
    <row r="193">
      <c r="A193" s="97" t="inlineStr">
        <is>
          <t>ABSLAMC</t>
        </is>
      </c>
      <c r="B193" s="97" t="inlineStr">
        <is>
          <t>Aditya Birla Sun Life AMC Ltd.</t>
        </is>
      </c>
      <c r="C193" s="97" t="inlineStr">
        <is>
          <t>Financial Services</t>
        </is>
      </c>
      <c r="D193" s="97" t="inlineStr">
        <is>
          <t>Smallcap</t>
        </is>
      </c>
      <c r="E193" s="97" t="n">
        <v>1017</v>
      </c>
      <c r="F193" s="97" t="n">
        <v>3.14</v>
      </c>
      <c r="G193" s="97" t="n">
        <v>546485</v>
      </c>
      <c r="H193" s="97" t="n">
        <v>0.64</v>
      </c>
      <c r="I193" s="97" t="n">
        <v>29418</v>
      </c>
      <c r="J193" s="97" t="inlineStr">
        <is>
          <t>Y</t>
        </is>
      </c>
      <c r="K193" s="97" t="inlineStr">
        <is>
          <t>N</t>
        </is>
      </c>
      <c r="L193" s="97" t="inlineStr">
        <is>
          <t>Y</t>
        </is>
      </c>
      <c r="M193" s="97" t="n">
        <v>32</v>
      </c>
      <c r="N193" s="97" t="inlineStr">
        <is>
          <t>N</t>
        </is>
      </c>
      <c r="O193" s="97" t="n">
        <v>40.08</v>
      </c>
      <c r="P193" s="97" t="inlineStr">
        <is>
          <t>N</t>
        </is>
      </c>
      <c r="Q193" s="97" t="inlineStr">
        <is>
          <t>N/A</t>
        </is>
      </c>
      <c r="R193" s="97" t="inlineStr">
        <is>
          <t>N</t>
        </is>
      </c>
      <c r="S193" s="97" t="n">
        <v>-7.6</v>
      </c>
      <c r="T193" s="97" t="n">
        <v>2.3</v>
      </c>
      <c r="U193" s="97" t="inlineStr">
        <is>
          <t>Y</t>
        </is>
      </c>
      <c r="V193" s="97" t="n">
        <v>29.2</v>
      </c>
      <c r="W193" s="97" t="inlineStr">
        <is>
          <t>N/A</t>
        </is>
      </c>
      <c r="X193" s="97" t="n">
        <v>1.58</v>
      </c>
      <c r="Y193" s="97" t="n">
        <v>65.40000000000001</v>
      </c>
      <c r="Z193" s="97" t="n">
        <v>4</v>
      </c>
      <c r="AA193" s="92" t="inlineStr">
        <is>
          <t>AVOID</t>
        </is>
      </c>
    </row>
    <row r="194">
      <c r="A194" s="99" t="inlineStr">
        <is>
          <t>ARE&amp;M</t>
        </is>
      </c>
      <c r="B194" s="99" t="inlineStr">
        <is>
          <t>Amara Raja Energy &amp; Mobility Ltd.</t>
        </is>
      </c>
      <c r="C194" s="99" t="inlineStr">
        <is>
          <t>Automobile and Auto Components</t>
        </is>
      </c>
      <c r="D194" s="99" t="inlineStr">
        <is>
          <t>Smallcap</t>
        </is>
      </c>
      <c r="E194" s="99" t="n">
        <v>872.9</v>
      </c>
      <c r="F194" s="99" t="n">
        <v>-0.4</v>
      </c>
      <c r="G194" s="99" t="n">
        <v>631693</v>
      </c>
      <c r="H194" s="99" t="n">
        <v>1</v>
      </c>
      <c r="I194" s="99" t="n">
        <v>15976</v>
      </c>
      <c r="J194" s="99" t="inlineStr">
        <is>
          <t>Y</t>
        </is>
      </c>
      <c r="K194" s="99" t="inlineStr">
        <is>
          <t>Y</t>
        </is>
      </c>
      <c r="L194" s="99" t="inlineStr">
        <is>
          <t>N</t>
        </is>
      </c>
      <c r="M194" s="99" t="n">
        <v>56.7</v>
      </c>
      <c r="N194" s="99" t="inlineStr">
        <is>
          <t>Y</t>
        </is>
      </c>
      <c r="O194" s="99" t="n">
        <v>26.66</v>
      </c>
      <c r="P194" s="99" t="inlineStr">
        <is>
          <t>N</t>
        </is>
      </c>
      <c r="Q194" s="99" t="inlineStr">
        <is>
          <t>N/A</t>
        </is>
      </c>
      <c r="R194" s="99" t="inlineStr">
        <is>
          <t>N</t>
        </is>
      </c>
      <c r="S194" s="99" t="n">
        <v>5.6</v>
      </c>
      <c r="T194" s="99" t="n">
        <v>-1.4</v>
      </c>
      <c r="U194" s="99" t="inlineStr">
        <is>
          <t>N</t>
        </is>
      </c>
      <c r="V194" s="99" t="n">
        <v>17.8</v>
      </c>
      <c r="W194" s="99" t="n">
        <v>11.6</v>
      </c>
      <c r="X194" s="99" t="n">
        <v>5.01</v>
      </c>
      <c r="Y194" s="99" t="n">
        <v>124.3</v>
      </c>
      <c r="Z194" s="99" t="n">
        <v>4</v>
      </c>
      <c r="AA194" s="94" t="inlineStr">
        <is>
          <t>AVOID</t>
        </is>
      </c>
    </row>
    <row r="195">
      <c r="A195" s="97" t="inlineStr">
        <is>
          <t>ANTHEM</t>
        </is>
      </c>
      <c r="B195" s="97" t="inlineStr">
        <is>
          <t>Anthem Biosciences Ltd.</t>
        </is>
      </c>
      <c r="C195" s="97" t="inlineStr">
        <is>
          <t>Healthcare</t>
        </is>
      </c>
      <c r="D195" s="97" t="inlineStr">
        <is>
          <t>Large/Midcap</t>
        </is>
      </c>
      <c r="E195" s="97" t="n">
        <v>769.9</v>
      </c>
      <c r="F195" s="97" t="n">
        <v>-1.02</v>
      </c>
      <c r="G195" s="97" t="n">
        <v>242556</v>
      </c>
      <c r="H195" s="97" t="n">
        <v>0.13</v>
      </c>
      <c r="I195" s="97" t="n">
        <v>43246</v>
      </c>
      <c r="J195" s="97" t="inlineStr">
        <is>
          <t>Y</t>
        </is>
      </c>
      <c r="K195" s="97" t="inlineStr">
        <is>
          <t>Y</t>
        </is>
      </c>
      <c r="L195" s="97" t="inlineStr">
        <is>
          <t>Y</t>
        </is>
      </c>
      <c r="M195" s="97" t="n">
        <v>48</v>
      </c>
      <c r="N195" s="97" t="inlineStr">
        <is>
          <t>N</t>
        </is>
      </c>
      <c r="O195" s="97" t="n">
        <v>21.08</v>
      </c>
      <c r="P195" s="97" t="inlineStr">
        <is>
          <t>N</t>
        </is>
      </c>
      <c r="Q195" s="97" t="inlineStr">
        <is>
          <t>N/A</t>
        </is>
      </c>
      <c r="R195" s="97" t="inlineStr">
        <is>
          <t>N</t>
        </is>
      </c>
      <c r="S195" s="97" t="n">
        <v>2.1</v>
      </c>
      <c r="T195" s="97" t="n">
        <v>0.1</v>
      </c>
      <c r="U195" s="97" t="inlineStr">
        <is>
          <t>Y</t>
        </is>
      </c>
      <c r="V195" s="97" t="n">
        <v>76.3</v>
      </c>
      <c r="W195" s="97" t="inlineStr">
        <is>
          <t>N/A</t>
        </is>
      </c>
      <c r="X195" s="97" t="n">
        <v>1.77</v>
      </c>
      <c r="Y195" s="97" t="n">
        <v>-36.8</v>
      </c>
      <c r="Z195" s="97" t="n">
        <v>4</v>
      </c>
      <c r="AA195" s="92" t="inlineStr">
        <is>
          <t>AVOID</t>
        </is>
      </c>
    </row>
    <row r="196">
      <c r="A196" s="99" t="inlineStr">
        <is>
          <t>APOLLOTYRE</t>
        </is>
      </c>
      <c r="B196" s="99" t="inlineStr">
        <is>
          <t>Apollo Tyres Ltd.</t>
        </is>
      </c>
      <c r="C196" s="99" t="inlineStr">
        <is>
          <t>Automobile and Auto Components</t>
        </is>
      </c>
      <c r="D196" s="99" t="inlineStr">
        <is>
          <t>Large/Midcap</t>
        </is>
      </c>
      <c r="E196" s="99" t="n">
        <v>419.65</v>
      </c>
      <c r="F196" s="99" t="n">
        <v>-1.11</v>
      </c>
      <c r="G196" s="99" t="n">
        <v>488448</v>
      </c>
      <c r="H196" s="99" t="n">
        <v>1.61</v>
      </c>
      <c r="I196" s="99" t="n">
        <v>26546</v>
      </c>
      <c r="J196" s="99" t="inlineStr">
        <is>
          <t>Y</t>
        </is>
      </c>
      <c r="K196" s="99" t="inlineStr">
        <is>
          <t>Y</t>
        </is>
      </c>
      <c r="L196" s="99" t="inlineStr">
        <is>
          <t>N</t>
        </is>
      </c>
      <c r="M196" s="99" t="n">
        <v>18.5</v>
      </c>
      <c r="N196" s="99" t="inlineStr">
        <is>
          <t>N</t>
        </is>
      </c>
      <c r="O196" s="99" t="n">
        <v>10.18</v>
      </c>
      <c r="P196" s="99" t="inlineStr">
        <is>
          <t>N</t>
        </is>
      </c>
      <c r="Q196" s="99" t="inlineStr">
        <is>
          <t>N/A</t>
        </is>
      </c>
      <c r="R196" s="99" t="inlineStr">
        <is>
          <t>N</t>
        </is>
      </c>
      <c r="S196" s="99" t="n">
        <v>-0.9</v>
      </c>
      <c r="T196" s="99" t="n">
        <v>0.1</v>
      </c>
      <c r="U196" s="99" t="inlineStr">
        <is>
          <t>Y</t>
        </is>
      </c>
      <c r="V196" s="99" t="n">
        <v>19.4</v>
      </c>
      <c r="W196" s="99" t="n">
        <v>8.699999999999999</v>
      </c>
      <c r="X196" s="99" t="n">
        <v>21.99</v>
      </c>
      <c r="Y196" s="99" t="n">
        <v>34.1</v>
      </c>
      <c r="Z196" s="99" t="n">
        <v>4</v>
      </c>
      <c r="AA196" s="94" t="inlineStr">
        <is>
          <t>AVOID</t>
        </is>
      </c>
    </row>
    <row r="197">
      <c r="A197" s="97" t="inlineStr">
        <is>
          <t>ATUL</t>
        </is>
      </c>
      <c r="B197" s="97" t="inlineStr">
        <is>
          <t>Atul Ltd.</t>
        </is>
      </c>
      <c r="C197" s="97" t="inlineStr">
        <is>
          <t>Chemicals</t>
        </is>
      </c>
      <c r="D197" s="97" t="inlineStr">
        <is>
          <t>Smallcap</t>
        </is>
      </c>
      <c r="E197" s="97" t="n">
        <v>6407.5</v>
      </c>
      <c r="F197" s="97" t="n">
        <v>4.53</v>
      </c>
      <c r="G197" s="97" t="n">
        <v>403648</v>
      </c>
      <c r="H197" s="97" t="n">
        <v>10.57</v>
      </c>
      <c r="I197" s="97" t="n">
        <v>18865</v>
      </c>
      <c r="J197" s="97" t="inlineStr">
        <is>
          <t>Y</t>
        </is>
      </c>
      <c r="K197" s="97" t="inlineStr">
        <is>
          <t>N</t>
        </is>
      </c>
      <c r="L197" s="97" t="inlineStr">
        <is>
          <t>Y</t>
        </is>
      </c>
      <c r="M197" s="97" t="n">
        <v>49.1</v>
      </c>
      <c r="N197" s="97" t="inlineStr">
        <is>
          <t>N</t>
        </is>
      </c>
      <c r="O197" s="97" t="n">
        <v>187.32</v>
      </c>
      <c r="P197" s="97" t="inlineStr">
        <is>
          <t>Y</t>
        </is>
      </c>
      <c r="Q197" s="97" t="inlineStr">
        <is>
          <t>N/A</t>
        </is>
      </c>
      <c r="R197" s="97" t="inlineStr">
        <is>
          <t>N</t>
        </is>
      </c>
      <c r="S197" s="97" t="n">
        <v>-2.4</v>
      </c>
      <c r="T197" s="97" t="n">
        <v>-4.9</v>
      </c>
      <c r="U197" s="97" t="inlineStr">
        <is>
          <t>N</t>
        </is>
      </c>
      <c r="V197" s="97" t="n">
        <v>23.7</v>
      </c>
      <c r="W197" s="97" t="inlineStr">
        <is>
          <t>N/A</t>
        </is>
      </c>
      <c r="X197" s="97" t="n">
        <v>2.91</v>
      </c>
      <c r="Y197" s="97" t="n">
        <v>16.7</v>
      </c>
      <c r="Z197" s="97" t="n">
        <v>4</v>
      </c>
      <c r="AA197" s="92" t="inlineStr">
        <is>
          <t>AVOID</t>
        </is>
      </c>
    </row>
    <row r="198">
      <c r="A198" s="99" t="inlineStr">
        <is>
          <t>BSE</t>
        </is>
      </c>
      <c r="B198" s="99" t="inlineStr">
        <is>
          <t>BSE Ltd.</t>
        </is>
      </c>
      <c r="C198" s="99" t="inlineStr">
        <is>
          <t>Financial Services</t>
        </is>
      </c>
      <c r="D198" s="99" t="inlineStr">
        <is>
          <t>Large/Midcap</t>
        </is>
      </c>
      <c r="E198" s="99" t="n">
        <v>3549.7</v>
      </c>
      <c r="F198" s="99" t="n">
        <v>-0.82</v>
      </c>
      <c r="G198" s="99" t="n">
        <v>1386676</v>
      </c>
      <c r="H198" s="99" t="n">
        <v>0.8</v>
      </c>
      <c r="I198" s="99" t="n">
        <v>144787</v>
      </c>
      <c r="J198" s="99" t="inlineStr">
        <is>
          <t>Y</t>
        </is>
      </c>
      <c r="K198" s="99" t="inlineStr">
        <is>
          <t>N</t>
        </is>
      </c>
      <c r="L198" s="99" t="inlineStr">
        <is>
          <t>Y</t>
        </is>
      </c>
      <c r="M198" s="99" t="n">
        <v>32.2</v>
      </c>
      <c r="N198" s="99" t="inlineStr">
        <is>
          <t>N</t>
        </is>
      </c>
      <c r="O198" s="99" t="n">
        <v>98.02</v>
      </c>
      <c r="P198" s="99" t="inlineStr">
        <is>
          <t>N</t>
        </is>
      </c>
      <c r="Q198" s="99" t="inlineStr">
        <is>
          <t>N/A</t>
        </is>
      </c>
      <c r="R198" s="99" t="inlineStr">
        <is>
          <t>N</t>
        </is>
      </c>
      <c r="S198" s="99" t="n">
        <v>-7</v>
      </c>
      <c r="T198" s="99" t="n">
        <v>-1.6</v>
      </c>
      <c r="U198" s="99" t="inlineStr">
        <is>
          <t>N</t>
        </is>
      </c>
      <c r="V198" s="99" t="n">
        <v>58.8</v>
      </c>
      <c r="W198" s="99" t="n">
        <v>36</v>
      </c>
      <c r="X198" s="99" t="n">
        <v>0</v>
      </c>
      <c r="Y198" s="99" t="n">
        <v>32.5</v>
      </c>
      <c r="Z198" s="99" t="n">
        <v>4</v>
      </c>
      <c r="AA198" s="94" t="inlineStr">
        <is>
          <t>AVOID</t>
        </is>
      </c>
    </row>
    <row r="199">
      <c r="A199" s="97" t="inlineStr">
        <is>
          <t>BAJAJ-AUTO</t>
        </is>
      </c>
      <c r="B199" s="97" t="inlineStr">
        <is>
          <t>Bajaj Auto Ltd.</t>
        </is>
      </c>
      <c r="C199" s="97" t="inlineStr">
        <is>
          <t>Automobile and Auto Components</t>
        </is>
      </c>
      <c r="D199" s="97" t="inlineStr">
        <is>
          <t>Large/Midcap</t>
        </is>
      </c>
      <c r="E199" s="97" t="n">
        <v>11130</v>
      </c>
      <c r="F199" s="97" t="n">
        <v>-1.36</v>
      </c>
      <c r="G199" s="97" t="n">
        <v>442440</v>
      </c>
      <c r="H199" s="97" t="n">
        <v>0.4</v>
      </c>
      <c r="I199" s="97" t="n">
        <v>305605</v>
      </c>
      <c r="J199" s="97" t="inlineStr">
        <is>
          <t>Y</t>
        </is>
      </c>
      <c r="K199" s="97" t="inlineStr">
        <is>
          <t>Y</t>
        </is>
      </c>
      <c r="L199" s="97" t="inlineStr">
        <is>
          <t>Y</t>
        </is>
      </c>
      <c r="M199" s="97" t="n">
        <v>76.2</v>
      </c>
      <c r="N199" s="97" t="inlineStr">
        <is>
          <t>N</t>
        </is>
      </c>
      <c r="O199" s="97" t="n">
        <v>247.79</v>
      </c>
      <c r="P199" s="97" t="inlineStr">
        <is>
          <t>N</t>
        </is>
      </c>
      <c r="Q199" s="97" t="inlineStr">
        <is>
          <t>N/A</t>
        </is>
      </c>
      <c r="R199" s="97" t="inlineStr">
        <is>
          <t>N</t>
        </is>
      </c>
      <c r="S199" s="97" t="n">
        <v>14.1</v>
      </c>
      <c r="T199" s="97" t="n">
        <v>18.8</v>
      </c>
      <c r="U199" s="97" t="inlineStr">
        <is>
          <t>Y</t>
        </is>
      </c>
      <c r="V199" s="97" t="n">
        <v>26.5</v>
      </c>
      <c r="W199" s="97" t="inlineStr">
        <is>
          <t>N/A</t>
        </is>
      </c>
      <c r="X199" s="97" t="n">
        <v>56.35</v>
      </c>
      <c r="Y199" s="97" t="n">
        <v>-11.9</v>
      </c>
      <c r="Z199" s="97" t="n">
        <v>4</v>
      </c>
      <c r="AA199" s="92" t="inlineStr">
        <is>
          <t>AVOID</t>
        </is>
      </c>
    </row>
    <row r="200">
      <c r="A200" s="99" t="inlineStr">
        <is>
          <t>BAJAJHLDNG</t>
        </is>
      </c>
      <c r="B200" s="99" t="inlineStr">
        <is>
          <t>Bajaj Holdings &amp; Investment Ltd.</t>
        </is>
      </c>
      <c r="C200" s="99" t="inlineStr">
        <is>
          <t>Financial Services</t>
        </is>
      </c>
      <c r="D200" s="99" t="inlineStr">
        <is>
          <t>Large/Midcap</t>
        </is>
      </c>
      <c r="E200" s="99" t="n">
        <v>10679</v>
      </c>
      <c r="F200" s="99" t="n">
        <v>0.4</v>
      </c>
      <c r="G200" s="99" t="n">
        <v>73470</v>
      </c>
      <c r="H200" s="99" t="n">
        <v>0.85</v>
      </c>
      <c r="I200" s="99" t="n">
        <v>118850</v>
      </c>
      <c r="J200" s="99" t="inlineStr">
        <is>
          <t>Y</t>
        </is>
      </c>
      <c r="K200" s="99" t="inlineStr">
        <is>
          <t>Y</t>
        </is>
      </c>
      <c r="L200" s="99" t="inlineStr">
        <is>
          <t>N</t>
        </is>
      </c>
      <c r="M200" s="99" t="n">
        <v>46.2</v>
      </c>
      <c r="N200" s="99" t="inlineStr">
        <is>
          <t>N</t>
        </is>
      </c>
      <c r="O200" s="99" t="n">
        <v>278.5</v>
      </c>
      <c r="P200" s="99" t="inlineStr">
        <is>
          <t>N</t>
        </is>
      </c>
      <c r="Q200" s="99" t="inlineStr">
        <is>
          <t>N/A</t>
        </is>
      </c>
      <c r="R200" s="99" t="inlineStr">
        <is>
          <t>N</t>
        </is>
      </c>
      <c r="S200" s="99" t="n">
        <v>3.1</v>
      </c>
      <c r="T200" s="99" t="n">
        <v>5.5</v>
      </c>
      <c r="U200" s="99" t="inlineStr">
        <is>
          <t>Y</t>
        </is>
      </c>
      <c r="V200" s="99" t="n">
        <v>12.3</v>
      </c>
      <c r="W200" s="99" t="n">
        <v>12.6</v>
      </c>
      <c r="X200" s="99" t="n">
        <v>0.01</v>
      </c>
      <c r="Y200" s="99" t="n">
        <v>27.7</v>
      </c>
      <c r="Z200" s="99" t="n">
        <v>4</v>
      </c>
      <c r="AA200" s="94" t="inlineStr">
        <is>
          <t>AVOID</t>
        </is>
      </c>
    </row>
    <row r="201">
      <c r="A201" s="97" t="inlineStr">
        <is>
          <t>MAHABANK</t>
        </is>
      </c>
      <c r="B201" s="97" t="inlineStr">
        <is>
          <t>Bank of Maharashtra</t>
        </is>
      </c>
      <c r="C201" s="97" t="inlineStr">
        <is>
          <t>Financial Services</t>
        </is>
      </c>
      <c r="D201" s="97" t="inlineStr">
        <is>
          <t>Large/Midcap</t>
        </is>
      </c>
      <c r="E201" s="97" t="n">
        <v>81.03</v>
      </c>
      <c r="F201" s="97" t="n">
        <v>3.25</v>
      </c>
      <c r="G201" s="97" t="n">
        <v>18251458</v>
      </c>
      <c r="H201" s="97" t="n">
        <v>1.73</v>
      </c>
      <c r="I201" s="97" t="n">
        <v>62325</v>
      </c>
      <c r="J201" s="97" t="inlineStr">
        <is>
          <t>Y</t>
        </is>
      </c>
      <c r="K201" s="97" t="inlineStr">
        <is>
          <t>N</t>
        </is>
      </c>
      <c r="L201" s="97" t="inlineStr">
        <is>
          <t>Y</t>
        </is>
      </c>
      <c r="M201" s="97" t="n">
        <v>38.4</v>
      </c>
      <c r="N201" s="97" t="inlineStr">
        <is>
          <t>N</t>
        </is>
      </c>
      <c r="O201" s="97" t="n">
        <v>2.74</v>
      </c>
      <c r="P201" s="97" t="inlineStr">
        <is>
          <t>N</t>
        </is>
      </c>
      <c r="Q201" s="97" t="inlineStr">
        <is>
          <t>N/A</t>
        </is>
      </c>
      <c r="R201" s="97" t="inlineStr">
        <is>
          <t>N</t>
        </is>
      </c>
      <c r="S201" s="97" t="n">
        <v>-7.6</v>
      </c>
      <c r="T201" s="97" t="n">
        <v>3.9</v>
      </c>
      <c r="U201" s="97" t="inlineStr">
        <is>
          <t>Y</t>
        </is>
      </c>
      <c r="V201" s="97" t="n">
        <v>8.300000000000001</v>
      </c>
      <c r="W201" s="97" t="n">
        <v>23</v>
      </c>
      <c r="X201" s="97" t="inlineStr">
        <is>
          <t>N/A</t>
        </is>
      </c>
      <c r="Y201" s="97" t="n">
        <v>-1.1</v>
      </c>
      <c r="Z201" s="97" t="n">
        <v>4</v>
      </c>
      <c r="AA201" s="92" t="inlineStr">
        <is>
          <t>AVOID</t>
        </is>
      </c>
    </row>
    <row r="202">
      <c r="A202" s="99" t="inlineStr">
        <is>
          <t>BERGEPAINT</t>
        </is>
      </c>
      <c r="B202" s="99" t="inlineStr">
        <is>
          <t>Berger Paints India Ltd.</t>
        </is>
      </c>
      <c r="C202" s="99" t="inlineStr">
        <is>
          <t>Consumer Durables</t>
        </is>
      </c>
      <c r="D202" s="99" t="inlineStr">
        <is>
          <t>Large/Midcap</t>
        </is>
      </c>
      <c r="E202" s="99" t="n">
        <v>497.95</v>
      </c>
      <c r="F202" s="99" t="n">
        <v>0.88</v>
      </c>
      <c r="G202" s="99" t="n">
        <v>99047</v>
      </c>
      <c r="H202" s="99" t="n">
        <v>0.31</v>
      </c>
      <c r="I202" s="99" t="n">
        <v>58061</v>
      </c>
      <c r="J202" s="99" t="inlineStr">
        <is>
          <t>Y</t>
        </is>
      </c>
      <c r="K202" s="99" t="inlineStr">
        <is>
          <t>N</t>
        </is>
      </c>
      <c r="L202" s="99" t="inlineStr">
        <is>
          <t>N</t>
        </is>
      </c>
      <c r="M202" s="99" t="n">
        <v>35.6</v>
      </c>
      <c r="N202" s="99" t="inlineStr">
        <is>
          <t>N</t>
        </is>
      </c>
      <c r="O202" s="99" t="n">
        <v>13.09</v>
      </c>
      <c r="P202" s="99" t="inlineStr">
        <is>
          <t>N</t>
        </is>
      </c>
      <c r="Q202" s="99" t="inlineStr">
        <is>
          <t>N/A</t>
        </is>
      </c>
      <c r="R202" s="99" t="inlineStr">
        <is>
          <t>N</t>
        </is>
      </c>
      <c r="S202" s="99" t="n">
        <v>-6.5</v>
      </c>
      <c r="T202" s="99" t="n">
        <v>7.9</v>
      </c>
      <c r="U202" s="99" t="inlineStr">
        <is>
          <t>Y</t>
        </is>
      </c>
      <c r="V202" s="99" t="n">
        <v>51.5</v>
      </c>
      <c r="W202" s="99" t="n">
        <v>17.2</v>
      </c>
      <c r="X202" s="99" t="n">
        <v>9.16</v>
      </c>
      <c r="Y202" s="99" t="n">
        <v>23.5</v>
      </c>
      <c r="Z202" s="99" t="n">
        <v>4</v>
      </c>
      <c r="AA202" s="94" t="inlineStr">
        <is>
          <t>AVOID</t>
        </is>
      </c>
    </row>
    <row r="203">
      <c r="A203" s="97" t="inlineStr">
        <is>
          <t>BPCL</t>
        </is>
      </c>
      <c r="B203" s="97" t="inlineStr">
        <is>
          <t>Bharat Petroleum Corporation Ltd.</t>
        </is>
      </c>
      <c r="C203" s="97" t="inlineStr">
        <is>
          <t>Oil Gas &amp; Consumable Fuels</t>
        </is>
      </c>
      <c r="D203" s="97" t="inlineStr">
        <is>
          <t>Large/Midcap</t>
        </is>
      </c>
      <c r="E203" s="97" t="n">
        <v>310.15</v>
      </c>
      <c r="F203" s="97" t="n">
        <v>0.1</v>
      </c>
      <c r="G203" s="97" t="n">
        <v>5796307</v>
      </c>
      <c r="H203" s="97" t="n">
        <v>0.63</v>
      </c>
      <c r="I203" s="97" t="n">
        <v>132514</v>
      </c>
      <c r="J203" s="97" t="inlineStr">
        <is>
          <t>Y</t>
        </is>
      </c>
      <c r="K203" s="97" t="inlineStr">
        <is>
          <t>Y</t>
        </is>
      </c>
      <c r="L203" s="97" t="inlineStr">
        <is>
          <t>N</t>
        </is>
      </c>
      <c r="M203" s="97" t="n">
        <v>52</v>
      </c>
      <c r="N203" s="97" t="inlineStr">
        <is>
          <t>Y</t>
        </is>
      </c>
      <c r="O203" s="97" t="n">
        <v>8.470000000000001</v>
      </c>
      <c r="P203" s="97" t="inlineStr">
        <is>
          <t>N</t>
        </is>
      </c>
      <c r="Q203" s="97" t="inlineStr">
        <is>
          <t>N/A</t>
        </is>
      </c>
      <c r="R203" s="97" t="inlineStr">
        <is>
          <t>N</t>
        </is>
      </c>
      <c r="S203" s="97" t="n">
        <v>1.2</v>
      </c>
      <c r="T203" s="97" t="n">
        <v>2.6</v>
      </c>
      <c r="U203" s="97" t="inlineStr">
        <is>
          <t>Y</t>
        </is>
      </c>
      <c r="V203" s="97" t="n">
        <v>7.7</v>
      </c>
      <c r="W203" s="97" t="inlineStr">
        <is>
          <t>N/A</t>
        </is>
      </c>
      <c r="X203" s="97" t="n">
        <v>54.33</v>
      </c>
      <c r="Y203" s="97" t="n">
        <v>-133.3</v>
      </c>
      <c r="Z203" s="97" t="n">
        <v>4</v>
      </c>
      <c r="AA203" s="92" t="inlineStr">
        <is>
          <t>AVOID</t>
        </is>
      </c>
    </row>
    <row r="204">
      <c r="A204" s="99" t="inlineStr">
        <is>
          <t>BHARTIHEXA</t>
        </is>
      </c>
      <c r="B204" s="99" t="inlineStr">
        <is>
          <t>Bharti Hexacom Ltd.</t>
        </is>
      </c>
      <c r="C204" s="99" t="inlineStr">
        <is>
          <t>Telecommunication</t>
        </is>
      </c>
      <c r="D204" s="99" t="inlineStr">
        <is>
          <t>Large/Midcap</t>
        </is>
      </c>
      <c r="E204" s="99" t="n">
        <v>1607.6</v>
      </c>
      <c r="F204" s="99" t="n">
        <v>-0.02</v>
      </c>
      <c r="G204" s="99" t="n">
        <v>61953</v>
      </c>
      <c r="H204" s="99" t="n">
        <v>0.55</v>
      </c>
      <c r="I204" s="99" t="n">
        <v>80380</v>
      </c>
      <c r="J204" s="99" t="inlineStr">
        <is>
          <t>Y</t>
        </is>
      </c>
      <c r="K204" s="99" t="inlineStr">
        <is>
          <t>Y</t>
        </is>
      </c>
      <c r="L204" s="99" t="inlineStr">
        <is>
          <t>N</t>
        </is>
      </c>
      <c r="M204" s="99" t="n">
        <v>71.3</v>
      </c>
      <c r="N204" s="99" t="inlineStr">
        <is>
          <t>N</t>
        </is>
      </c>
      <c r="O204" s="99" t="n">
        <v>48.96</v>
      </c>
      <c r="P204" s="99" t="inlineStr">
        <is>
          <t>N</t>
        </is>
      </c>
      <c r="Q204" s="99" t="inlineStr">
        <is>
          <t>N/A</t>
        </is>
      </c>
      <c r="R204" s="99" t="inlineStr">
        <is>
          <t>N</t>
        </is>
      </c>
      <c r="S204" s="99" t="n">
        <v>9.9</v>
      </c>
      <c r="T204" s="99" t="n">
        <v>5.8</v>
      </c>
      <c r="U204" s="99" t="inlineStr">
        <is>
          <t>Y</t>
        </is>
      </c>
      <c r="V204" s="99" t="n">
        <v>46.3</v>
      </c>
      <c r="W204" s="99" t="n">
        <v>26.5</v>
      </c>
      <c r="X204" s="99" t="n">
        <v>85.65000000000001</v>
      </c>
      <c r="Y204" s="99" t="n">
        <v>-5.7</v>
      </c>
      <c r="Z204" s="99" t="n">
        <v>4</v>
      </c>
      <c r="AA204" s="94" t="inlineStr">
        <is>
          <t>AVOID</t>
        </is>
      </c>
    </row>
    <row r="205">
      <c r="A205" s="97" t="inlineStr">
        <is>
          <t>GROWW</t>
        </is>
      </c>
      <c r="B205" s="97" t="inlineStr">
        <is>
          <t>Billionbrains Garage Ventures Ltd.</t>
        </is>
      </c>
      <c r="C205" s="97" t="inlineStr">
        <is>
          <t>Financial Services</t>
        </is>
      </c>
      <c r="D205" s="97" t="inlineStr">
        <is>
          <t>Large/Midcap</t>
        </is>
      </c>
      <c r="E205" s="97" t="n">
        <v>202.15</v>
      </c>
      <c r="F205" s="97" t="n">
        <v>-0.17</v>
      </c>
      <c r="G205" s="97" t="n">
        <v>17472638</v>
      </c>
      <c r="H205" s="97" t="n">
        <v>0.99</v>
      </c>
      <c r="I205" s="97" t="n">
        <v>125163</v>
      </c>
      <c r="J205" s="97" t="inlineStr">
        <is>
          <t>Y</t>
        </is>
      </c>
      <c r="K205" s="97" t="inlineStr">
        <is>
          <t>Y</t>
        </is>
      </c>
      <c r="L205" s="97" t="inlineStr">
        <is>
          <t>N/A</t>
        </is>
      </c>
      <c r="M205" s="97" t="n">
        <v>51.5</v>
      </c>
      <c r="N205" s="97" t="inlineStr">
        <is>
          <t>Y</t>
        </is>
      </c>
      <c r="O205" s="97" t="n">
        <v>8.44</v>
      </c>
      <c r="P205" s="97" t="inlineStr">
        <is>
          <t>N</t>
        </is>
      </c>
      <c r="Q205" s="97" t="inlineStr">
        <is>
          <t>N/A</t>
        </is>
      </c>
      <c r="R205" s="97" t="inlineStr">
        <is>
          <t>N</t>
        </is>
      </c>
      <c r="S205" s="97" t="n">
        <v>2.2</v>
      </c>
      <c r="T205" s="97" t="n">
        <v>-4.8</v>
      </c>
      <c r="U205" s="97" t="inlineStr">
        <is>
          <t>N</t>
        </is>
      </c>
      <c r="V205" s="97" t="n">
        <v>51.3</v>
      </c>
      <c r="W205" s="97" t="inlineStr">
        <is>
          <t>N/A</t>
        </is>
      </c>
      <c r="X205" s="97" t="n">
        <v>3.03</v>
      </c>
      <c r="Y205" s="97" t="n">
        <v>7.1</v>
      </c>
      <c r="Z205" s="97" t="n">
        <v>4</v>
      </c>
      <c r="AA205" s="92" t="inlineStr">
        <is>
          <t>AVOID</t>
        </is>
      </c>
    </row>
    <row r="206">
      <c r="A206" s="99" t="inlineStr">
        <is>
          <t>CGPOWER</t>
        </is>
      </c>
      <c r="B206" s="99" t="inlineStr">
        <is>
          <t>CG Power and Industrial Solutions Ltd.</t>
        </is>
      </c>
      <c r="C206" s="99" t="inlineStr">
        <is>
          <t>Capital Goods</t>
        </is>
      </c>
      <c r="D206" s="99" t="inlineStr">
        <is>
          <t>Large/Midcap</t>
        </is>
      </c>
      <c r="E206" s="99" t="n">
        <v>867.7</v>
      </c>
      <c r="F206" s="99" t="n">
        <v>-1.82</v>
      </c>
      <c r="G206" s="99" t="n">
        <v>9684764</v>
      </c>
      <c r="H206" s="99" t="n">
        <v>3.02</v>
      </c>
      <c r="I206" s="99" t="n">
        <v>136664</v>
      </c>
      <c r="J206" s="99" t="inlineStr">
        <is>
          <t>Y</t>
        </is>
      </c>
      <c r="K206" s="99" t="inlineStr">
        <is>
          <t>N</t>
        </is>
      </c>
      <c r="L206" s="99" t="inlineStr">
        <is>
          <t>Y</t>
        </is>
      </c>
      <c r="M206" s="99" t="n">
        <v>29.7</v>
      </c>
      <c r="N206" s="99" t="inlineStr">
        <is>
          <t>N</t>
        </is>
      </c>
      <c r="O206" s="99" t="n">
        <v>26.4</v>
      </c>
      <c r="P206" s="99" t="inlineStr">
        <is>
          <t>Y</t>
        </is>
      </c>
      <c r="Q206" s="99" t="inlineStr">
        <is>
          <t>N/A</t>
        </is>
      </c>
      <c r="R206" s="99" t="inlineStr">
        <is>
          <t>N</t>
        </is>
      </c>
      <c r="S206" s="99" t="n">
        <v>-6.8</v>
      </c>
      <c r="T206" s="99" t="n">
        <v>5.6</v>
      </c>
      <c r="U206" s="99" t="inlineStr">
        <is>
          <t>Y</t>
        </is>
      </c>
      <c r="V206" s="99" t="n">
        <v>109.8</v>
      </c>
      <c r="W206" s="99" t="inlineStr">
        <is>
          <t>N/A</t>
        </is>
      </c>
      <c r="X206" s="99" t="n">
        <v>1.45</v>
      </c>
      <c r="Y206" s="99" t="n">
        <v>-14.4</v>
      </c>
      <c r="Z206" s="99" t="n">
        <v>4</v>
      </c>
      <c r="AA206" s="94" t="inlineStr">
        <is>
          <t>AVOID</t>
        </is>
      </c>
    </row>
    <row r="207">
      <c r="A207" s="97" t="inlineStr">
        <is>
          <t>CANHLIFE</t>
        </is>
      </c>
      <c r="B207" s="97" t="inlineStr">
        <is>
          <t>Canara HSBC Life Insurance Company Ltd.</t>
        </is>
      </c>
      <c r="C207" s="97" t="inlineStr">
        <is>
          <t>Financial Services</t>
        </is>
      </c>
      <c r="D207" s="97" t="inlineStr">
        <is>
          <t>Smallcap</t>
        </is>
      </c>
      <c r="E207" s="97" t="n">
        <v>147.31</v>
      </c>
      <c r="F207" s="97" t="n">
        <v>-3.66</v>
      </c>
      <c r="G207" s="97" t="n">
        <v>551464</v>
      </c>
      <c r="H207" s="97" t="n">
        <v>0.04</v>
      </c>
      <c r="I207" s="97" t="n">
        <v>13957</v>
      </c>
      <c r="J207" s="97" t="inlineStr">
        <is>
          <t>Y</t>
        </is>
      </c>
      <c r="K207" s="97" t="inlineStr">
        <is>
          <t>Y</t>
        </is>
      </c>
      <c r="L207" s="97" t="inlineStr">
        <is>
          <t>N/A</t>
        </is>
      </c>
      <c r="M207" s="97" t="n">
        <v>58.2</v>
      </c>
      <c r="N207" s="97" t="inlineStr">
        <is>
          <t>Y</t>
        </is>
      </c>
      <c r="O207" s="97" t="n">
        <v>6.51</v>
      </c>
      <c r="P207" s="97" t="inlineStr">
        <is>
          <t>N</t>
        </is>
      </c>
      <c r="Q207" s="97" t="inlineStr">
        <is>
          <t>N/A</t>
        </is>
      </c>
      <c r="R207" s="97" t="inlineStr">
        <is>
          <t>N</t>
        </is>
      </c>
      <c r="S207" s="97" t="n">
        <v>10.3</v>
      </c>
      <c r="T207" s="97" t="n">
        <v>1.3</v>
      </c>
      <c r="U207" s="97" t="inlineStr">
        <is>
          <t>Y</t>
        </is>
      </c>
      <c r="V207" s="97" t="n">
        <v>106.7</v>
      </c>
      <c r="W207" s="97" t="n">
        <v>8.300000000000001</v>
      </c>
      <c r="X207" s="97" t="n">
        <v>15.3</v>
      </c>
      <c r="Y207" s="97" t="n">
        <v>-19</v>
      </c>
      <c r="Z207" s="97" t="n">
        <v>4</v>
      </c>
      <c r="AA207" s="92" t="inlineStr">
        <is>
          <t>AVOID</t>
        </is>
      </c>
    </row>
    <row r="208">
      <c r="A208" s="99" t="inlineStr">
        <is>
          <t>CDSL</t>
        </is>
      </c>
      <c r="B208" s="99" t="inlineStr">
        <is>
          <t>Central Depository Services (India) Ltd.</t>
        </is>
      </c>
      <c r="C208" s="99" t="inlineStr">
        <is>
          <t>Financial Services</t>
        </is>
      </c>
      <c r="D208" s="99" t="inlineStr">
        <is>
          <t>Smallcap</t>
        </is>
      </c>
      <c r="E208" s="99" t="n">
        <v>1333.1</v>
      </c>
      <c r="F208" s="99" t="n">
        <v>0.73</v>
      </c>
      <c r="G208" s="99" t="n">
        <v>969219</v>
      </c>
      <c r="H208" s="99" t="n">
        <v>0.73</v>
      </c>
      <c r="I208" s="99" t="n">
        <v>27862</v>
      </c>
      <c r="J208" s="99" t="inlineStr">
        <is>
          <t>Y</t>
        </is>
      </c>
      <c r="K208" s="99" t="inlineStr">
        <is>
          <t>Y</t>
        </is>
      </c>
      <c r="L208" s="99" t="inlineStr">
        <is>
          <t>N</t>
        </is>
      </c>
      <c r="M208" s="99" t="n">
        <v>48.2</v>
      </c>
      <c r="N208" s="99" t="inlineStr">
        <is>
          <t>N</t>
        </is>
      </c>
      <c r="O208" s="99" t="n">
        <v>39.62</v>
      </c>
      <c r="P208" s="99" t="inlineStr">
        <is>
          <t>N</t>
        </is>
      </c>
      <c r="Q208" s="99" t="inlineStr">
        <is>
          <t>N/A</t>
        </is>
      </c>
      <c r="R208" s="99" t="inlineStr">
        <is>
          <t>N</t>
        </is>
      </c>
      <c r="S208" s="99" t="n">
        <v>3.2</v>
      </c>
      <c r="T208" s="99" t="n">
        <v>3.5</v>
      </c>
      <c r="U208" s="99" t="inlineStr">
        <is>
          <t>Y</t>
        </is>
      </c>
      <c r="V208" s="99" t="n">
        <v>61</v>
      </c>
      <c r="W208" s="99" t="n">
        <v>23.9</v>
      </c>
      <c r="X208" s="99" t="n">
        <v>0.11</v>
      </c>
      <c r="Y208" s="99" t="n">
        <v>-39.8</v>
      </c>
      <c r="Z208" s="99" t="n">
        <v>4</v>
      </c>
      <c r="AA208" s="94" t="inlineStr">
        <is>
          <t>AVOID</t>
        </is>
      </c>
    </row>
    <row r="209">
      <c r="A209" s="97" t="inlineStr">
        <is>
          <t>COALINDIA</t>
        </is>
      </c>
      <c r="B209" s="97" t="inlineStr">
        <is>
          <t>Coal India Ltd.</t>
        </is>
      </c>
      <c r="C209" s="97" t="inlineStr">
        <is>
          <t>Oil Gas &amp; Consumable Fuels</t>
        </is>
      </c>
      <c r="D209" s="97" t="inlineStr">
        <is>
          <t>Large/Midcap</t>
        </is>
      </c>
      <c r="E209" s="97" t="n">
        <v>427.4</v>
      </c>
      <c r="F209" s="97" t="n">
        <v>0.08</v>
      </c>
      <c r="G209" s="97" t="n">
        <v>5403125</v>
      </c>
      <c r="H209" s="97" t="n">
        <v>0.99</v>
      </c>
      <c r="I209" s="97" t="n">
        <v>263395</v>
      </c>
      <c r="J209" s="97" t="inlineStr">
        <is>
          <t>Y</t>
        </is>
      </c>
      <c r="K209" s="97" t="inlineStr">
        <is>
          <t>N</t>
        </is>
      </c>
      <c r="L209" s="97" t="inlineStr">
        <is>
          <t>Y</t>
        </is>
      </c>
      <c r="M209" s="97" t="n">
        <v>36.2</v>
      </c>
      <c r="N209" s="97" t="inlineStr">
        <is>
          <t>N</t>
        </is>
      </c>
      <c r="O209" s="97" t="n">
        <v>6</v>
      </c>
      <c r="P209" s="97" t="inlineStr">
        <is>
          <t>N</t>
        </is>
      </c>
      <c r="Q209" s="97" t="inlineStr">
        <is>
          <t>N/A</t>
        </is>
      </c>
      <c r="R209" s="97" t="inlineStr">
        <is>
          <t>N</t>
        </is>
      </c>
      <c r="S209" s="97" t="n">
        <v>-0.8</v>
      </c>
      <c r="T209" s="97" t="n">
        <v>-10.4</v>
      </c>
      <c r="U209" s="97" t="inlineStr">
        <is>
          <t>N</t>
        </is>
      </c>
      <c r="V209" s="97" t="n">
        <v>8.5</v>
      </c>
      <c r="W209" s="97" t="n">
        <v>28.1</v>
      </c>
      <c r="X209" s="97" t="n">
        <v>11.63</v>
      </c>
      <c r="Y209" s="97" t="n">
        <v>51.4</v>
      </c>
      <c r="Z209" s="97" t="n">
        <v>4</v>
      </c>
      <c r="AA209" s="92" t="inlineStr">
        <is>
          <t>AVOID</t>
        </is>
      </c>
    </row>
    <row r="210">
      <c r="A210" s="99" t="inlineStr">
        <is>
          <t>CYIENT</t>
        </is>
      </c>
      <c r="B210" s="99" t="inlineStr">
        <is>
          <t>Cyient Ltd.</t>
        </is>
      </c>
      <c r="C210" s="99" t="inlineStr">
        <is>
          <t>Information Technology</t>
        </is>
      </c>
      <c r="D210" s="99" t="inlineStr">
        <is>
          <t>Smallcap</t>
        </is>
      </c>
      <c r="E210" s="99" t="n">
        <v>840.05</v>
      </c>
      <c r="F210" s="99" t="n">
        <v>1.13</v>
      </c>
      <c r="G210" s="99" t="n">
        <v>2956680</v>
      </c>
      <c r="H210" s="99" t="n">
        <v>15.02</v>
      </c>
      <c r="I210" s="99" t="n">
        <v>8744</v>
      </c>
      <c r="J210" s="99" t="inlineStr">
        <is>
          <t>Y</t>
        </is>
      </c>
      <c r="K210" s="99" t="inlineStr">
        <is>
          <t>N</t>
        </is>
      </c>
      <c r="L210" s="99" t="inlineStr">
        <is>
          <t>N</t>
        </is>
      </c>
      <c r="M210" s="99" t="n">
        <v>40.8</v>
      </c>
      <c r="N210" s="99" t="inlineStr">
        <is>
          <t>N</t>
        </is>
      </c>
      <c r="O210" s="99" t="n">
        <v>24.71</v>
      </c>
      <c r="P210" s="99" t="inlineStr">
        <is>
          <t>Y</t>
        </is>
      </c>
      <c r="Q210" s="99" t="inlineStr">
        <is>
          <t>N/A</t>
        </is>
      </c>
      <c r="R210" s="99" t="inlineStr">
        <is>
          <t>N</t>
        </is>
      </c>
      <c r="S210" s="99" t="n">
        <v>-4.2</v>
      </c>
      <c r="T210" s="99" t="n">
        <v>0.1</v>
      </c>
      <c r="U210" s="99" t="inlineStr">
        <is>
          <t>Y</t>
        </is>
      </c>
      <c r="V210" s="99" t="n">
        <v>24.7</v>
      </c>
      <c r="W210" s="99" t="inlineStr">
        <is>
          <t>N/A</t>
        </is>
      </c>
      <c r="X210" s="99" t="n">
        <v>7.53</v>
      </c>
      <c r="Y210" s="99" t="n">
        <v>90</v>
      </c>
      <c r="Z210" s="99" t="n">
        <v>4</v>
      </c>
      <c r="AA210" s="94" t="inlineStr">
        <is>
          <t>AVOID</t>
        </is>
      </c>
    </row>
    <row r="211">
      <c r="A211" s="97" t="inlineStr">
        <is>
          <t>DLF</t>
        </is>
      </c>
      <c r="B211" s="97" t="inlineStr">
        <is>
          <t>DLF Ltd.</t>
        </is>
      </c>
      <c r="C211" s="97" t="inlineStr">
        <is>
          <t>Realty</t>
        </is>
      </c>
      <c r="D211" s="97" t="inlineStr">
        <is>
          <t>Large/Midcap</t>
        </is>
      </c>
      <c r="E211" s="97" t="n">
        <v>645.2</v>
      </c>
      <c r="F211" s="97" t="n">
        <v>0.47</v>
      </c>
      <c r="G211" s="97" t="n">
        <v>2002254</v>
      </c>
      <c r="H211" s="97" t="n">
        <v>0.67</v>
      </c>
      <c r="I211" s="97" t="n">
        <v>159707</v>
      </c>
      <c r="J211" s="97" t="inlineStr">
        <is>
          <t>Y</t>
        </is>
      </c>
      <c r="K211" s="97" t="inlineStr">
        <is>
          <t>Y</t>
        </is>
      </c>
      <c r="L211" s="97" t="inlineStr">
        <is>
          <t>N</t>
        </is>
      </c>
      <c r="M211" s="97" t="n">
        <v>42.6</v>
      </c>
      <c r="N211" s="97" t="inlineStr">
        <is>
          <t>N</t>
        </is>
      </c>
      <c r="O211" s="97" t="n">
        <v>22.81</v>
      </c>
      <c r="P211" s="97" t="inlineStr">
        <is>
          <t>N</t>
        </is>
      </c>
      <c r="Q211" s="97" t="inlineStr">
        <is>
          <t>N/A</t>
        </is>
      </c>
      <c r="R211" s="97" t="inlineStr">
        <is>
          <t>N</t>
        </is>
      </c>
      <c r="S211" s="97" t="n">
        <v>4.9</v>
      </c>
      <c r="T211" s="97" t="n">
        <v>9.1</v>
      </c>
      <c r="U211" s="97" t="inlineStr">
        <is>
          <t>Y</t>
        </is>
      </c>
      <c r="V211" s="97" t="n">
        <v>36.2</v>
      </c>
      <c r="W211" s="97" t="n">
        <v>10</v>
      </c>
      <c r="X211" s="97" t="n">
        <v>0.67</v>
      </c>
      <c r="Y211" s="97" t="n">
        <v>5.4</v>
      </c>
      <c r="Z211" s="97" t="n">
        <v>4</v>
      </c>
      <c r="AA211" s="92" t="inlineStr">
        <is>
          <t>AVOID</t>
        </is>
      </c>
    </row>
    <row r="212">
      <c r="A212" s="99" t="inlineStr">
        <is>
          <t>DALBHARAT</t>
        </is>
      </c>
      <c r="B212" s="99" t="inlineStr">
        <is>
          <t>Dalmia Bharat Ltd.</t>
        </is>
      </c>
      <c r="C212" s="99" t="inlineStr">
        <is>
          <t>Construction Materials</t>
        </is>
      </c>
      <c r="D212" s="99" t="inlineStr">
        <is>
          <t>Large/Midcap</t>
        </is>
      </c>
      <c r="E212" s="99" t="n">
        <v>1810.8</v>
      </c>
      <c r="F212" s="99" t="n">
        <v>-2.37</v>
      </c>
      <c r="G212" s="99" t="n">
        <v>1119018</v>
      </c>
      <c r="H212" s="99" t="n">
        <v>4.62</v>
      </c>
      <c r="I212" s="99" t="n">
        <v>33994</v>
      </c>
      <c r="J212" s="99" t="inlineStr">
        <is>
          <t>Y</t>
        </is>
      </c>
      <c r="K212" s="99" t="inlineStr">
        <is>
          <t>Y</t>
        </is>
      </c>
      <c r="L212" s="99" t="inlineStr">
        <is>
          <t>N</t>
        </is>
      </c>
      <c r="M212" s="99" t="n">
        <v>55.3</v>
      </c>
      <c r="N212" s="99" t="inlineStr">
        <is>
          <t>Y</t>
        </is>
      </c>
      <c r="O212" s="99" t="n">
        <v>46.23</v>
      </c>
      <c r="P212" s="99" t="inlineStr">
        <is>
          <t>Y</t>
        </is>
      </c>
      <c r="Q212" s="99" t="inlineStr">
        <is>
          <t>N/A</t>
        </is>
      </c>
      <c r="R212" s="99" t="inlineStr">
        <is>
          <t>N</t>
        </is>
      </c>
      <c r="S212" s="99" t="n">
        <v>6.3</v>
      </c>
      <c r="T212" s="99" t="n">
        <v>-4.8</v>
      </c>
      <c r="U212" s="99" t="inlineStr">
        <is>
          <t>N</t>
        </is>
      </c>
      <c r="V212" s="99" t="n">
        <v>36.4</v>
      </c>
      <c r="W212" s="99" t="inlineStr">
        <is>
          <t>N/A</t>
        </is>
      </c>
      <c r="X212" s="99" t="n">
        <v>40.99</v>
      </c>
      <c r="Y212" s="99" t="n">
        <v>-51.4</v>
      </c>
      <c r="Z212" s="99" t="n">
        <v>4</v>
      </c>
      <c r="AA212" s="94" t="inlineStr">
        <is>
          <t>AVOID</t>
        </is>
      </c>
    </row>
    <row r="213">
      <c r="A213" s="97" t="inlineStr">
        <is>
          <t>DEEPAKFERT</t>
        </is>
      </c>
      <c r="B213" s="97" t="inlineStr">
        <is>
          <t>Deepak Fertilisers &amp; Petrochemicals Corp. Ltd.</t>
        </is>
      </c>
      <c r="C213" s="97" t="inlineStr">
        <is>
          <t>Chemicals</t>
        </is>
      </c>
      <c r="D213" s="97" t="inlineStr">
        <is>
          <t>Smallcap</t>
        </is>
      </c>
      <c r="E213" s="97" t="n">
        <v>1573.2</v>
      </c>
      <c r="F213" s="97" t="n">
        <v>-0.45</v>
      </c>
      <c r="G213" s="97" t="n">
        <v>119918</v>
      </c>
      <c r="H213" s="97" t="n">
        <v>0.85</v>
      </c>
      <c r="I213" s="97" t="n">
        <v>19880</v>
      </c>
      <c r="J213" s="97" t="inlineStr">
        <is>
          <t>Y</t>
        </is>
      </c>
      <c r="K213" s="97" t="inlineStr">
        <is>
          <t>Y</t>
        </is>
      </c>
      <c r="L213" s="97" t="inlineStr">
        <is>
          <t>Y</t>
        </is>
      </c>
      <c r="M213" s="97" t="n">
        <v>44.4</v>
      </c>
      <c r="N213" s="97" t="inlineStr">
        <is>
          <t>N</t>
        </is>
      </c>
      <c r="O213" s="97" t="n">
        <v>51.02</v>
      </c>
      <c r="P213" s="97" t="inlineStr">
        <is>
          <t>N</t>
        </is>
      </c>
      <c r="Q213" s="97" t="inlineStr">
        <is>
          <t>N/A</t>
        </is>
      </c>
      <c r="R213" s="97" t="inlineStr">
        <is>
          <t>N</t>
        </is>
      </c>
      <c r="S213" s="97" t="n">
        <v>1.5</v>
      </c>
      <c r="T213" s="97" t="n">
        <v>27.4</v>
      </c>
      <c r="U213" s="97" t="inlineStr">
        <is>
          <t>Y</t>
        </is>
      </c>
      <c r="V213" s="97" t="n">
        <v>27</v>
      </c>
      <c r="W213" s="97" t="n">
        <v>10.8</v>
      </c>
      <c r="X213" s="97" t="n">
        <v>75.97</v>
      </c>
      <c r="Y213" s="97" t="n">
        <v>-1.5</v>
      </c>
      <c r="Z213" s="97" t="n">
        <v>4</v>
      </c>
      <c r="AA213" s="92" t="inlineStr">
        <is>
          <t>AVOID</t>
        </is>
      </c>
    </row>
    <row r="214">
      <c r="A214" s="99" t="inlineStr">
        <is>
          <t>DEEPAKNTR</t>
        </is>
      </c>
      <c r="B214" s="99" t="inlineStr">
        <is>
          <t>Deepak Nitrite Ltd.</t>
        </is>
      </c>
      <c r="C214" s="99" t="inlineStr">
        <is>
          <t>Chemicals</t>
        </is>
      </c>
      <c r="D214" s="99" t="inlineStr">
        <is>
          <t>Smallcap</t>
        </is>
      </c>
      <c r="E214" s="99" t="n">
        <v>1649.6</v>
      </c>
      <c r="F214" s="99" t="n">
        <v>-0.25</v>
      </c>
      <c r="G214" s="99" t="n">
        <v>91731</v>
      </c>
      <c r="H214" s="99" t="n">
        <v>0.68</v>
      </c>
      <c r="I214" s="99" t="n">
        <v>22499</v>
      </c>
      <c r="J214" s="99" t="inlineStr">
        <is>
          <t>Y</t>
        </is>
      </c>
      <c r="K214" s="99" t="inlineStr">
        <is>
          <t>N</t>
        </is>
      </c>
      <c r="L214" s="99" t="inlineStr">
        <is>
          <t>Y</t>
        </is>
      </c>
      <c r="M214" s="99" t="n">
        <v>56.7</v>
      </c>
      <c r="N214" s="99" t="inlineStr">
        <is>
          <t>Y</t>
        </is>
      </c>
      <c r="O214" s="99" t="n">
        <v>50.92</v>
      </c>
      <c r="P214" s="99" t="inlineStr">
        <is>
          <t>N</t>
        </is>
      </c>
      <c r="Q214" s="99" t="inlineStr">
        <is>
          <t>N/A</t>
        </is>
      </c>
      <c r="R214" s="99" t="inlineStr">
        <is>
          <t>N</t>
        </is>
      </c>
      <c r="S214" s="99" t="n">
        <v>2.7</v>
      </c>
      <c r="T214" s="99" t="n">
        <v>-1.4</v>
      </c>
      <c r="U214" s="99" t="inlineStr">
        <is>
          <t>N</t>
        </is>
      </c>
      <c r="V214" s="99" t="n">
        <v>40.8</v>
      </c>
      <c r="W214" s="99" t="n">
        <v>9.800000000000001</v>
      </c>
      <c r="X214" s="99" t="n">
        <v>27.9</v>
      </c>
      <c r="Y214" s="99" t="n">
        <v>120.2</v>
      </c>
      <c r="Z214" s="99" t="n">
        <v>4</v>
      </c>
      <c r="AA214" s="94" t="inlineStr">
        <is>
          <t>AVOID</t>
        </is>
      </c>
    </row>
    <row r="215">
      <c r="A215" s="97" t="inlineStr">
        <is>
          <t>ETERNAL</t>
        </is>
      </c>
      <c r="B215" s="97" t="inlineStr">
        <is>
          <t>Eternal Ltd.</t>
        </is>
      </c>
      <c r="C215" s="97" t="inlineStr">
        <is>
          <t>Consumer Services</t>
        </is>
      </c>
      <c r="D215" s="97" t="inlineStr">
        <is>
          <t>Large/Midcap</t>
        </is>
      </c>
      <c r="E215" s="97" t="n">
        <v>280</v>
      </c>
      <c r="F215" s="97" t="n">
        <v>-2.47</v>
      </c>
      <c r="G215" s="97" t="n">
        <v>37050034</v>
      </c>
      <c r="H215" s="97" t="n">
        <v>0.73</v>
      </c>
      <c r="I215" s="97" t="n">
        <v>257751</v>
      </c>
      <c r="J215" s="97" t="inlineStr">
        <is>
          <t>Y</t>
        </is>
      </c>
      <c r="K215" s="97" t="inlineStr">
        <is>
          <t>Y</t>
        </is>
      </c>
      <c r="L215" s="97" t="inlineStr">
        <is>
          <t>Y</t>
        </is>
      </c>
      <c r="M215" s="97" t="n">
        <v>46.8</v>
      </c>
      <c r="N215" s="97" t="inlineStr">
        <is>
          <t>N</t>
        </is>
      </c>
      <c r="O215" s="97" t="n">
        <v>9.859999999999999</v>
      </c>
      <c r="P215" s="97" t="inlineStr">
        <is>
          <t>N</t>
        </is>
      </c>
      <c r="Q215" s="97" t="inlineStr">
        <is>
          <t>N/A</t>
        </is>
      </c>
      <c r="R215" s="97" t="inlineStr">
        <is>
          <t>N</t>
        </is>
      </c>
      <c r="S215" s="97" t="n">
        <v>10.8</v>
      </c>
      <c r="T215" s="97" t="n">
        <v>10.8</v>
      </c>
      <c r="U215" s="97" t="inlineStr">
        <is>
          <t>Y</t>
        </is>
      </c>
      <c r="V215" s="97" t="n">
        <v>622.2</v>
      </c>
      <c r="W215" s="97" t="inlineStr">
        <is>
          <t>N/A</t>
        </is>
      </c>
      <c r="X215" s="97" t="n">
        <v>14.83</v>
      </c>
      <c r="Y215" s="97" t="n">
        <v>-47.1</v>
      </c>
      <c r="Z215" s="97" t="n">
        <v>4</v>
      </c>
      <c r="AA215" s="92" t="inlineStr">
        <is>
          <t>AVOID</t>
        </is>
      </c>
    </row>
    <row r="216">
      <c r="A216" s="99" t="inlineStr">
        <is>
          <t>FEDERALBNK</t>
        </is>
      </c>
      <c r="B216" s="99" t="inlineStr">
        <is>
          <t>Federal Bank Ltd.</t>
        </is>
      </c>
      <c r="C216" s="99" t="inlineStr">
        <is>
          <t>Financial Services</t>
        </is>
      </c>
      <c r="D216" s="99" t="inlineStr">
        <is>
          <t>Large/Midcap</t>
        </is>
      </c>
      <c r="E216" s="99" t="n">
        <v>354.3</v>
      </c>
      <c r="F216" s="99" t="n">
        <v>-0.03</v>
      </c>
      <c r="G216" s="99" t="n">
        <v>3590425</v>
      </c>
      <c r="H216" s="99" t="n">
        <v>0.73</v>
      </c>
      <c r="I216" s="99" t="n">
        <v>87399</v>
      </c>
      <c r="J216" s="99" t="inlineStr">
        <is>
          <t>Y</t>
        </is>
      </c>
      <c r="K216" s="99" t="inlineStr">
        <is>
          <t>Y</t>
        </is>
      </c>
      <c r="L216" s="99" t="inlineStr">
        <is>
          <t>Y</t>
        </is>
      </c>
      <c r="M216" s="99" t="n">
        <v>73.2</v>
      </c>
      <c r="N216" s="99" t="inlineStr">
        <is>
          <t>N</t>
        </is>
      </c>
      <c r="O216" s="99" t="n">
        <v>7.9</v>
      </c>
      <c r="P216" s="99" t="inlineStr">
        <is>
          <t>N</t>
        </is>
      </c>
      <c r="Q216" s="99" t="inlineStr">
        <is>
          <t>N/A</t>
        </is>
      </c>
      <c r="R216" s="99" t="inlineStr">
        <is>
          <t>N</t>
        </is>
      </c>
      <c r="S216" s="99" t="n">
        <v>10.4</v>
      </c>
      <c r="T216" s="99" t="n">
        <v>25</v>
      </c>
      <c r="U216" s="99" t="inlineStr">
        <is>
          <t>Y</t>
        </is>
      </c>
      <c r="V216" s="99" t="n">
        <v>18.9</v>
      </c>
      <c r="W216" s="99" t="inlineStr">
        <is>
          <t>N/A</t>
        </is>
      </c>
      <c r="X216" s="99" t="inlineStr">
        <is>
          <t>N/A</t>
        </is>
      </c>
      <c r="Y216" s="99" t="n">
        <v>-6.3</v>
      </c>
      <c r="Z216" s="99" t="n">
        <v>4</v>
      </c>
      <c r="AA216" s="94" t="inlineStr">
        <is>
          <t>AVOID</t>
        </is>
      </c>
    </row>
    <row r="217">
      <c r="A217" s="97" t="inlineStr">
        <is>
          <t>FINCABLES</t>
        </is>
      </c>
      <c r="B217" s="97" t="inlineStr">
        <is>
          <t>Finolex Cables Ltd.</t>
        </is>
      </c>
      <c r="C217" s="97" t="inlineStr">
        <is>
          <t>Capital Goods</t>
        </is>
      </c>
      <c r="D217" s="97" t="inlineStr">
        <is>
          <t>Smallcap</t>
        </is>
      </c>
      <c r="E217" s="97" t="n">
        <v>998.9</v>
      </c>
      <c r="F217" s="97" t="n">
        <v>2.16</v>
      </c>
      <c r="G217" s="97" t="n">
        <v>328672</v>
      </c>
      <c r="H217" s="97" t="n">
        <v>1.41</v>
      </c>
      <c r="I217" s="97" t="n">
        <v>15277</v>
      </c>
      <c r="J217" s="97" t="inlineStr">
        <is>
          <t>Y</t>
        </is>
      </c>
      <c r="K217" s="97" t="inlineStr">
        <is>
          <t>N</t>
        </is>
      </c>
      <c r="L217" s="97" t="inlineStr">
        <is>
          <t>Y</t>
        </is>
      </c>
      <c r="M217" s="97" t="n">
        <v>31.4</v>
      </c>
      <c r="N217" s="97" t="inlineStr">
        <is>
          <t>N</t>
        </is>
      </c>
      <c r="O217" s="97" t="n">
        <v>33.73</v>
      </c>
      <c r="P217" s="97" t="inlineStr">
        <is>
          <t>N</t>
        </is>
      </c>
      <c r="Q217" s="97" t="inlineStr">
        <is>
          <t>N/A</t>
        </is>
      </c>
      <c r="R217" s="97" t="inlineStr">
        <is>
          <t>N</t>
        </is>
      </c>
      <c r="S217" s="97" t="n">
        <v>-9.5</v>
      </c>
      <c r="T217" s="97" t="n">
        <v>0.1</v>
      </c>
      <c r="U217" s="97" t="inlineStr">
        <is>
          <t>Y</t>
        </is>
      </c>
      <c r="V217" s="97" t="n">
        <v>21.4</v>
      </c>
      <c r="W217" s="97" t="n">
        <v>12.3</v>
      </c>
      <c r="X217" s="97" t="n">
        <v>0.31</v>
      </c>
      <c r="Y217" s="97" t="n">
        <v>36.8</v>
      </c>
      <c r="Z217" s="97" t="n">
        <v>4</v>
      </c>
      <c r="AA217" s="92" t="inlineStr">
        <is>
          <t>AVOID</t>
        </is>
      </c>
    </row>
    <row r="218">
      <c r="A218" s="99" t="inlineStr">
        <is>
          <t>FIVESTAR</t>
        </is>
      </c>
      <c r="B218" s="99" t="inlineStr">
        <is>
          <t>Five-Star Business Finance Ltd.</t>
        </is>
      </c>
      <c r="C218" s="99" t="inlineStr">
        <is>
          <t>Financial Services</t>
        </is>
      </c>
      <c r="D218" s="99" t="inlineStr">
        <is>
          <t>Smallcap</t>
        </is>
      </c>
      <c r="E218" s="99" t="n">
        <v>535.2</v>
      </c>
      <c r="F218" s="99" t="n">
        <v>0.17</v>
      </c>
      <c r="G218" s="99" t="n">
        <v>495386</v>
      </c>
      <c r="H218" s="99" t="n">
        <v>1.21</v>
      </c>
      <c r="I218" s="99" t="n">
        <v>15798</v>
      </c>
      <c r="J218" s="99" t="inlineStr">
        <is>
          <t>Y</t>
        </is>
      </c>
      <c r="K218" s="99" t="inlineStr">
        <is>
          <t>Y</t>
        </is>
      </c>
      <c r="L218" s="99" t="inlineStr">
        <is>
          <t>Y</t>
        </is>
      </c>
      <c r="M218" s="99" t="n">
        <v>41.3</v>
      </c>
      <c r="N218" s="99" t="inlineStr">
        <is>
          <t>N</t>
        </is>
      </c>
      <c r="O218" s="99" t="n">
        <v>18.45</v>
      </c>
      <c r="P218" s="99" t="inlineStr">
        <is>
          <t>N</t>
        </is>
      </c>
      <c r="Q218" s="99" t="inlineStr">
        <is>
          <t>N/A</t>
        </is>
      </c>
      <c r="R218" s="99" t="inlineStr">
        <is>
          <t>N</t>
        </is>
      </c>
      <c r="S218" s="99" t="n">
        <v>8.699999999999999</v>
      </c>
      <c r="T218" s="99" t="n">
        <v>7.5</v>
      </c>
      <c r="U218" s="99" t="inlineStr">
        <is>
          <t>Y</t>
        </is>
      </c>
      <c r="V218" s="99" t="n">
        <v>14.4</v>
      </c>
      <c r="W218" s="99" t="inlineStr">
        <is>
          <t>N/A</t>
        </is>
      </c>
      <c r="X218" s="99" t="n">
        <v>111.93</v>
      </c>
      <c r="Y218" s="99" t="n">
        <v>-2.8</v>
      </c>
      <c r="Z218" s="99" t="n">
        <v>4</v>
      </c>
      <c r="AA218" s="94" t="inlineStr">
        <is>
          <t>AVOID</t>
        </is>
      </c>
    </row>
    <row r="219">
      <c r="A219" s="97" t="inlineStr">
        <is>
          <t>FORTIS</t>
        </is>
      </c>
      <c r="B219" s="97" t="inlineStr">
        <is>
          <t>Fortis Healthcare Ltd.</t>
        </is>
      </c>
      <c r="C219" s="97" t="inlineStr">
        <is>
          <t>Healthcare</t>
        </is>
      </c>
      <c r="D219" s="97" t="inlineStr">
        <is>
          <t>Large/Midcap</t>
        </is>
      </c>
      <c r="E219" s="97" t="n">
        <v>948.7</v>
      </c>
      <c r="F219" s="97" t="n">
        <v>0.64</v>
      </c>
      <c r="G219" s="97" t="n">
        <v>503448</v>
      </c>
      <c r="H219" s="97" t="n">
        <v>0.72</v>
      </c>
      <c r="I219" s="97" t="n">
        <v>71623</v>
      </c>
      <c r="J219" s="97" t="inlineStr">
        <is>
          <t>Y</t>
        </is>
      </c>
      <c r="K219" s="97" t="inlineStr">
        <is>
          <t>N</t>
        </is>
      </c>
      <c r="L219" s="97" t="inlineStr">
        <is>
          <t>Y</t>
        </is>
      </c>
      <c r="M219" s="97" t="n">
        <v>40</v>
      </c>
      <c r="N219" s="97" t="inlineStr">
        <is>
          <t>N</t>
        </is>
      </c>
      <c r="O219" s="97" t="n">
        <v>20.17</v>
      </c>
      <c r="P219" s="97" t="inlineStr">
        <is>
          <t>N</t>
        </is>
      </c>
      <c r="Q219" s="97" t="inlineStr">
        <is>
          <t>N/A</t>
        </is>
      </c>
      <c r="R219" s="97" t="inlineStr">
        <is>
          <t>N</t>
        </is>
      </c>
      <c r="S219" s="97" t="n">
        <v>0.5</v>
      </c>
      <c r="T219" s="97" t="n">
        <v>2.1</v>
      </c>
      <c r="U219" s="97" t="inlineStr">
        <is>
          <t>Y</t>
        </is>
      </c>
      <c r="V219" s="97" t="n">
        <v>68.90000000000001</v>
      </c>
      <c r="W219" s="97" t="n">
        <v>11</v>
      </c>
      <c r="X219" s="97" t="n">
        <v>34.15</v>
      </c>
      <c r="Y219" s="97" t="n">
        <v>37.2</v>
      </c>
      <c r="Z219" s="97" t="n">
        <v>4</v>
      </c>
      <c r="AA219" s="92" t="inlineStr">
        <is>
          <t>AVOID</t>
        </is>
      </c>
    </row>
    <row r="220">
      <c r="A220" s="99" t="inlineStr">
        <is>
          <t>GAIL</t>
        </is>
      </c>
      <c r="B220" s="99" t="inlineStr">
        <is>
          <t>GAIL (India) Ltd.</t>
        </is>
      </c>
      <c r="C220" s="99" t="inlineStr">
        <is>
          <t>Oil Gas &amp; Consumable Fuels</t>
        </is>
      </c>
      <c r="D220" s="99" t="inlineStr">
        <is>
          <t>Large/Midcap</t>
        </is>
      </c>
      <c r="E220" s="99" t="n">
        <v>170.02</v>
      </c>
      <c r="F220" s="99" t="n">
        <v>-1.15</v>
      </c>
      <c r="G220" s="99" t="n">
        <v>5814293</v>
      </c>
      <c r="H220" s="99" t="n">
        <v>0.9399999999999999</v>
      </c>
      <c r="I220" s="99" t="n">
        <v>111790</v>
      </c>
      <c r="J220" s="99" t="inlineStr">
        <is>
          <t>Y</t>
        </is>
      </c>
      <c r="K220" s="99" t="inlineStr">
        <is>
          <t>Y</t>
        </is>
      </c>
      <c r="L220" s="99" t="inlineStr">
        <is>
          <t>Y</t>
        </is>
      </c>
      <c r="M220" s="99" t="n">
        <v>39</v>
      </c>
      <c r="N220" s="99" t="inlineStr">
        <is>
          <t>N</t>
        </is>
      </c>
      <c r="O220" s="99" t="n">
        <v>3.65</v>
      </c>
      <c r="P220" s="99" t="inlineStr">
        <is>
          <t>N</t>
        </is>
      </c>
      <c r="Q220" s="99" t="inlineStr">
        <is>
          <t>N/A</t>
        </is>
      </c>
      <c r="R220" s="99" t="inlineStr">
        <is>
          <t>N</t>
        </is>
      </c>
      <c r="S220" s="99" t="n">
        <v>-0.6</v>
      </c>
      <c r="T220" s="99" t="n">
        <v>3.2</v>
      </c>
      <c r="U220" s="99" t="inlineStr">
        <is>
          <t>Y</t>
        </is>
      </c>
      <c r="V220" s="99" t="n">
        <v>14.7</v>
      </c>
      <c r="W220" s="99" t="n">
        <v>8.699999999999999</v>
      </c>
      <c r="X220" s="99" t="n">
        <v>27.81</v>
      </c>
      <c r="Y220" s="99" t="n">
        <v>-15.5</v>
      </c>
      <c r="Z220" s="99" t="n">
        <v>4</v>
      </c>
      <c r="AA220" s="94" t="inlineStr">
        <is>
          <t>AVOID</t>
        </is>
      </c>
    </row>
    <row r="221">
      <c r="A221" s="97" t="inlineStr">
        <is>
          <t>GVT&amp;D</t>
        </is>
      </c>
      <c r="B221" s="97" t="inlineStr">
        <is>
          <t>GE Vernova T&amp;D India Ltd.</t>
        </is>
      </c>
      <c r="C221" s="97" t="inlineStr">
        <is>
          <t>Capital Goods</t>
        </is>
      </c>
      <c r="D221" s="97" t="inlineStr">
        <is>
          <t>Large/Midcap</t>
        </is>
      </c>
      <c r="E221" s="97" t="n">
        <v>4157.4</v>
      </c>
      <c r="F221" s="97" t="n">
        <v>-3.95</v>
      </c>
      <c r="G221" s="97" t="n">
        <v>1388191</v>
      </c>
      <c r="H221" s="97" t="n">
        <v>1.8</v>
      </c>
      <c r="I221" s="97" t="n">
        <v>106449</v>
      </c>
      <c r="J221" s="97" t="inlineStr">
        <is>
          <t>Y</t>
        </is>
      </c>
      <c r="K221" s="97" t="inlineStr">
        <is>
          <t>N</t>
        </is>
      </c>
      <c r="L221" s="97" t="inlineStr">
        <is>
          <t>Y</t>
        </is>
      </c>
      <c r="M221" s="97" t="n">
        <v>36.4</v>
      </c>
      <c r="N221" s="97" t="inlineStr">
        <is>
          <t>N</t>
        </is>
      </c>
      <c r="O221" s="97" t="n">
        <v>186.26</v>
      </c>
      <c r="P221" s="97" t="inlineStr">
        <is>
          <t>N</t>
        </is>
      </c>
      <c r="Q221" s="97" t="inlineStr">
        <is>
          <t>N/A</t>
        </is>
      </c>
      <c r="R221" s="97" t="inlineStr">
        <is>
          <t>N</t>
        </is>
      </c>
      <c r="S221" s="97" t="n">
        <v>-16.5</v>
      </c>
      <c r="T221" s="97" t="n">
        <v>-6.6</v>
      </c>
      <c r="U221" s="97" t="inlineStr">
        <is>
          <t>N</t>
        </is>
      </c>
      <c r="V221" s="97" t="n">
        <v>86.2</v>
      </c>
      <c r="W221" s="97" t="n">
        <v>55.3</v>
      </c>
      <c r="X221" s="97" t="n">
        <v>0.89</v>
      </c>
      <c r="Y221" s="97" t="n">
        <v>21</v>
      </c>
      <c r="Z221" s="97" t="n">
        <v>4</v>
      </c>
      <c r="AA221" s="92" t="inlineStr">
        <is>
          <t>AVOID</t>
        </is>
      </c>
    </row>
    <row r="222">
      <c r="A222" s="99" t="inlineStr">
        <is>
          <t>GODFRYPHLP</t>
        </is>
      </c>
      <c r="B222" s="99" t="inlineStr">
        <is>
          <t>Godfrey Phillips India Ltd.</t>
        </is>
      </c>
      <c r="C222" s="99" t="inlineStr">
        <is>
          <t>Fast Moving Consumer Goods</t>
        </is>
      </c>
      <c r="D222" s="99" t="inlineStr">
        <is>
          <t>Large/Midcap</t>
        </is>
      </c>
      <c r="E222" s="99" t="n">
        <v>2129.6</v>
      </c>
      <c r="F222" s="99" t="n">
        <v>4.06</v>
      </c>
      <c r="G222" s="99" t="n">
        <v>408425</v>
      </c>
      <c r="H222" s="99" t="n">
        <v>2.03</v>
      </c>
      <c r="I222" s="99" t="n">
        <v>33218</v>
      </c>
      <c r="J222" s="99" t="inlineStr">
        <is>
          <t>Y</t>
        </is>
      </c>
      <c r="K222" s="99" t="inlineStr">
        <is>
          <t>N</t>
        </is>
      </c>
      <c r="L222" s="99" t="inlineStr">
        <is>
          <t>N</t>
        </is>
      </c>
      <c r="M222" s="99" t="n">
        <v>48.3</v>
      </c>
      <c r="N222" s="99" t="inlineStr">
        <is>
          <t>N</t>
        </is>
      </c>
      <c r="O222" s="99" t="n">
        <v>48.43</v>
      </c>
      <c r="P222" s="99" t="inlineStr">
        <is>
          <t>Y</t>
        </is>
      </c>
      <c r="Q222" s="99" t="inlineStr">
        <is>
          <t>N/A</t>
        </is>
      </c>
      <c r="R222" s="99" t="inlineStr">
        <is>
          <t>N</t>
        </is>
      </c>
      <c r="S222" s="99" t="n">
        <v>-4.2</v>
      </c>
      <c r="T222" s="99" t="n">
        <v>-5.9</v>
      </c>
      <c r="U222" s="99" t="inlineStr">
        <is>
          <t>N</t>
        </is>
      </c>
      <c r="V222" s="99" t="n">
        <v>21.8</v>
      </c>
      <c r="W222" s="99" t="n">
        <v>26.6</v>
      </c>
      <c r="X222" s="99" t="n">
        <v>3.76</v>
      </c>
      <c r="Y222" s="99" t="n">
        <v>51.9</v>
      </c>
      <c r="Z222" s="99" t="n">
        <v>4</v>
      </c>
      <c r="AA222" s="94" t="inlineStr">
        <is>
          <t>AVOID</t>
        </is>
      </c>
    </row>
    <row r="223">
      <c r="A223" s="97" t="inlineStr">
        <is>
          <t>GRANULES</t>
        </is>
      </c>
      <c r="B223" s="97" t="inlineStr">
        <is>
          <t>Granules India Ltd.</t>
        </is>
      </c>
      <c r="C223" s="97" t="inlineStr">
        <is>
          <t>Healthcare</t>
        </is>
      </c>
      <c r="D223" s="97" t="inlineStr">
        <is>
          <t>Smallcap</t>
        </is>
      </c>
      <c r="E223" s="97" t="n">
        <v>833.55</v>
      </c>
      <c r="F223" s="97" t="n">
        <v>-2.23</v>
      </c>
      <c r="G223" s="97" t="n">
        <v>870853</v>
      </c>
      <c r="H223" s="97" t="n">
        <v>0.48</v>
      </c>
      <c r="I223" s="97" t="n">
        <v>20655</v>
      </c>
      <c r="J223" s="97" t="inlineStr">
        <is>
          <t>Y</t>
        </is>
      </c>
      <c r="K223" s="97" t="inlineStr">
        <is>
          <t>Y</t>
        </is>
      </c>
      <c r="L223" s="97" t="inlineStr">
        <is>
          <t>Y</t>
        </is>
      </c>
      <c r="M223" s="97" t="n">
        <v>42.2</v>
      </c>
      <c r="N223" s="97" t="inlineStr">
        <is>
          <t>N</t>
        </is>
      </c>
      <c r="O223" s="97" t="n">
        <v>28.37</v>
      </c>
      <c r="P223" s="97" t="inlineStr">
        <is>
          <t>N</t>
        </is>
      </c>
      <c r="Q223" s="97" t="inlineStr">
        <is>
          <t>N/A</t>
        </is>
      </c>
      <c r="R223" s="97" t="inlineStr">
        <is>
          <t>N</t>
        </is>
      </c>
      <c r="S223" s="97" t="n">
        <v>10.1</v>
      </c>
      <c r="T223" s="97" t="n">
        <v>18.9</v>
      </c>
      <c r="U223" s="97" t="inlineStr">
        <is>
          <t>Y</t>
        </is>
      </c>
      <c r="V223" s="97" t="n">
        <v>31</v>
      </c>
      <c r="W223" s="97" t="inlineStr">
        <is>
          <t>N/A</t>
        </is>
      </c>
      <c r="X223" s="97" t="n">
        <v>29.73</v>
      </c>
      <c r="Y223" s="97" t="n">
        <v>-10.7</v>
      </c>
      <c r="Z223" s="97" t="n">
        <v>4</v>
      </c>
      <c r="AA223" s="92" t="inlineStr">
        <is>
          <t>AVOID</t>
        </is>
      </c>
    </row>
    <row r="224">
      <c r="A224" s="99" t="inlineStr">
        <is>
          <t>GRASIM</t>
        </is>
      </c>
      <c r="B224" s="99" t="inlineStr">
        <is>
          <t>Grasim Industries Ltd.</t>
        </is>
      </c>
      <c r="C224" s="99" t="inlineStr">
        <is>
          <t>Construction Materials</t>
        </is>
      </c>
      <c r="D224" s="99" t="inlineStr">
        <is>
          <t>Large/Midcap</t>
        </is>
      </c>
      <c r="E224" s="99" t="n">
        <v>3089.4</v>
      </c>
      <c r="F224" s="99" t="n">
        <v>-0.76</v>
      </c>
      <c r="G224" s="99" t="n">
        <v>341560</v>
      </c>
      <c r="H224" s="99" t="n">
        <v>0.74</v>
      </c>
      <c r="I224" s="99" t="n">
        <v>209539</v>
      </c>
      <c r="J224" s="99" t="inlineStr">
        <is>
          <t>Y</t>
        </is>
      </c>
      <c r="K224" s="99" t="inlineStr">
        <is>
          <t>N</t>
        </is>
      </c>
      <c r="L224" s="99" t="inlineStr">
        <is>
          <t>Y</t>
        </is>
      </c>
      <c r="M224" s="99" t="n">
        <v>37.5</v>
      </c>
      <c r="N224" s="99" t="inlineStr">
        <is>
          <t>N</t>
        </is>
      </c>
      <c r="O224" s="99" t="n">
        <v>62.37</v>
      </c>
      <c r="P224" s="99" t="inlineStr">
        <is>
          <t>N</t>
        </is>
      </c>
      <c r="Q224" s="99" t="inlineStr">
        <is>
          <t>N/A</t>
        </is>
      </c>
      <c r="R224" s="99" t="inlineStr">
        <is>
          <t>N</t>
        </is>
      </c>
      <c r="S224" s="99" t="n">
        <v>-0.1</v>
      </c>
      <c r="T224" s="99" t="n">
        <v>10.8</v>
      </c>
      <c r="U224" s="99" t="inlineStr">
        <is>
          <t>Y</t>
        </is>
      </c>
      <c r="V224" s="99" t="n">
        <v>42.2</v>
      </c>
      <c r="W224" s="99" t="n">
        <v>6.3</v>
      </c>
      <c r="X224" s="99" t="n">
        <v>135.04</v>
      </c>
      <c r="Y224" s="99" t="n">
        <v>88.90000000000001</v>
      </c>
      <c r="Z224" s="99" t="n">
        <v>4</v>
      </c>
      <c r="AA224" s="94" t="inlineStr">
        <is>
          <t>AVOID</t>
        </is>
      </c>
    </row>
    <row r="225">
      <c r="A225" s="97" t="inlineStr">
        <is>
          <t>POWERINDIA</t>
        </is>
      </c>
      <c r="B225" s="97" t="inlineStr">
        <is>
          <t>Hitachi Energy India Ltd.</t>
        </is>
      </c>
      <c r="C225" s="97" t="inlineStr">
        <is>
          <t>Capital Goods</t>
        </is>
      </c>
      <c r="D225" s="97" t="inlineStr">
        <is>
          <t>Large/Midcap</t>
        </is>
      </c>
      <c r="E225" s="97" t="n">
        <v>31070</v>
      </c>
      <c r="F225" s="97" t="n">
        <v>-3.1</v>
      </c>
      <c r="G225" s="97" t="n">
        <v>118166</v>
      </c>
      <c r="H225" s="97" t="n">
        <v>1.33</v>
      </c>
      <c r="I225" s="97" t="n">
        <v>138486</v>
      </c>
      <c r="J225" s="97" t="inlineStr">
        <is>
          <t>Y</t>
        </is>
      </c>
      <c r="K225" s="97" t="inlineStr">
        <is>
          <t>N</t>
        </is>
      </c>
      <c r="L225" s="97" t="inlineStr">
        <is>
          <t>Y</t>
        </is>
      </c>
      <c r="M225" s="97" t="n">
        <v>41.8</v>
      </c>
      <c r="N225" s="97" t="inlineStr">
        <is>
          <t>N</t>
        </is>
      </c>
      <c r="O225" s="97" t="n">
        <v>1091.43</v>
      </c>
      <c r="P225" s="97" t="inlineStr">
        <is>
          <t>N</t>
        </is>
      </c>
      <c r="Q225" s="97" t="inlineStr">
        <is>
          <t>N/A</t>
        </is>
      </c>
      <c r="R225" s="97" t="inlineStr">
        <is>
          <t>N</t>
        </is>
      </c>
      <c r="S225" s="97" t="n">
        <v>-7.5</v>
      </c>
      <c r="T225" s="97" t="n">
        <v>-5</v>
      </c>
      <c r="U225" s="97" t="inlineStr">
        <is>
          <t>N</t>
        </is>
      </c>
      <c r="V225" s="97" t="n">
        <v>140.8</v>
      </c>
      <c r="W225" s="97" t="n">
        <v>21</v>
      </c>
      <c r="X225" s="97" t="n">
        <v>1.66</v>
      </c>
      <c r="Y225" s="97" t="n">
        <v>26.4</v>
      </c>
      <c r="Z225" s="97" t="n">
        <v>4</v>
      </c>
      <c r="AA225" s="92" t="inlineStr">
        <is>
          <t>AVOID</t>
        </is>
      </c>
    </row>
    <row r="226">
      <c r="A226" s="99" t="inlineStr">
        <is>
          <t>IDFCFIRSTB</t>
        </is>
      </c>
      <c r="B226" s="99" t="inlineStr">
        <is>
          <t>IDFC First Bank Ltd.</t>
        </is>
      </c>
      <c r="C226" s="99" t="inlineStr">
        <is>
          <t>Financial Services</t>
        </is>
      </c>
      <c r="D226" s="99" t="inlineStr">
        <is>
          <t>Large/Midcap</t>
        </is>
      </c>
      <c r="E226" s="99" t="n">
        <v>80.79000000000001</v>
      </c>
      <c r="F226" s="99" t="n">
        <v>1.11</v>
      </c>
      <c r="G226" s="99" t="n">
        <v>16260314</v>
      </c>
      <c r="H226" s="99" t="n">
        <v>1.14</v>
      </c>
      <c r="I226" s="99" t="n">
        <v>69616</v>
      </c>
      <c r="J226" s="99" t="inlineStr">
        <is>
          <t>Y</t>
        </is>
      </c>
      <c r="K226" s="99" t="inlineStr">
        <is>
          <t>Y</t>
        </is>
      </c>
      <c r="L226" s="99" t="inlineStr">
        <is>
          <t>Y</t>
        </is>
      </c>
      <c r="M226" s="99" t="n">
        <v>48.7</v>
      </c>
      <c r="N226" s="99" t="inlineStr">
        <is>
          <t>N</t>
        </is>
      </c>
      <c r="O226" s="99" t="n">
        <v>1.74</v>
      </c>
      <c r="P226" s="99" t="inlineStr">
        <is>
          <t>N</t>
        </is>
      </c>
      <c r="Q226" s="99" t="inlineStr">
        <is>
          <t>N/A</t>
        </is>
      </c>
      <c r="R226" s="99" t="inlineStr">
        <is>
          <t>N</t>
        </is>
      </c>
      <c r="S226" s="99" t="n">
        <v>3</v>
      </c>
      <c r="T226" s="99" t="n">
        <v>15.7</v>
      </c>
      <c r="U226" s="99" t="inlineStr">
        <is>
          <t>Y</t>
        </is>
      </c>
      <c r="V226" s="99" t="n">
        <v>43</v>
      </c>
      <c r="W226" s="99" t="inlineStr">
        <is>
          <t>N/A</t>
        </is>
      </c>
      <c r="X226" s="99" t="inlineStr">
        <is>
          <t>N/A</t>
        </is>
      </c>
      <c r="Y226" s="99" t="n">
        <v>-30.9</v>
      </c>
      <c r="Z226" s="99" t="n">
        <v>4</v>
      </c>
      <c r="AA226" s="94" t="inlineStr">
        <is>
          <t>AVOID</t>
        </is>
      </c>
    </row>
    <row r="227">
      <c r="A227" s="97" t="inlineStr">
        <is>
          <t>IFCI</t>
        </is>
      </c>
      <c r="B227" s="97" t="inlineStr">
        <is>
          <t>IFCI Ltd.</t>
        </is>
      </c>
      <c r="C227" s="97" t="inlineStr">
        <is>
          <t>Financial Services</t>
        </is>
      </c>
      <c r="D227" s="97" t="inlineStr">
        <is>
          <t>Smallcap</t>
        </is>
      </c>
      <c r="E227" s="97" t="n">
        <v>70.12</v>
      </c>
      <c r="F227" s="97" t="n">
        <v>-1.43</v>
      </c>
      <c r="G227" s="97" t="n">
        <v>12585981</v>
      </c>
      <c r="H227" s="97" t="n">
        <v>1.43</v>
      </c>
      <c r="I227" s="97" t="n">
        <v>18893</v>
      </c>
      <c r="J227" s="97" t="inlineStr">
        <is>
          <t>Y</t>
        </is>
      </c>
      <c r="K227" s="97" t="inlineStr">
        <is>
          <t>N</t>
        </is>
      </c>
      <c r="L227" s="97" t="inlineStr">
        <is>
          <t>Y</t>
        </is>
      </c>
      <c r="M227" s="97" t="n">
        <v>32.2</v>
      </c>
      <c r="N227" s="97" t="inlineStr">
        <is>
          <t>N</t>
        </is>
      </c>
      <c r="O227" s="97" t="n">
        <v>2.35</v>
      </c>
      <c r="P227" s="97" t="inlineStr">
        <is>
          <t>N</t>
        </is>
      </c>
      <c r="Q227" s="97" t="inlineStr">
        <is>
          <t>N/A</t>
        </is>
      </c>
      <c r="R227" s="97" t="inlineStr">
        <is>
          <t>N</t>
        </is>
      </c>
      <c r="S227" s="97" t="n">
        <v>-7.9</v>
      </c>
      <c r="T227" s="97" t="n">
        <v>20.9</v>
      </c>
      <c r="U227" s="97" t="inlineStr">
        <is>
          <t>Y</t>
        </is>
      </c>
      <c r="V227" s="97" t="n">
        <v>101.6</v>
      </c>
      <c r="W227" s="97" t="inlineStr">
        <is>
          <t>N/A</t>
        </is>
      </c>
      <c r="X227" s="97" t="inlineStr">
        <is>
          <t>N/A</t>
        </is>
      </c>
      <c r="Y227" s="97" t="n">
        <v>186.7</v>
      </c>
      <c r="Z227" s="97" t="n">
        <v>4</v>
      </c>
      <c r="AA227" s="92" t="inlineStr">
        <is>
          <t>AVOID</t>
        </is>
      </c>
    </row>
    <row r="228">
      <c r="A228" s="99" t="inlineStr">
        <is>
          <t>ITC</t>
        </is>
      </c>
      <c r="B228" s="99" t="inlineStr">
        <is>
          <t>ITC Ltd.</t>
        </is>
      </c>
      <c r="C228" s="99" t="inlineStr">
        <is>
          <t>Fast Moving Consumer Goods</t>
        </is>
      </c>
      <c r="D228" s="99" t="inlineStr">
        <is>
          <t>Large/Midcap</t>
        </is>
      </c>
      <c r="E228" s="99" t="n">
        <v>283.45</v>
      </c>
      <c r="F228" s="99" t="n">
        <v>0.76</v>
      </c>
      <c r="G228" s="99" t="n">
        <v>24954082</v>
      </c>
      <c r="H228" s="99" t="n">
        <v>1.7</v>
      </c>
      <c r="I228" s="99" t="n">
        <v>355148</v>
      </c>
      <c r="J228" s="99" t="inlineStr">
        <is>
          <t>Y</t>
        </is>
      </c>
      <c r="K228" s="99" t="inlineStr">
        <is>
          <t>N</t>
        </is>
      </c>
      <c r="L228" s="99" t="inlineStr">
        <is>
          <t>N</t>
        </is>
      </c>
      <c r="M228" s="99" t="n">
        <v>41.5</v>
      </c>
      <c r="N228" s="99" t="inlineStr">
        <is>
          <t>N</t>
        </is>
      </c>
      <c r="O228" s="99" t="n">
        <v>4.36</v>
      </c>
      <c r="P228" s="99" t="inlineStr">
        <is>
          <t>Y</t>
        </is>
      </c>
      <c r="Q228" s="99" t="inlineStr">
        <is>
          <t>N/A</t>
        </is>
      </c>
      <c r="R228" s="99" t="inlineStr">
        <is>
          <t>N</t>
        </is>
      </c>
      <c r="S228" s="99" t="n">
        <v>-1.2</v>
      </c>
      <c r="T228" s="99" t="n">
        <v>-7.4</v>
      </c>
      <c r="U228" s="99" t="inlineStr">
        <is>
          <t>N</t>
        </is>
      </c>
      <c r="V228" s="99" t="n">
        <v>17.2</v>
      </c>
      <c r="W228" s="99" t="n">
        <v>29.3</v>
      </c>
      <c r="X228" s="99" t="n">
        <v>3.29</v>
      </c>
      <c r="Y228" s="99" t="n">
        <v>9.300000000000001</v>
      </c>
      <c r="Z228" s="99" t="n">
        <v>4</v>
      </c>
      <c r="AA228" s="94" t="inlineStr">
        <is>
          <t>AVOID</t>
        </is>
      </c>
    </row>
    <row r="229">
      <c r="A229" s="97" t="inlineStr">
        <is>
          <t>INDIANB</t>
        </is>
      </c>
      <c r="B229" s="97" t="inlineStr">
        <is>
          <t>Indian Bank</t>
        </is>
      </c>
      <c r="C229" s="97" t="inlineStr">
        <is>
          <t>Financial Services</t>
        </is>
      </c>
      <c r="D229" s="97" t="inlineStr">
        <is>
          <t>Large/Midcap</t>
        </is>
      </c>
      <c r="E229" s="97" t="n">
        <v>826.1</v>
      </c>
      <c r="F229" s="97" t="n">
        <v>-0.15</v>
      </c>
      <c r="G229" s="97" t="n">
        <v>1435233</v>
      </c>
      <c r="H229" s="97" t="n">
        <v>0.82</v>
      </c>
      <c r="I229" s="97" t="n">
        <v>111273</v>
      </c>
      <c r="J229" s="97" t="inlineStr">
        <is>
          <t>Y</t>
        </is>
      </c>
      <c r="K229" s="97" t="inlineStr">
        <is>
          <t>N</t>
        </is>
      </c>
      <c r="L229" s="97" t="inlineStr">
        <is>
          <t>N</t>
        </is>
      </c>
      <c r="M229" s="97" t="n">
        <v>58.4</v>
      </c>
      <c r="N229" s="97" t="inlineStr">
        <is>
          <t>Y</t>
        </is>
      </c>
      <c r="O229" s="97" t="n">
        <v>27.29</v>
      </c>
      <c r="P229" s="97" t="inlineStr">
        <is>
          <t>N</t>
        </is>
      </c>
      <c r="Q229" s="97" t="inlineStr">
        <is>
          <t>N/A</t>
        </is>
      </c>
      <c r="R229" s="97" t="inlineStr">
        <is>
          <t>N</t>
        </is>
      </c>
      <c r="S229" s="97" t="n">
        <v>0.3</v>
      </c>
      <c r="T229" s="97" t="n">
        <v>-3.1</v>
      </c>
      <c r="U229" s="97" t="inlineStr">
        <is>
          <t>N</t>
        </is>
      </c>
      <c r="V229" s="97" t="n">
        <v>8.699999999999999</v>
      </c>
      <c r="W229" s="97" t="n">
        <v>16.2</v>
      </c>
      <c r="X229" s="97" t="inlineStr">
        <is>
          <t>N/A</t>
        </is>
      </c>
      <c r="Y229" s="97" t="n">
        <v>5.8</v>
      </c>
      <c r="Z229" s="97" t="n">
        <v>4</v>
      </c>
      <c r="AA229" s="92" t="inlineStr">
        <is>
          <t>AVOID</t>
        </is>
      </c>
    </row>
    <row r="230">
      <c r="A230" s="99" t="inlineStr">
        <is>
          <t>INDHOTEL</t>
        </is>
      </c>
      <c r="B230" s="99" t="inlineStr">
        <is>
          <t>Indian Hotels Co. Ltd.</t>
        </is>
      </c>
      <c r="C230" s="99" t="inlineStr">
        <is>
          <t>Consumer Services</t>
        </is>
      </c>
      <c r="D230" s="99" t="inlineStr">
        <is>
          <t>Large/Midcap</t>
        </is>
      </c>
      <c r="E230" s="99" t="n">
        <v>727.45</v>
      </c>
      <c r="F230" s="99" t="n">
        <v>0.47</v>
      </c>
      <c r="G230" s="99" t="n">
        <v>1864296</v>
      </c>
      <c r="H230" s="99" t="n">
        <v>0.58</v>
      </c>
      <c r="I230" s="99" t="n">
        <v>103548</v>
      </c>
      <c r="J230" s="99" t="inlineStr">
        <is>
          <t>Y</t>
        </is>
      </c>
      <c r="K230" s="99" t="inlineStr">
        <is>
          <t>Y</t>
        </is>
      </c>
      <c r="L230" s="99" t="inlineStr">
        <is>
          <t>Y</t>
        </is>
      </c>
      <c r="M230" s="99" t="n">
        <v>45.7</v>
      </c>
      <c r="N230" s="99" t="inlineStr">
        <is>
          <t>N</t>
        </is>
      </c>
      <c r="O230" s="99" t="n">
        <v>17.17</v>
      </c>
      <c r="P230" s="99" t="inlineStr">
        <is>
          <t>N</t>
        </is>
      </c>
      <c r="Q230" s="99" t="inlineStr">
        <is>
          <t>N/A</t>
        </is>
      </c>
      <c r="R230" s="99" t="inlineStr">
        <is>
          <t>N</t>
        </is>
      </c>
      <c r="S230" s="99" t="n">
        <v>2</v>
      </c>
      <c r="T230" s="99" t="n">
        <v>13.9</v>
      </c>
      <c r="U230" s="99" t="inlineStr">
        <is>
          <t>Y</t>
        </is>
      </c>
      <c r="V230" s="99" t="n">
        <v>48.3</v>
      </c>
      <c r="W230" s="99" t="inlineStr">
        <is>
          <t>N/A</t>
        </is>
      </c>
      <c r="X230" s="99" t="n">
        <v>18.99</v>
      </c>
      <c r="Y230" s="99" t="n">
        <v>-40.3</v>
      </c>
      <c r="Z230" s="99" t="n">
        <v>4</v>
      </c>
      <c r="AA230" s="94" t="inlineStr">
        <is>
          <t>AVOID</t>
        </is>
      </c>
    </row>
    <row r="231">
      <c r="A231" s="97" t="inlineStr">
        <is>
          <t>INDUSTOWER</t>
        </is>
      </c>
      <c r="B231" s="97" t="inlineStr">
        <is>
          <t>Indus Towers Ltd.</t>
        </is>
      </c>
      <c r="C231" s="97" t="inlineStr">
        <is>
          <t>Telecommunication</t>
        </is>
      </c>
      <c r="D231" s="97" t="inlineStr">
        <is>
          <t>Large/Midcap</t>
        </is>
      </c>
      <c r="E231" s="97" t="n">
        <v>394.6</v>
      </c>
      <c r="F231" s="97" t="n">
        <v>1.11</v>
      </c>
      <c r="G231" s="97" t="n">
        <v>3130489</v>
      </c>
      <c r="H231" s="97" t="n">
        <v>1.27</v>
      </c>
      <c r="I231" s="97" t="n">
        <v>104064</v>
      </c>
      <c r="J231" s="97" t="inlineStr">
        <is>
          <t>Y</t>
        </is>
      </c>
      <c r="K231" s="97" t="inlineStr">
        <is>
          <t>N</t>
        </is>
      </c>
      <c r="L231" s="97" t="inlineStr">
        <is>
          <t>N</t>
        </is>
      </c>
      <c r="M231" s="97" t="n">
        <v>56.5</v>
      </c>
      <c r="N231" s="97" t="inlineStr">
        <is>
          <t>Y</t>
        </is>
      </c>
      <c r="O231" s="97" t="n">
        <v>10.23</v>
      </c>
      <c r="P231" s="97" t="inlineStr">
        <is>
          <t>N</t>
        </is>
      </c>
      <c r="Q231" s="97" t="inlineStr">
        <is>
          <t>N/A</t>
        </is>
      </c>
      <c r="R231" s="97" t="inlineStr">
        <is>
          <t>N</t>
        </is>
      </c>
      <c r="S231" s="97" t="n">
        <v>1.3</v>
      </c>
      <c r="T231" s="97" t="n">
        <v>-4.1</v>
      </c>
      <c r="U231" s="97" t="inlineStr">
        <is>
          <t>N</t>
        </is>
      </c>
      <c r="V231" s="97" t="n">
        <v>14.6</v>
      </c>
      <c r="W231" s="97" t="n">
        <v>19.8</v>
      </c>
      <c r="X231" s="97" t="n">
        <v>53.29</v>
      </c>
      <c r="Y231" s="97" t="n">
        <v>1</v>
      </c>
      <c r="Z231" s="97" t="n">
        <v>4</v>
      </c>
      <c r="AA231" s="92" t="inlineStr">
        <is>
          <t>AVOID</t>
        </is>
      </c>
    </row>
    <row r="232">
      <c r="A232" s="99" t="inlineStr">
        <is>
          <t>IPCALAB</t>
        </is>
      </c>
      <c r="B232" s="99" t="inlineStr">
        <is>
          <t>Ipca Laboratories Ltd.</t>
        </is>
      </c>
      <c r="C232" s="99" t="inlineStr">
        <is>
          <t>Healthcare</t>
        </is>
      </c>
      <c r="D232" s="99" t="inlineStr">
        <is>
          <t>Large/Midcap</t>
        </is>
      </c>
      <c r="E232" s="99" t="n">
        <v>1762.7</v>
      </c>
      <c r="F232" s="99" t="n">
        <v>-0.48</v>
      </c>
      <c r="G232" s="99" t="n">
        <v>79195</v>
      </c>
      <c r="H232" s="99" t="n">
        <v>0.3</v>
      </c>
      <c r="I232" s="99" t="n">
        <v>44720</v>
      </c>
      <c r="J232" s="99" t="inlineStr">
        <is>
          <t>Y</t>
        </is>
      </c>
      <c r="K232" s="99" t="inlineStr">
        <is>
          <t>Y</t>
        </is>
      </c>
      <c r="L232" s="99" t="inlineStr">
        <is>
          <t>Y</t>
        </is>
      </c>
      <c r="M232" s="99" t="n">
        <v>46.9</v>
      </c>
      <c r="N232" s="99" t="inlineStr">
        <is>
          <t>N</t>
        </is>
      </c>
      <c r="O232" s="99" t="n">
        <v>58.95</v>
      </c>
      <c r="P232" s="99" t="inlineStr">
        <is>
          <t>N</t>
        </is>
      </c>
      <c r="Q232" s="99" t="inlineStr">
        <is>
          <t>N/A</t>
        </is>
      </c>
      <c r="R232" s="99" t="inlineStr">
        <is>
          <t>N</t>
        </is>
      </c>
      <c r="S232" s="99" t="n">
        <v>10</v>
      </c>
      <c r="T232" s="99" t="n">
        <v>14.9</v>
      </c>
      <c r="U232" s="99" t="inlineStr">
        <is>
          <t>Y</t>
        </is>
      </c>
      <c r="V232" s="99" t="n">
        <v>39.2</v>
      </c>
      <c r="W232" s="99" t="n">
        <v>13.2</v>
      </c>
      <c r="X232" s="99" t="n">
        <v>8.49</v>
      </c>
      <c r="Y232" s="99" t="n">
        <v>-8.300000000000001</v>
      </c>
      <c r="Z232" s="99" t="n">
        <v>4</v>
      </c>
      <c r="AA232" s="94" t="inlineStr">
        <is>
          <t>AVOID</t>
        </is>
      </c>
    </row>
    <row r="233">
      <c r="A233" s="97" t="inlineStr">
        <is>
          <t>JSWENERGY</t>
        </is>
      </c>
      <c r="B233" s="97" t="inlineStr">
        <is>
          <t>JSW Energy Ltd.</t>
        </is>
      </c>
      <c r="C233" s="97" t="inlineStr">
        <is>
          <t>Power</t>
        </is>
      </c>
      <c r="D233" s="97" t="inlineStr">
        <is>
          <t>Large/Midcap</t>
        </is>
      </c>
      <c r="E233" s="97" t="n">
        <v>551.65</v>
      </c>
      <c r="F233" s="97" t="n">
        <v>-1.02</v>
      </c>
      <c r="G233" s="97" t="n">
        <v>1620670</v>
      </c>
      <c r="H233" s="97" t="n">
        <v>0.67</v>
      </c>
      <c r="I233" s="97" t="n">
        <v>101083</v>
      </c>
      <c r="J233" s="97" t="inlineStr">
        <is>
          <t>Y</t>
        </is>
      </c>
      <c r="K233" s="97" t="inlineStr">
        <is>
          <t>N</t>
        </is>
      </c>
      <c r="L233" s="97" t="inlineStr">
        <is>
          <t>Y</t>
        </is>
      </c>
      <c r="M233" s="97" t="n">
        <v>52.2</v>
      </c>
      <c r="N233" s="97" t="inlineStr">
        <is>
          <t>Y</t>
        </is>
      </c>
      <c r="O233" s="97" t="n">
        <v>15.12</v>
      </c>
      <c r="P233" s="97" t="inlineStr">
        <is>
          <t>N</t>
        </is>
      </c>
      <c r="Q233" s="97" t="inlineStr">
        <is>
          <t>N/A</t>
        </is>
      </c>
      <c r="R233" s="97" t="inlineStr">
        <is>
          <t>N</t>
        </is>
      </c>
      <c r="S233" s="97" t="n">
        <v>-2.8</v>
      </c>
      <c r="T233" s="97" t="n">
        <v>-0.7</v>
      </c>
      <c r="U233" s="97" t="inlineStr">
        <is>
          <t>N</t>
        </is>
      </c>
      <c r="V233" s="97" t="n">
        <v>43.3</v>
      </c>
      <c r="W233" s="97" t="inlineStr">
        <is>
          <t>N/A</t>
        </is>
      </c>
      <c r="X233" s="97" t="n">
        <v>229.16</v>
      </c>
      <c r="Y233" s="97" t="n">
        <v>26.8</v>
      </c>
      <c r="Z233" s="97" t="n">
        <v>4</v>
      </c>
      <c r="AA233" s="92" t="inlineStr">
        <is>
          <t>AVOID</t>
        </is>
      </c>
    </row>
    <row r="234">
      <c r="A234" s="99" t="inlineStr">
        <is>
          <t>JSWINFRA</t>
        </is>
      </c>
      <c r="B234" s="99" t="inlineStr">
        <is>
          <t>JSW Infrastructure Ltd.</t>
        </is>
      </c>
      <c r="C234" s="99" t="inlineStr">
        <is>
          <t>Services</t>
        </is>
      </c>
      <c r="D234" s="99" t="inlineStr">
        <is>
          <t>Large/Midcap</t>
        </is>
      </c>
      <c r="E234" s="99" t="n">
        <v>322.7</v>
      </c>
      <c r="F234" s="99" t="n">
        <v>-0.55</v>
      </c>
      <c r="G234" s="99" t="n">
        <v>2835528</v>
      </c>
      <c r="H234" s="99" t="n">
        <v>0.85</v>
      </c>
      <c r="I234" s="99" t="n">
        <v>74710</v>
      </c>
      <c r="J234" s="99" t="inlineStr">
        <is>
          <t>Y</t>
        </is>
      </c>
      <c r="K234" s="99" t="inlineStr">
        <is>
          <t>Y</t>
        </is>
      </c>
      <c r="L234" s="99" t="inlineStr">
        <is>
          <t>Y</t>
        </is>
      </c>
      <c r="M234" s="99" t="n">
        <v>49.3</v>
      </c>
      <c r="N234" s="99" t="inlineStr">
        <is>
          <t>N</t>
        </is>
      </c>
      <c r="O234" s="99" t="n">
        <v>12.08</v>
      </c>
      <c r="P234" s="99" t="inlineStr">
        <is>
          <t>N</t>
        </is>
      </c>
      <c r="Q234" s="99" t="inlineStr">
        <is>
          <t>N/A</t>
        </is>
      </c>
      <c r="R234" s="99" t="inlineStr">
        <is>
          <t>N</t>
        </is>
      </c>
      <c r="S234" s="99" t="n">
        <v>-1.1</v>
      </c>
      <c r="T234" s="99" t="n">
        <v>19</v>
      </c>
      <c r="U234" s="99" t="inlineStr">
        <is>
          <t>Y</t>
        </is>
      </c>
      <c r="V234" s="99" t="n">
        <v>45.5</v>
      </c>
      <c r="W234" s="99" t="inlineStr">
        <is>
          <t>N/A</t>
        </is>
      </c>
      <c r="X234" s="99" t="n">
        <v>59</v>
      </c>
      <c r="Y234" s="99" t="n">
        <v>-17.1</v>
      </c>
      <c r="Z234" s="99" t="n">
        <v>4</v>
      </c>
      <c r="AA234" s="94" t="inlineStr">
        <is>
          <t>AVOID</t>
        </is>
      </c>
    </row>
    <row r="235">
      <c r="A235" s="97" t="inlineStr">
        <is>
          <t>JINDALSAW</t>
        </is>
      </c>
      <c r="B235" s="97" t="inlineStr">
        <is>
          <t>Jindal Saw Ltd.</t>
        </is>
      </c>
      <c r="C235" s="97" t="inlineStr">
        <is>
          <t>Capital Goods</t>
        </is>
      </c>
      <c r="D235" s="97" t="inlineStr">
        <is>
          <t>Smallcap</t>
        </is>
      </c>
      <c r="E235" s="97" t="n">
        <v>255.35</v>
      </c>
      <c r="F235" s="97" t="n">
        <v>-2.15</v>
      </c>
      <c r="G235" s="97" t="n">
        <v>1031851</v>
      </c>
      <c r="H235" s="97" t="n">
        <v>0.76</v>
      </c>
      <c r="I235" s="97" t="n">
        <v>16282</v>
      </c>
      <c r="J235" s="97" t="inlineStr">
        <is>
          <t>Y</t>
        </is>
      </c>
      <c r="K235" s="97" t="inlineStr">
        <is>
          <t>Y</t>
        </is>
      </c>
      <c r="L235" s="97" t="inlineStr">
        <is>
          <t>Y</t>
        </is>
      </c>
      <c r="M235" s="97" t="n">
        <v>47</v>
      </c>
      <c r="N235" s="97" t="inlineStr">
        <is>
          <t>N</t>
        </is>
      </c>
      <c r="O235" s="97" t="n">
        <v>11.51</v>
      </c>
      <c r="P235" s="97" t="inlineStr">
        <is>
          <t>N</t>
        </is>
      </c>
      <c r="Q235" s="97" t="inlineStr">
        <is>
          <t>N/A</t>
        </is>
      </c>
      <c r="R235" s="97" t="inlineStr">
        <is>
          <t>N</t>
        </is>
      </c>
      <c r="S235" s="97" t="n">
        <v>-1</v>
      </c>
      <c r="T235" s="97" t="n">
        <v>12.7</v>
      </c>
      <c r="U235" s="97" t="inlineStr">
        <is>
          <t>Y</t>
        </is>
      </c>
      <c r="V235" s="97" t="n">
        <v>24.9</v>
      </c>
      <c r="W235" s="97" t="inlineStr">
        <is>
          <t>N/A</t>
        </is>
      </c>
      <c r="X235" s="97" t="n">
        <v>38.19</v>
      </c>
      <c r="Y235" s="97" t="n"/>
      <c r="Z235" s="97" t="n">
        <v>4</v>
      </c>
      <c r="AA235" s="92" t="inlineStr">
        <is>
          <t>AVOID</t>
        </is>
      </c>
    </row>
    <row r="236">
      <c r="A236" s="99" t="inlineStr">
        <is>
          <t>KPIL</t>
        </is>
      </c>
      <c r="B236" s="99" t="inlineStr">
        <is>
          <t>Kalpataru Projects International Ltd.</t>
        </is>
      </c>
      <c r="C236" s="99" t="inlineStr">
        <is>
          <t>Construction</t>
        </is>
      </c>
      <c r="D236" s="99" t="inlineStr">
        <is>
          <t>Smallcap</t>
        </is>
      </c>
      <c r="E236" s="99" t="n">
        <v>1299.9</v>
      </c>
      <c r="F236" s="99" t="n">
        <v>0.15</v>
      </c>
      <c r="G236" s="99" t="n">
        <v>131284</v>
      </c>
      <c r="H236" s="99" t="n">
        <v>1.29</v>
      </c>
      <c r="I236" s="99" t="n">
        <v>22199</v>
      </c>
      <c r="J236" s="99" t="inlineStr">
        <is>
          <t>Y</t>
        </is>
      </c>
      <c r="K236" s="99" t="inlineStr">
        <is>
          <t>N</t>
        </is>
      </c>
      <c r="L236" s="99" t="inlineStr">
        <is>
          <t>Y</t>
        </is>
      </c>
      <c r="M236" s="99" t="n">
        <v>32.6</v>
      </c>
      <c r="N236" s="99" t="inlineStr">
        <is>
          <t>N</t>
        </is>
      </c>
      <c r="O236" s="99" t="n">
        <v>34.16</v>
      </c>
      <c r="P236" s="99" t="inlineStr">
        <is>
          <t>N</t>
        </is>
      </c>
      <c r="Q236" s="99" t="inlineStr">
        <is>
          <t>N/A</t>
        </is>
      </c>
      <c r="R236" s="99" t="inlineStr">
        <is>
          <t>N</t>
        </is>
      </c>
      <c r="S236" s="99" t="n">
        <v>-4.3</v>
      </c>
      <c r="T236" s="99" t="n">
        <v>4.2</v>
      </c>
      <c r="U236" s="99" t="inlineStr">
        <is>
          <t>Y</t>
        </is>
      </c>
      <c r="V236" s="99" t="n">
        <v>21.4</v>
      </c>
      <c r="W236" s="99" t="n">
        <v>14.5</v>
      </c>
      <c r="X236" s="99" t="n">
        <v>45.81</v>
      </c>
      <c r="Y236" s="99" t="n">
        <v>185.3</v>
      </c>
      <c r="Z236" s="99" t="n">
        <v>4</v>
      </c>
      <c r="AA236" s="94" t="inlineStr">
        <is>
          <t>AVOID</t>
        </is>
      </c>
    </row>
    <row r="237">
      <c r="A237" s="97" t="inlineStr">
        <is>
          <t>KOTAKBANK</t>
        </is>
      </c>
      <c r="B237" s="97" t="inlineStr">
        <is>
          <t>Kotak Mahindra Bank Ltd.</t>
        </is>
      </c>
      <c r="C237" s="97" t="inlineStr">
        <is>
          <t>Financial Services</t>
        </is>
      </c>
      <c r="D237" s="97" t="inlineStr">
        <is>
          <t>Large/Midcap</t>
        </is>
      </c>
      <c r="E237" s="97" t="n">
        <v>384.75</v>
      </c>
      <c r="F237" s="97" t="n">
        <v>0.37</v>
      </c>
      <c r="G237" s="97" t="n">
        <v>13308317</v>
      </c>
      <c r="H237" s="97" t="n">
        <v>0.96</v>
      </c>
      <c r="I237" s="97" t="n">
        <v>382690</v>
      </c>
      <c r="J237" s="97" t="inlineStr">
        <is>
          <t>Y</t>
        </is>
      </c>
      <c r="K237" s="97" t="inlineStr">
        <is>
          <t>N</t>
        </is>
      </c>
      <c r="L237" s="97" t="inlineStr">
        <is>
          <t>N</t>
        </is>
      </c>
      <c r="M237" s="97" t="n">
        <v>53</v>
      </c>
      <c r="N237" s="97" t="inlineStr">
        <is>
          <t>Y</t>
        </is>
      </c>
      <c r="O237" s="97" t="n">
        <v>8.81</v>
      </c>
      <c r="P237" s="97" t="inlineStr">
        <is>
          <t>N</t>
        </is>
      </c>
      <c r="Q237" s="97" t="inlineStr">
        <is>
          <t>N/A</t>
        </is>
      </c>
      <c r="R237" s="97" t="inlineStr">
        <is>
          <t>N</t>
        </is>
      </c>
      <c r="S237" s="97" t="n">
        <v>-4.7</v>
      </c>
      <c r="T237" s="97" t="n">
        <v>1.4</v>
      </c>
      <c r="U237" s="97" t="inlineStr">
        <is>
          <t>Y</t>
        </is>
      </c>
      <c r="V237" s="97" t="n">
        <v>18.9</v>
      </c>
      <c r="W237" s="97" t="inlineStr">
        <is>
          <t>N/A</t>
        </is>
      </c>
      <c r="X237" s="97" t="inlineStr">
        <is>
          <t>N/A</t>
        </is>
      </c>
      <c r="Y237" s="97" t="n">
        <v>1.1</v>
      </c>
      <c r="Z237" s="97" t="n">
        <v>4</v>
      </c>
      <c r="AA237" s="92" t="inlineStr">
        <is>
          <t>AVOID</t>
        </is>
      </c>
    </row>
    <row r="238">
      <c r="A238" s="99" t="inlineStr">
        <is>
          <t>KIMS</t>
        </is>
      </c>
      <c r="B238" s="99" t="inlineStr">
        <is>
          <t>Krishna Institute of Medical Sciences Ltd.</t>
        </is>
      </c>
      <c r="C238" s="99" t="inlineStr">
        <is>
          <t>Healthcare</t>
        </is>
      </c>
      <c r="D238" s="99" t="inlineStr">
        <is>
          <t>Smallcap</t>
        </is>
      </c>
      <c r="E238" s="99" t="n">
        <v>797.85</v>
      </c>
      <c r="F238" s="99" t="n">
        <v>2.09</v>
      </c>
      <c r="G238" s="99" t="n">
        <v>792395</v>
      </c>
      <c r="H238" s="99" t="n">
        <v>1.4</v>
      </c>
      <c r="I238" s="99" t="n">
        <v>31925</v>
      </c>
      <c r="J238" s="99" t="inlineStr">
        <is>
          <t>Y</t>
        </is>
      </c>
      <c r="K238" s="99" t="inlineStr">
        <is>
          <t>Y</t>
        </is>
      </c>
      <c r="L238" s="99" t="inlineStr">
        <is>
          <t>Y</t>
        </is>
      </c>
      <c r="M238" s="99" t="n">
        <v>36.1</v>
      </c>
      <c r="N238" s="99" t="inlineStr">
        <is>
          <t>N</t>
        </is>
      </c>
      <c r="O238" s="99" t="n">
        <v>19.25</v>
      </c>
      <c r="P238" s="99" t="inlineStr">
        <is>
          <t>N</t>
        </is>
      </c>
      <c r="Q238" s="99" t="inlineStr">
        <is>
          <t>N/A</t>
        </is>
      </c>
      <c r="R238" s="99" t="inlineStr">
        <is>
          <t>N</t>
        </is>
      </c>
      <c r="S238" s="99" t="n">
        <v>1.4</v>
      </c>
      <c r="T238" s="99" t="n">
        <v>20.5</v>
      </c>
      <c r="U238" s="99" t="inlineStr">
        <is>
          <t>Y</t>
        </is>
      </c>
      <c r="V238" s="99" t="n">
        <v>131.7</v>
      </c>
      <c r="W238" s="99" t="n">
        <v>9.699999999999999</v>
      </c>
      <c r="X238" s="99" t="n">
        <v>166.23</v>
      </c>
      <c r="Y238" s="99" t="n">
        <v>-20.4</v>
      </c>
      <c r="Z238" s="99" t="n">
        <v>4</v>
      </c>
      <c r="AA238" s="94" t="inlineStr">
        <is>
          <t>AVOID</t>
        </is>
      </c>
    </row>
    <row r="239">
      <c r="A239" s="97" t="inlineStr">
        <is>
          <t>LTTS</t>
        </is>
      </c>
      <c r="B239" s="97" t="inlineStr">
        <is>
          <t>L&amp;T Technology Services Ltd.</t>
        </is>
      </c>
      <c r="C239" s="97" t="inlineStr">
        <is>
          <t>Information Technology</t>
        </is>
      </c>
      <c r="D239" s="97" t="inlineStr">
        <is>
          <t>Large/Midcap</t>
        </is>
      </c>
      <c r="E239" s="97" t="n">
        <v>3418.1</v>
      </c>
      <c r="F239" s="97" t="n">
        <v>1.27</v>
      </c>
      <c r="G239" s="97" t="n">
        <v>84347</v>
      </c>
      <c r="H239" s="97" t="n">
        <v>0.96</v>
      </c>
      <c r="I239" s="97" t="n">
        <v>36258</v>
      </c>
      <c r="J239" s="97" t="inlineStr">
        <is>
          <t>Y</t>
        </is>
      </c>
      <c r="K239" s="97" t="inlineStr">
        <is>
          <t>Y</t>
        </is>
      </c>
      <c r="L239" s="97" t="inlineStr">
        <is>
          <t>N</t>
        </is>
      </c>
      <c r="M239" s="97" t="n">
        <v>65.40000000000001</v>
      </c>
      <c r="N239" s="97" t="inlineStr">
        <is>
          <t>Y</t>
        </is>
      </c>
      <c r="O239" s="97" t="n">
        <v>129.93</v>
      </c>
      <c r="P239" s="97" t="inlineStr">
        <is>
          <t>N</t>
        </is>
      </c>
      <c r="Q239" s="97" t="inlineStr">
        <is>
          <t>N/A</t>
        </is>
      </c>
      <c r="R239" s="97" t="inlineStr">
        <is>
          <t>N</t>
        </is>
      </c>
      <c r="S239" s="97" t="n">
        <v>3.9</v>
      </c>
      <c r="T239" s="97" t="n">
        <v>-2.3</v>
      </c>
      <c r="U239" s="97" t="inlineStr">
        <is>
          <t>N</t>
        </is>
      </c>
      <c r="V239" s="97" t="n">
        <v>28.3</v>
      </c>
      <c r="W239" s="97" t="inlineStr">
        <is>
          <t>N/A</t>
        </is>
      </c>
      <c r="X239" s="97" t="n">
        <v>8.91</v>
      </c>
      <c r="Y239" s="97" t="n">
        <v>7.4</v>
      </c>
      <c r="Z239" s="97" t="n">
        <v>4</v>
      </c>
      <c r="AA239" s="92" t="inlineStr">
        <is>
          <t>AVOID</t>
        </is>
      </c>
    </row>
    <row r="240">
      <c r="A240" s="99" t="inlineStr">
        <is>
          <t>LTM</t>
        </is>
      </c>
      <c r="B240" s="99" t="inlineStr">
        <is>
          <t>LTM Ltd.</t>
        </is>
      </c>
      <c r="C240" s="99" t="inlineStr">
        <is>
          <t>Information Technology</t>
        </is>
      </c>
      <c r="D240" s="99" t="inlineStr">
        <is>
          <t>Large/Midcap</t>
        </is>
      </c>
      <c r="E240" s="99" t="n">
        <v>4091.8</v>
      </c>
      <c r="F240" s="99" t="n">
        <v>3.19</v>
      </c>
      <c r="G240" s="99" t="n">
        <v>367416</v>
      </c>
      <c r="H240" s="99" t="n">
        <v>1.85</v>
      </c>
      <c r="I240" s="99" t="n">
        <v>121306</v>
      </c>
      <c r="J240" s="99" t="inlineStr">
        <is>
          <t>Y</t>
        </is>
      </c>
      <c r="K240" s="99" t="inlineStr">
        <is>
          <t>Y</t>
        </is>
      </c>
      <c r="L240" s="99" t="inlineStr">
        <is>
          <t>N</t>
        </is>
      </c>
      <c r="M240" s="99" t="n">
        <v>70.7</v>
      </c>
      <c r="N240" s="99" t="inlineStr">
        <is>
          <t>N</t>
        </is>
      </c>
      <c r="O240" s="99" t="n">
        <v>137.44</v>
      </c>
      <c r="P240" s="99" t="inlineStr">
        <is>
          <t>N</t>
        </is>
      </c>
      <c r="Q240" s="99" t="inlineStr">
        <is>
          <t>N/A</t>
        </is>
      </c>
      <c r="R240" s="99" t="inlineStr">
        <is>
          <t>N</t>
        </is>
      </c>
      <c r="S240" s="99" t="n">
        <v>9.800000000000001</v>
      </c>
      <c r="T240" s="99" t="n">
        <v>-3.5</v>
      </c>
      <c r="U240" s="99" t="inlineStr">
        <is>
          <t>N</t>
        </is>
      </c>
      <c r="V240" s="99" t="n">
        <v>23.2</v>
      </c>
      <c r="W240" s="99" t="n">
        <v>22</v>
      </c>
      <c r="X240" s="99" t="n">
        <v>9.869999999999999</v>
      </c>
      <c r="Y240" s="99" t="n">
        <v>5.3</v>
      </c>
      <c r="Z240" s="99" t="n">
        <v>4</v>
      </c>
      <c r="AA240" s="94" t="inlineStr">
        <is>
          <t>AVOID</t>
        </is>
      </c>
    </row>
    <row r="241">
      <c r="A241" s="97" t="inlineStr">
        <is>
          <t>LATENTVIEW</t>
        </is>
      </c>
      <c r="B241" s="97" t="inlineStr">
        <is>
          <t>Latent View Analytics Ltd.</t>
        </is>
      </c>
      <c r="C241" s="97" t="inlineStr">
        <is>
          <t>Information Technology</t>
        </is>
      </c>
      <c r="D241" s="97" t="inlineStr">
        <is>
          <t>Smallcap</t>
        </is>
      </c>
      <c r="E241" s="97" t="n">
        <v>296.05</v>
      </c>
      <c r="F241" s="97" t="n">
        <v>0.73</v>
      </c>
      <c r="G241" s="97" t="n">
        <v>227178</v>
      </c>
      <c r="H241" s="97" t="n">
        <v>0.42</v>
      </c>
      <c r="I241" s="97" t="n">
        <v>6126</v>
      </c>
      <c r="J241" s="97" t="inlineStr">
        <is>
          <t>Y</t>
        </is>
      </c>
      <c r="K241" s="97" t="inlineStr">
        <is>
          <t>N</t>
        </is>
      </c>
      <c r="L241" s="97" t="inlineStr">
        <is>
          <t>N</t>
        </is>
      </c>
      <c r="M241" s="97" t="n">
        <v>57.2</v>
      </c>
      <c r="N241" s="97" t="inlineStr">
        <is>
          <t>Y</t>
        </is>
      </c>
      <c r="O241" s="97" t="n">
        <v>11.44</v>
      </c>
      <c r="P241" s="97" t="inlineStr">
        <is>
          <t>N</t>
        </is>
      </c>
      <c r="Q241" s="97" t="inlineStr">
        <is>
          <t>N/A</t>
        </is>
      </c>
      <c r="R241" s="97" t="inlineStr">
        <is>
          <t>N</t>
        </is>
      </c>
      <c r="S241" s="97" t="n">
        <v>0.4</v>
      </c>
      <c r="T241" s="97" t="n">
        <v>0.9</v>
      </c>
      <c r="U241" s="97" t="inlineStr">
        <is>
          <t>Y</t>
        </is>
      </c>
      <c r="V241" s="97" t="n">
        <v>31</v>
      </c>
      <c r="W241" s="97" t="n">
        <v>12.2</v>
      </c>
      <c r="X241" s="97" t="n">
        <v>1.86</v>
      </c>
      <c r="Y241" s="97" t="n">
        <v>5.2</v>
      </c>
      <c r="Z241" s="97" t="n">
        <v>4</v>
      </c>
      <c r="AA241" s="92" t="inlineStr">
        <is>
          <t>AVOID</t>
        </is>
      </c>
    </row>
    <row r="242">
      <c r="A242" s="99" t="inlineStr">
        <is>
          <t>M&amp;M</t>
        </is>
      </c>
      <c r="B242" s="99" t="inlineStr">
        <is>
          <t>Mahindra &amp; Mahindra Ltd.</t>
        </is>
      </c>
      <c r="C242" s="99" t="inlineStr">
        <is>
          <t>Automobile and Auto Components</t>
        </is>
      </c>
      <c r="D242" s="99" t="inlineStr">
        <is>
          <t>Large/Midcap</t>
        </is>
      </c>
      <c r="E242" s="99" t="n">
        <v>3161.4</v>
      </c>
      <c r="F242" s="99" t="n">
        <v>-2.11</v>
      </c>
      <c r="G242" s="99" t="n">
        <v>2135688</v>
      </c>
      <c r="H242" s="99" t="n">
        <v>1.02</v>
      </c>
      <c r="I242" s="99" t="n">
        <v>379609</v>
      </c>
      <c r="J242" s="99" t="inlineStr">
        <is>
          <t>Y</t>
        </is>
      </c>
      <c r="K242" s="99" t="inlineStr">
        <is>
          <t>Y</t>
        </is>
      </c>
      <c r="L242" s="99" t="inlineStr">
        <is>
          <t>N</t>
        </is>
      </c>
      <c r="M242" s="99" t="n">
        <v>46.5</v>
      </c>
      <c r="N242" s="99" t="inlineStr">
        <is>
          <t>N</t>
        </is>
      </c>
      <c r="O242" s="99" t="n">
        <v>67.54000000000001</v>
      </c>
      <c r="P242" s="99" t="inlineStr">
        <is>
          <t>N</t>
        </is>
      </c>
      <c r="Q242" s="99" t="inlineStr">
        <is>
          <t>N/A</t>
        </is>
      </c>
      <c r="R242" s="99" t="inlineStr">
        <is>
          <t>N</t>
        </is>
      </c>
      <c r="S242" s="99" t="n">
        <v>1.4</v>
      </c>
      <c r="T242" s="99" t="n">
        <v>1.9</v>
      </c>
      <c r="U242" s="99" t="inlineStr">
        <is>
          <t>Y</t>
        </is>
      </c>
      <c r="V242" s="99" t="n">
        <v>20.8</v>
      </c>
      <c r="W242" s="99" t="n">
        <v>18.8</v>
      </c>
      <c r="X242" s="99" t="n">
        <v>125.28</v>
      </c>
      <c r="Y242" s="99" t="n">
        <v>-0.2</v>
      </c>
      <c r="Z242" s="99" t="n">
        <v>4</v>
      </c>
      <c r="AA242" s="94" t="inlineStr">
        <is>
          <t>AVOID</t>
        </is>
      </c>
    </row>
    <row r="243">
      <c r="A243" s="97" t="inlineStr">
        <is>
          <t>MEESHO</t>
        </is>
      </c>
      <c r="B243" s="97" t="inlineStr">
        <is>
          <t>Meesho Ltd.</t>
        </is>
      </c>
      <c r="C243" s="97" t="inlineStr">
        <is>
          <t>Consumer Services</t>
        </is>
      </c>
      <c r="D243" s="97" t="inlineStr">
        <is>
          <t>Smallcap</t>
        </is>
      </c>
      <c r="E243" s="97" t="n">
        <v>185.24</v>
      </c>
      <c r="F243" s="97" t="n">
        <v>-1.96</v>
      </c>
      <c r="G243" s="97" t="n">
        <v>20220263</v>
      </c>
      <c r="H243" s="97" t="n">
        <v>2.01</v>
      </c>
      <c r="I243" s="97" t="n">
        <v>85620</v>
      </c>
      <c r="J243" s="97" t="inlineStr">
        <is>
          <t>Y</t>
        </is>
      </c>
      <c r="K243" s="97" t="inlineStr">
        <is>
          <t>Y</t>
        </is>
      </c>
      <c r="L243" s="97" t="inlineStr">
        <is>
          <t>N/A</t>
        </is>
      </c>
      <c r="M243" s="97" t="n">
        <v>43</v>
      </c>
      <c r="N243" s="97" t="inlineStr">
        <is>
          <t>N</t>
        </is>
      </c>
      <c r="O243" s="97" t="n">
        <v>5.98</v>
      </c>
      <c r="P243" s="97" t="inlineStr">
        <is>
          <t>N</t>
        </is>
      </c>
      <c r="Q243" s="97" t="inlineStr">
        <is>
          <t>N/A</t>
        </is>
      </c>
      <c r="R243" s="97" t="inlineStr">
        <is>
          <t>N</t>
        </is>
      </c>
      <c r="S243" s="97" t="n">
        <v>0.4</v>
      </c>
      <c r="T243" s="97" t="n">
        <v>7.8</v>
      </c>
      <c r="U243" s="97" t="inlineStr">
        <is>
          <t>Y</t>
        </is>
      </c>
      <c r="V243" s="97" t="inlineStr">
        <is>
          <t>N/A</t>
        </is>
      </c>
      <c r="W243" s="97" t="inlineStr">
        <is>
          <t>N/A</t>
        </is>
      </c>
      <c r="X243" s="97" t="n">
        <v>1.43</v>
      </c>
      <c r="Y243" s="97" t="n">
        <v>20.1</v>
      </c>
      <c r="Z243" s="97" t="n">
        <v>4</v>
      </c>
      <c r="AA243" s="92" t="inlineStr">
        <is>
          <t>AVOID</t>
        </is>
      </c>
    </row>
    <row r="244">
      <c r="A244" s="99" t="inlineStr">
        <is>
          <t>NBCC</t>
        </is>
      </c>
      <c r="B244" s="99" t="inlineStr">
        <is>
          <t>NBCC (India) Ltd.</t>
        </is>
      </c>
      <c r="C244" s="99" t="inlineStr">
        <is>
          <t>Construction</t>
        </is>
      </c>
      <c r="D244" s="99" t="inlineStr">
        <is>
          <t>Smallcap</t>
        </is>
      </c>
      <c r="E244" s="99" t="n">
        <v>93.84</v>
      </c>
      <c r="F244" s="99" t="n">
        <v>0.74</v>
      </c>
      <c r="G244" s="99" t="n">
        <v>6730344</v>
      </c>
      <c r="H244" s="99" t="n">
        <v>0.92</v>
      </c>
      <c r="I244" s="99" t="n">
        <v>25337</v>
      </c>
      <c r="J244" s="99" t="inlineStr">
        <is>
          <t>Y</t>
        </is>
      </c>
      <c r="K244" s="99" t="inlineStr">
        <is>
          <t>N</t>
        </is>
      </c>
      <c r="L244" s="99" t="inlineStr">
        <is>
          <t>N</t>
        </is>
      </c>
      <c r="M244" s="99" t="n">
        <v>37.1</v>
      </c>
      <c r="N244" s="99" t="inlineStr">
        <is>
          <t>N</t>
        </is>
      </c>
      <c r="O244" s="99" t="n">
        <v>2.74</v>
      </c>
      <c r="P244" s="99" t="inlineStr">
        <is>
          <t>N</t>
        </is>
      </c>
      <c r="Q244" s="99" t="inlineStr">
        <is>
          <t>N/A</t>
        </is>
      </c>
      <c r="R244" s="99" t="inlineStr">
        <is>
          <t>N</t>
        </is>
      </c>
      <c r="S244" s="99" t="n">
        <v>-11.4</v>
      </c>
      <c r="T244" s="99" t="n">
        <v>1.2</v>
      </c>
      <c r="U244" s="99" t="inlineStr">
        <is>
          <t>Y</t>
        </is>
      </c>
      <c r="V244" s="99" t="n">
        <v>35.1</v>
      </c>
      <c r="W244" s="99" t="n">
        <v>25.2</v>
      </c>
      <c r="X244" s="99" t="n">
        <v>0.01</v>
      </c>
      <c r="Y244" s="99" t="n">
        <v>25.1</v>
      </c>
      <c r="Z244" s="99" t="n">
        <v>4</v>
      </c>
      <c r="AA244" s="94" t="inlineStr">
        <is>
          <t>AVOID</t>
        </is>
      </c>
    </row>
    <row r="245">
      <c r="A245" s="97" t="inlineStr">
        <is>
          <t>NHPC</t>
        </is>
      </c>
      <c r="B245" s="97" t="inlineStr">
        <is>
          <t>NHPC Ltd.</t>
        </is>
      </c>
      <c r="C245" s="97" t="inlineStr">
        <is>
          <t>Power</t>
        </is>
      </c>
      <c r="D245" s="97" t="inlineStr">
        <is>
          <t>Large/Midcap</t>
        </is>
      </c>
      <c r="E245" s="97" t="n">
        <v>79.39</v>
      </c>
      <c r="F245" s="97" t="n">
        <v>-1.07</v>
      </c>
      <c r="G245" s="97" t="n">
        <v>8630234</v>
      </c>
      <c r="H245" s="97" t="n">
        <v>0.24</v>
      </c>
      <c r="I245" s="97" t="n">
        <v>79748</v>
      </c>
      <c r="J245" s="97" t="inlineStr">
        <is>
          <t>Y</t>
        </is>
      </c>
      <c r="K245" s="97" t="inlineStr">
        <is>
          <t>Y</t>
        </is>
      </c>
      <c r="L245" s="97" t="inlineStr">
        <is>
          <t>Y</t>
        </is>
      </c>
      <c r="M245" s="97" t="n">
        <v>47</v>
      </c>
      <c r="N245" s="97" t="inlineStr">
        <is>
          <t>N</t>
        </is>
      </c>
      <c r="O245" s="97" t="n">
        <v>1.64</v>
      </c>
      <c r="P245" s="97" t="inlineStr">
        <is>
          <t>N</t>
        </is>
      </c>
      <c r="Q245" s="97" t="inlineStr">
        <is>
          <t>N/A</t>
        </is>
      </c>
      <c r="R245" s="97" t="inlineStr">
        <is>
          <t>N</t>
        </is>
      </c>
      <c r="S245" s="97" t="n">
        <v>1</v>
      </c>
      <c r="T245" s="97" t="n">
        <v>-5</v>
      </c>
      <c r="U245" s="97" t="inlineStr">
        <is>
          <t>N</t>
        </is>
      </c>
      <c r="V245" s="97" t="n">
        <v>28.7</v>
      </c>
      <c r="W245" s="97" t="n">
        <v>9</v>
      </c>
      <c r="X245" s="97" t="n">
        <v>113.11</v>
      </c>
      <c r="Y245" s="97" t="n">
        <v>566.4</v>
      </c>
      <c r="Z245" s="97" t="n">
        <v>4</v>
      </c>
      <c r="AA245" s="92" t="inlineStr">
        <is>
          <t>AVOID</t>
        </is>
      </c>
    </row>
    <row r="246">
      <c r="A246" s="99" t="inlineStr">
        <is>
          <t>NLCINDIA</t>
        </is>
      </c>
      <c r="B246" s="99" t="inlineStr">
        <is>
          <t>NLC India Ltd.</t>
        </is>
      </c>
      <c r="C246" s="99" t="inlineStr">
        <is>
          <t>Power</t>
        </is>
      </c>
      <c r="D246" s="99" t="inlineStr">
        <is>
          <t>Large/Midcap</t>
        </is>
      </c>
      <c r="E246" s="99" t="n">
        <v>292.8</v>
      </c>
      <c r="F246" s="99" t="n">
        <v>0.72</v>
      </c>
      <c r="G246" s="99" t="n">
        <v>2551137</v>
      </c>
      <c r="H246" s="99" t="n">
        <v>1.33</v>
      </c>
      <c r="I246" s="99" t="n">
        <v>40601</v>
      </c>
      <c r="J246" s="99" t="inlineStr">
        <is>
          <t>Y</t>
        </is>
      </c>
      <c r="K246" s="99" t="inlineStr">
        <is>
          <t>N</t>
        </is>
      </c>
      <c r="L246" s="99" t="inlineStr">
        <is>
          <t>Y</t>
        </is>
      </c>
      <c r="M246" s="99" t="n">
        <v>38.9</v>
      </c>
      <c r="N246" s="99" t="inlineStr">
        <is>
          <t>N</t>
        </is>
      </c>
      <c r="O246" s="99" t="n">
        <v>9.17</v>
      </c>
      <c r="P246" s="99" t="inlineStr">
        <is>
          <t>N</t>
        </is>
      </c>
      <c r="Q246" s="99" t="inlineStr">
        <is>
          <t>N/A</t>
        </is>
      </c>
      <c r="R246" s="99" t="inlineStr">
        <is>
          <t>N</t>
        </is>
      </c>
      <c r="S246" s="99" t="n">
        <v>-7.5</v>
      </c>
      <c r="T246" s="99" t="n">
        <v>-7.4</v>
      </c>
      <c r="U246" s="99" t="inlineStr">
        <is>
          <t>N</t>
        </is>
      </c>
      <c r="V246" s="99" t="n">
        <v>11.5</v>
      </c>
      <c r="W246" s="99" t="n">
        <v>16</v>
      </c>
      <c r="X246" s="99" t="n">
        <v>82</v>
      </c>
      <c r="Y246" s="99" t="n">
        <v>109.2</v>
      </c>
      <c r="Z246" s="99" t="n">
        <v>4</v>
      </c>
      <c r="AA246" s="94" t="inlineStr">
        <is>
          <t>AVOID</t>
        </is>
      </c>
    </row>
    <row r="247">
      <c r="A247" s="97" t="inlineStr">
        <is>
          <t>NMDC</t>
        </is>
      </c>
      <c r="B247" s="97" t="inlineStr">
        <is>
          <t>NMDC Ltd.</t>
        </is>
      </c>
      <c r="C247" s="97" t="inlineStr">
        <is>
          <t>Metals &amp; Mining</t>
        </is>
      </c>
      <c r="D247" s="97" t="inlineStr">
        <is>
          <t>Large/Midcap</t>
        </is>
      </c>
      <c r="E247" s="97" t="n">
        <v>83.56</v>
      </c>
      <c r="F247" s="97" t="n">
        <v>1.11</v>
      </c>
      <c r="G247" s="97" t="n">
        <v>16131661</v>
      </c>
      <c r="H247" s="97" t="n">
        <v>1.28</v>
      </c>
      <c r="I247" s="97" t="n">
        <v>73464</v>
      </c>
      <c r="J247" s="97" t="inlineStr">
        <is>
          <t>Y</t>
        </is>
      </c>
      <c r="K247" s="97" t="inlineStr">
        <is>
          <t>N</t>
        </is>
      </c>
      <c r="L247" s="97" t="inlineStr">
        <is>
          <t>Y</t>
        </is>
      </c>
      <c r="M247" s="97" t="n">
        <v>41.5</v>
      </c>
      <c r="N247" s="97" t="inlineStr">
        <is>
          <t>N</t>
        </is>
      </c>
      <c r="O247" s="97" t="n">
        <v>1.61</v>
      </c>
      <c r="P247" s="97" t="inlineStr">
        <is>
          <t>N</t>
        </is>
      </c>
      <c r="Q247" s="97" t="inlineStr">
        <is>
          <t>N/A</t>
        </is>
      </c>
      <c r="R247" s="97" t="inlineStr">
        <is>
          <t>N</t>
        </is>
      </c>
      <c r="S247" s="97" t="n">
        <v>-0.6</v>
      </c>
      <c r="T247" s="97" t="n">
        <v>-8.4</v>
      </c>
      <c r="U247" s="97" t="inlineStr">
        <is>
          <t>N</t>
        </is>
      </c>
      <c r="V247" s="97" t="n">
        <v>9.9</v>
      </c>
      <c r="W247" s="97" t="n">
        <v>23.4</v>
      </c>
      <c r="X247" s="97" t="n">
        <v>18.8</v>
      </c>
      <c r="Y247" s="97" t="n">
        <v>15.4</v>
      </c>
      <c r="Z247" s="97" t="n">
        <v>4</v>
      </c>
      <c r="AA247" s="92" t="inlineStr">
        <is>
          <t>AVOID</t>
        </is>
      </c>
    </row>
    <row r="248">
      <c r="A248" s="99" t="inlineStr">
        <is>
          <t>NTPCGREEN</t>
        </is>
      </c>
      <c r="B248" s="99" t="inlineStr">
        <is>
          <t>NTPC Green Energy Ltd.</t>
        </is>
      </c>
      <c r="C248" s="99" t="inlineStr">
        <is>
          <t>Power</t>
        </is>
      </c>
      <c r="D248" s="99" t="inlineStr">
        <is>
          <t>Large/Midcap</t>
        </is>
      </c>
      <c r="E248" s="99" t="n">
        <v>96.31999999999999</v>
      </c>
      <c r="F248" s="99" t="n">
        <v>-0.93</v>
      </c>
      <c r="G248" s="99" t="n">
        <v>16099089</v>
      </c>
      <c r="H248" s="99" t="n">
        <v>0.44</v>
      </c>
      <c r="I248" s="99" t="n">
        <v>81162</v>
      </c>
      <c r="J248" s="99" t="inlineStr">
        <is>
          <t>Y</t>
        </is>
      </c>
      <c r="K248" s="99" t="inlineStr">
        <is>
          <t>N</t>
        </is>
      </c>
      <c r="L248" s="99" t="inlineStr">
        <is>
          <t>N</t>
        </is>
      </c>
      <c r="M248" s="99" t="n">
        <v>54.1</v>
      </c>
      <c r="N248" s="99" t="inlineStr">
        <is>
          <t>Y</t>
        </is>
      </c>
      <c r="O248" s="99" t="n">
        <v>2.54</v>
      </c>
      <c r="P248" s="99" t="inlineStr">
        <is>
          <t>Y</t>
        </is>
      </c>
      <c r="Q248" s="99" t="inlineStr">
        <is>
          <t>N/A</t>
        </is>
      </c>
      <c r="R248" s="99" t="inlineStr">
        <is>
          <t>N</t>
        </is>
      </c>
      <c r="S248" s="99" t="n">
        <v>1.7</v>
      </c>
      <c r="T248" s="99" t="n">
        <v>-12.3</v>
      </c>
      <c r="U248" s="99" t="inlineStr">
        <is>
          <t>N</t>
        </is>
      </c>
      <c r="V248" s="99" t="n">
        <v>155.4</v>
      </c>
      <c r="W248" s="99" t="inlineStr">
        <is>
          <t>N/A</t>
        </is>
      </c>
      <c r="X248" s="99" t="n">
        <v>165.28</v>
      </c>
      <c r="Y248" s="99" t="n">
        <v>1027.3</v>
      </c>
      <c r="Z248" s="99" t="n">
        <v>4</v>
      </c>
      <c r="AA248" s="94" t="inlineStr">
        <is>
          <t>AVOID</t>
        </is>
      </c>
    </row>
    <row r="249">
      <c r="A249" s="97" t="inlineStr">
        <is>
          <t>NATIONALUM</t>
        </is>
      </c>
      <c r="B249" s="97" t="inlineStr">
        <is>
          <t>National Aluminium Co. Ltd.</t>
        </is>
      </c>
      <c r="C249" s="97" t="inlineStr">
        <is>
          <t>Metals &amp; Mining</t>
        </is>
      </c>
      <c r="D249" s="97" t="inlineStr">
        <is>
          <t>Large/Midcap</t>
        </is>
      </c>
      <c r="E249" s="97" t="n">
        <v>343.9</v>
      </c>
      <c r="F249" s="97" t="n">
        <v>-0.61</v>
      </c>
      <c r="G249" s="97" t="n">
        <v>2253982</v>
      </c>
      <c r="H249" s="97" t="n">
        <v>0.5</v>
      </c>
      <c r="I249" s="97" t="n">
        <v>63162</v>
      </c>
      <c r="J249" s="97" t="inlineStr">
        <is>
          <t>Y</t>
        </is>
      </c>
      <c r="K249" s="97" t="inlineStr">
        <is>
          <t>N</t>
        </is>
      </c>
      <c r="L249" s="97" t="inlineStr">
        <is>
          <t>Y</t>
        </is>
      </c>
      <c r="M249" s="97" t="n">
        <v>44.5</v>
      </c>
      <c r="N249" s="97" t="inlineStr">
        <is>
          <t>N</t>
        </is>
      </c>
      <c r="O249" s="97" t="n">
        <v>10.05</v>
      </c>
      <c r="P249" s="97" t="inlineStr">
        <is>
          <t>N</t>
        </is>
      </c>
      <c r="Q249" s="97" t="inlineStr">
        <is>
          <t>N/A</t>
        </is>
      </c>
      <c r="R249" s="97" t="inlineStr">
        <is>
          <t>N</t>
        </is>
      </c>
      <c r="S249" s="97" t="n">
        <v>4.6</v>
      </c>
      <c r="T249" s="97" t="n">
        <v>-19.7</v>
      </c>
      <c r="U249" s="97" t="inlineStr">
        <is>
          <t>N</t>
        </is>
      </c>
      <c r="V249" s="97" t="n">
        <v>10.3</v>
      </c>
      <c r="W249" s="97" t="n">
        <v>29.4</v>
      </c>
      <c r="X249" s="97" t="n">
        <v>0.28</v>
      </c>
      <c r="Y249" s="97" t="n">
        <v>11.6</v>
      </c>
      <c r="Z249" s="97" t="n">
        <v>4</v>
      </c>
      <c r="AA249" s="92" t="inlineStr">
        <is>
          <t>AVOID</t>
        </is>
      </c>
    </row>
    <row r="250">
      <c r="A250" s="99" t="inlineStr">
        <is>
          <t>NETWEB</t>
        </is>
      </c>
      <c r="B250" s="99" t="inlineStr">
        <is>
          <t>Netweb Technologies India Ltd.</t>
        </is>
      </c>
      <c r="C250" s="99" t="inlineStr">
        <is>
          <t>Information Technology</t>
        </is>
      </c>
      <c r="D250" s="99" t="inlineStr">
        <is>
          <t>Smallcap</t>
        </is>
      </c>
      <c r="E250" s="99" t="n">
        <v>4156</v>
      </c>
      <c r="F250" s="99" t="n">
        <v>-2.07</v>
      </c>
      <c r="G250" s="99" t="n">
        <v>378694</v>
      </c>
      <c r="H250" s="99" t="n">
        <v>0.6</v>
      </c>
      <c r="I250" s="99" t="n">
        <v>23665</v>
      </c>
      <c r="J250" s="99" t="inlineStr">
        <is>
          <t>Y</t>
        </is>
      </c>
      <c r="K250" s="99" t="inlineStr">
        <is>
          <t>N</t>
        </is>
      </c>
      <c r="L250" s="99" t="inlineStr">
        <is>
          <t>Y</t>
        </is>
      </c>
      <c r="M250" s="99" t="n">
        <v>36.3</v>
      </c>
      <c r="N250" s="99" t="inlineStr">
        <is>
          <t>N</t>
        </is>
      </c>
      <c r="O250" s="99" t="n">
        <v>145.83</v>
      </c>
      <c r="P250" s="99" t="inlineStr">
        <is>
          <t>N</t>
        </is>
      </c>
      <c r="Q250" s="99" t="inlineStr">
        <is>
          <t>N/A</t>
        </is>
      </c>
      <c r="R250" s="99" t="inlineStr">
        <is>
          <t>N</t>
        </is>
      </c>
      <c r="S250" s="99" t="n">
        <v>-14.9</v>
      </c>
      <c r="T250" s="99" t="n">
        <v>3.6</v>
      </c>
      <c r="U250" s="99" t="inlineStr">
        <is>
          <t>Y</t>
        </is>
      </c>
      <c r="V250" s="99" t="n">
        <v>114.9</v>
      </c>
      <c r="W250" s="99" t="n">
        <v>32.8</v>
      </c>
      <c r="X250" s="99" t="n">
        <v>39.02</v>
      </c>
      <c r="Y250" s="99" t="n">
        <v>-3.7</v>
      </c>
      <c r="Z250" s="99" t="n">
        <v>4</v>
      </c>
      <c r="AA250" s="94" t="inlineStr">
        <is>
          <t>AVOID</t>
        </is>
      </c>
    </row>
    <row r="251">
      <c r="A251" s="97" t="inlineStr">
        <is>
          <t>NEWGEN</t>
        </is>
      </c>
      <c r="B251" s="97" t="inlineStr">
        <is>
          <t>Newgen Software Technologies Ltd.</t>
        </is>
      </c>
      <c r="C251" s="97" t="inlineStr">
        <is>
          <t>Information Technology</t>
        </is>
      </c>
      <c r="D251" s="97" t="inlineStr">
        <is>
          <t>Smallcap</t>
        </is>
      </c>
      <c r="E251" s="97" t="n">
        <v>505.7</v>
      </c>
      <c r="F251" s="97" t="n">
        <v>-0.61</v>
      </c>
      <c r="G251" s="97" t="n">
        <v>975202</v>
      </c>
      <c r="H251" s="97" t="n">
        <v>0.68</v>
      </c>
      <c r="I251" s="97" t="n">
        <v>7138</v>
      </c>
      <c r="J251" s="97" t="inlineStr">
        <is>
          <t>Y</t>
        </is>
      </c>
      <c r="K251" s="97" t="inlineStr">
        <is>
          <t>Y</t>
        </is>
      </c>
      <c r="L251" s="97" t="inlineStr">
        <is>
          <t>N</t>
        </is>
      </c>
      <c r="M251" s="97" t="n">
        <v>55.7</v>
      </c>
      <c r="N251" s="97" t="inlineStr">
        <is>
          <t>Y</t>
        </is>
      </c>
      <c r="O251" s="97" t="n">
        <v>36.61</v>
      </c>
      <c r="P251" s="97" t="inlineStr">
        <is>
          <t>N</t>
        </is>
      </c>
      <c r="Q251" s="97" t="inlineStr">
        <is>
          <t>N/A</t>
        </is>
      </c>
      <c r="R251" s="97" t="inlineStr">
        <is>
          <t>N</t>
        </is>
      </c>
      <c r="S251" s="97" t="n">
        <v>9.1</v>
      </c>
      <c r="T251" s="97" t="n">
        <v>7</v>
      </c>
      <c r="U251" s="97" t="inlineStr">
        <is>
          <t>Y</t>
        </is>
      </c>
      <c r="V251" s="97" t="n">
        <v>22.8</v>
      </c>
      <c r="W251" s="97" t="inlineStr">
        <is>
          <t>N/A</t>
        </is>
      </c>
      <c r="X251" s="97" t="n">
        <v>2.21</v>
      </c>
      <c r="Y251" s="97" t="n">
        <v>-40.9</v>
      </c>
      <c r="Z251" s="97" t="n">
        <v>4</v>
      </c>
      <c r="AA251" s="92" t="inlineStr">
        <is>
          <t>AVOID</t>
        </is>
      </c>
    </row>
    <row r="252">
      <c r="A252" s="99" t="inlineStr">
        <is>
          <t>NAM-INDIA</t>
        </is>
      </c>
      <c r="B252" s="99" t="inlineStr">
        <is>
          <t>Nippon Life India Asset Management Ltd.</t>
        </is>
      </c>
      <c r="C252" s="99" t="inlineStr">
        <is>
          <t>Financial Services</t>
        </is>
      </c>
      <c r="D252" s="99" t="inlineStr">
        <is>
          <t>Large/Midcap</t>
        </is>
      </c>
      <c r="E252" s="99" t="n">
        <v>1112.5</v>
      </c>
      <c r="F252" s="99" t="n">
        <v>0.61</v>
      </c>
      <c r="G252" s="99" t="n">
        <v>764070</v>
      </c>
      <c r="H252" s="99" t="n">
        <v>0.54</v>
      </c>
      <c r="I252" s="99" t="n">
        <v>71122</v>
      </c>
      <c r="J252" s="99" t="inlineStr">
        <is>
          <t>Y</t>
        </is>
      </c>
      <c r="K252" s="99" t="inlineStr">
        <is>
          <t>N</t>
        </is>
      </c>
      <c r="L252" s="99" t="inlineStr">
        <is>
          <t>Y</t>
        </is>
      </c>
      <c r="M252" s="99" t="n">
        <v>33.7</v>
      </c>
      <c r="N252" s="99" t="inlineStr">
        <is>
          <t>N</t>
        </is>
      </c>
      <c r="O252" s="99" t="n">
        <v>39.79</v>
      </c>
      <c r="P252" s="99" t="inlineStr">
        <is>
          <t>N</t>
        </is>
      </c>
      <c r="Q252" s="99" t="inlineStr">
        <is>
          <t>N/A</t>
        </is>
      </c>
      <c r="R252" s="99" t="inlineStr">
        <is>
          <t>N</t>
        </is>
      </c>
      <c r="S252" s="99" t="n">
        <v>-1.3</v>
      </c>
      <c r="T252" s="99" t="n">
        <v>9.9</v>
      </c>
      <c r="U252" s="99" t="inlineStr">
        <is>
          <t>Y</t>
        </is>
      </c>
      <c r="V252" s="99" t="n">
        <v>44.1</v>
      </c>
      <c r="W252" s="99" t="inlineStr">
        <is>
          <t>N/A</t>
        </is>
      </c>
      <c r="X252" s="99" t="n">
        <v>1.62</v>
      </c>
      <c r="Y252" s="99" t="n">
        <v>30.9</v>
      </c>
      <c r="Z252" s="99" t="n">
        <v>4</v>
      </c>
      <c r="AA252" s="94" t="inlineStr">
        <is>
          <t>AVOID</t>
        </is>
      </c>
    </row>
    <row r="253">
      <c r="A253" s="97" t="inlineStr">
        <is>
          <t>OBEROIRLTY</t>
        </is>
      </c>
      <c r="B253" s="97" t="inlineStr">
        <is>
          <t>Oberoi Realty Ltd.</t>
        </is>
      </c>
      <c r="C253" s="97" t="inlineStr">
        <is>
          <t>Realty</t>
        </is>
      </c>
      <c r="D253" s="97" t="inlineStr">
        <is>
          <t>Large/Midcap</t>
        </is>
      </c>
      <c r="E253" s="97" t="n">
        <v>1821.2</v>
      </c>
      <c r="F253" s="97" t="n">
        <v>0.17</v>
      </c>
      <c r="G253" s="97" t="n">
        <v>191482</v>
      </c>
      <c r="H253" s="97" t="n">
        <v>0.8100000000000001</v>
      </c>
      <c r="I253" s="97" t="n">
        <v>66219</v>
      </c>
      <c r="J253" s="97" t="inlineStr">
        <is>
          <t>Y</t>
        </is>
      </c>
      <c r="K253" s="97" t="inlineStr">
        <is>
          <t>Y</t>
        </is>
      </c>
      <c r="L253" s="97" t="inlineStr">
        <is>
          <t>Y</t>
        </is>
      </c>
      <c r="M253" s="97" t="n">
        <v>29.5</v>
      </c>
      <c r="N253" s="97" t="inlineStr">
        <is>
          <t>N</t>
        </is>
      </c>
      <c r="O253" s="97" t="n">
        <v>56.11</v>
      </c>
      <c r="P253" s="97" t="inlineStr">
        <is>
          <t>N</t>
        </is>
      </c>
      <c r="Q253" s="97" t="inlineStr">
        <is>
          <t>N/A</t>
        </is>
      </c>
      <c r="R253" s="97" t="inlineStr">
        <is>
          <t>N</t>
        </is>
      </c>
      <c r="S253" s="97" t="n">
        <v>5.3</v>
      </c>
      <c r="T253" s="97" t="n">
        <v>7.3</v>
      </c>
      <c r="U253" s="97" t="inlineStr">
        <is>
          <t>Y</t>
        </is>
      </c>
      <c r="V253" s="97" t="n">
        <v>25.2</v>
      </c>
      <c r="W253" s="97" t="inlineStr">
        <is>
          <t>N/A</t>
        </is>
      </c>
      <c r="X253" s="97" t="n">
        <v>15.77</v>
      </c>
      <c r="Y253" s="97" t="n">
        <v>-22.7</v>
      </c>
      <c r="Z253" s="97" t="n">
        <v>4</v>
      </c>
      <c r="AA253" s="92" t="inlineStr">
        <is>
          <t>AVOID</t>
        </is>
      </c>
    </row>
    <row r="254">
      <c r="A254" s="99" t="inlineStr">
        <is>
          <t>OLECTRA</t>
        </is>
      </c>
      <c r="B254" s="99" t="inlineStr">
        <is>
          <t>Olectra Greentech Ltd.</t>
        </is>
      </c>
      <c r="C254" s="99" t="inlineStr">
        <is>
          <t>Automobile and Auto Components</t>
        </is>
      </c>
      <c r="D254" s="99" t="inlineStr">
        <is>
          <t>Smallcap</t>
        </is>
      </c>
      <c r="E254" s="99" t="n">
        <v>1336.3</v>
      </c>
      <c r="F254" s="99" t="n">
        <v>1.37</v>
      </c>
      <c r="G254" s="99" t="n">
        <v>224871</v>
      </c>
      <c r="H254" s="99" t="n">
        <v>0.7</v>
      </c>
      <c r="I254" s="99" t="n">
        <v>10968</v>
      </c>
      <c r="J254" s="99" t="inlineStr">
        <is>
          <t>Y</t>
        </is>
      </c>
      <c r="K254" s="99" t="inlineStr">
        <is>
          <t>N</t>
        </is>
      </c>
      <c r="L254" s="99" t="inlineStr">
        <is>
          <t>Y</t>
        </is>
      </c>
      <c r="M254" s="99" t="n">
        <v>24.1</v>
      </c>
      <c r="N254" s="99" t="inlineStr">
        <is>
          <t>N</t>
        </is>
      </c>
      <c r="O254" s="99" t="n">
        <v>40.99</v>
      </c>
      <c r="P254" s="99" t="inlineStr">
        <is>
          <t>N</t>
        </is>
      </c>
      <c r="Q254" s="99" t="inlineStr">
        <is>
          <t>N/A</t>
        </is>
      </c>
      <c r="R254" s="99" t="inlineStr">
        <is>
          <t>N</t>
        </is>
      </c>
      <c r="S254" s="99" t="n">
        <v>-9.5</v>
      </c>
      <c r="T254" s="99" t="n">
        <v>6.9</v>
      </c>
      <c r="U254" s="99" t="inlineStr">
        <is>
          <t>Y</t>
        </is>
      </c>
      <c r="V254" s="99" t="n">
        <v>61.7</v>
      </c>
      <c r="W254" s="99" t="inlineStr">
        <is>
          <t>N/A</t>
        </is>
      </c>
      <c r="X254" s="99" t="n">
        <v>30.84</v>
      </c>
      <c r="Y254" s="99" t="n">
        <v>19.7</v>
      </c>
      <c r="Z254" s="99" t="n">
        <v>4</v>
      </c>
      <c r="AA254" s="94" t="inlineStr">
        <is>
          <t>AVOID</t>
        </is>
      </c>
    </row>
    <row r="255">
      <c r="A255" s="97" t="inlineStr">
        <is>
          <t>PARADEEP</t>
        </is>
      </c>
      <c r="B255" s="97" t="inlineStr">
        <is>
          <t>Paradeep Phosphates Ltd.</t>
        </is>
      </c>
      <c r="C255" s="97" t="inlineStr">
        <is>
          <t>Chemicals</t>
        </is>
      </c>
      <c r="D255" s="97" t="inlineStr">
        <is>
          <t>Smallcap</t>
        </is>
      </c>
      <c r="E255" s="97" t="n">
        <v>136.07</v>
      </c>
      <c r="F255" s="97" t="n">
        <v>-0.18</v>
      </c>
      <c r="G255" s="97" t="n">
        <v>1765247</v>
      </c>
      <c r="H255" s="97" t="n">
        <v>1.07</v>
      </c>
      <c r="I255" s="97" t="n">
        <v>14126</v>
      </c>
      <c r="J255" s="97" t="inlineStr">
        <is>
          <t>Y</t>
        </is>
      </c>
      <c r="K255" s="97" t="inlineStr">
        <is>
          <t>Y</t>
        </is>
      </c>
      <c r="L255" s="97" t="inlineStr">
        <is>
          <t>N</t>
        </is>
      </c>
      <c r="M255" s="97" t="n">
        <v>34.2</v>
      </c>
      <c r="N255" s="97" t="inlineStr">
        <is>
          <t>N</t>
        </is>
      </c>
      <c r="O255" s="97" t="n">
        <v>4.44</v>
      </c>
      <c r="P255" s="97" t="inlineStr">
        <is>
          <t>N</t>
        </is>
      </c>
      <c r="Q255" s="97" t="inlineStr">
        <is>
          <t>N/A</t>
        </is>
      </c>
      <c r="R255" s="97" t="inlineStr">
        <is>
          <t>N</t>
        </is>
      </c>
      <c r="S255" s="97" t="n">
        <v>1</v>
      </c>
      <c r="T255" s="97" t="n">
        <v>4.3</v>
      </c>
      <c r="U255" s="97" t="inlineStr">
        <is>
          <t>Y</t>
        </is>
      </c>
      <c r="V255" s="97" t="n">
        <v>14.2</v>
      </c>
      <c r="W255" s="97" t="n">
        <v>18.4</v>
      </c>
      <c r="X255" s="97" t="n">
        <v>101.82</v>
      </c>
      <c r="Y255" s="97" t="n">
        <v>-14.5</v>
      </c>
      <c r="Z255" s="97" t="n">
        <v>4</v>
      </c>
      <c r="AA255" s="92" t="inlineStr">
        <is>
          <t>AVOID</t>
        </is>
      </c>
    </row>
    <row r="256">
      <c r="A256" s="99" t="inlineStr">
        <is>
          <t>POLYMED</t>
        </is>
      </c>
      <c r="B256" s="99" t="inlineStr">
        <is>
          <t>Poly Medicure Ltd.</t>
        </is>
      </c>
      <c r="C256" s="99" t="inlineStr">
        <is>
          <t>Healthcare</t>
        </is>
      </c>
      <c r="D256" s="99" t="inlineStr">
        <is>
          <t>Smallcap</t>
        </is>
      </c>
      <c r="E256" s="99" t="n">
        <v>1664</v>
      </c>
      <c r="F256" s="99" t="n">
        <v>2.07</v>
      </c>
      <c r="G256" s="99" t="n">
        <v>59004</v>
      </c>
      <c r="H256" s="99" t="n">
        <v>0.82</v>
      </c>
      <c r="I256" s="99" t="n">
        <v>16886</v>
      </c>
      <c r="J256" s="99" t="inlineStr">
        <is>
          <t>Y</t>
        </is>
      </c>
      <c r="K256" s="99" t="inlineStr">
        <is>
          <t>Y</t>
        </is>
      </c>
      <c r="L256" s="99" t="inlineStr">
        <is>
          <t>Y</t>
        </is>
      </c>
      <c r="M256" s="99" t="n">
        <v>47.2</v>
      </c>
      <c r="N256" s="99" t="inlineStr">
        <is>
          <t>N</t>
        </is>
      </c>
      <c r="O256" s="99" t="n">
        <v>53.19</v>
      </c>
      <c r="P256" s="99" t="inlineStr">
        <is>
          <t>N</t>
        </is>
      </c>
      <c r="Q256" s="99" t="inlineStr">
        <is>
          <t>N/A</t>
        </is>
      </c>
      <c r="R256" s="99" t="inlineStr">
        <is>
          <t>N</t>
        </is>
      </c>
      <c r="S256" s="99" t="n">
        <v>1.9</v>
      </c>
      <c r="T256" s="99" t="n">
        <v>10.2</v>
      </c>
      <c r="U256" s="99" t="inlineStr">
        <is>
          <t>Y</t>
        </is>
      </c>
      <c r="V256" s="99" t="n">
        <v>52.4</v>
      </c>
      <c r="W256" s="99" t="n">
        <v>10.8</v>
      </c>
      <c r="X256" s="99" t="n">
        <v>11.23</v>
      </c>
      <c r="Y256" s="99" t="n">
        <v>-8.300000000000001</v>
      </c>
      <c r="Z256" s="99" t="n">
        <v>4</v>
      </c>
      <c r="AA256" s="94" t="inlineStr">
        <is>
          <t>AVOID</t>
        </is>
      </c>
    </row>
    <row r="257">
      <c r="A257" s="97" t="inlineStr">
        <is>
          <t>PFC</t>
        </is>
      </c>
      <c r="B257" s="97" t="inlineStr">
        <is>
          <t>Power Finance Corporation Ltd.</t>
        </is>
      </c>
      <c r="C257" s="97" t="inlineStr">
        <is>
          <t>Financial Services</t>
        </is>
      </c>
      <c r="D257" s="97" t="inlineStr">
        <is>
          <t>Large/Midcap</t>
        </is>
      </c>
      <c r="E257" s="97" t="n">
        <v>411.9</v>
      </c>
      <c r="F257" s="97" t="n">
        <v>0.45</v>
      </c>
      <c r="G257" s="97" t="n">
        <v>4851080</v>
      </c>
      <c r="H257" s="97" t="n">
        <v>1.17</v>
      </c>
      <c r="I257" s="97" t="n">
        <v>135931</v>
      </c>
      <c r="J257" s="97" t="inlineStr">
        <is>
          <t>Y</t>
        </is>
      </c>
      <c r="K257" s="97" t="inlineStr">
        <is>
          <t>N</t>
        </is>
      </c>
      <c r="L257" s="97" t="inlineStr">
        <is>
          <t>Y</t>
        </is>
      </c>
      <c r="M257" s="97" t="n">
        <v>41.4</v>
      </c>
      <c r="N257" s="97" t="inlineStr">
        <is>
          <t>N</t>
        </is>
      </c>
      <c r="O257" s="97" t="n">
        <v>8.66</v>
      </c>
      <c r="P257" s="97" t="inlineStr">
        <is>
          <t>N</t>
        </is>
      </c>
      <c r="Q257" s="97" t="inlineStr">
        <is>
          <t>N/A</t>
        </is>
      </c>
      <c r="R257" s="97" t="inlineStr">
        <is>
          <t>N</t>
        </is>
      </c>
      <c r="S257" s="97" t="n">
        <v>-3.7</v>
      </c>
      <c r="T257" s="97" t="n">
        <v>-10.8</v>
      </c>
      <c r="U257" s="97" t="inlineStr">
        <is>
          <t>N</t>
        </is>
      </c>
      <c r="V257" s="97" t="n">
        <v>5.2</v>
      </c>
      <c r="W257" s="97" t="n">
        <v>20.5</v>
      </c>
      <c r="X257" s="97" t="n">
        <v>586.02</v>
      </c>
      <c r="Y257" s="97" t="n">
        <v>11.2</v>
      </c>
      <c r="Z257" s="97" t="n">
        <v>4</v>
      </c>
      <c r="AA257" s="92" t="inlineStr">
        <is>
          <t>AVOID</t>
        </is>
      </c>
    </row>
    <row r="258">
      <c r="A258" s="99" t="inlineStr">
        <is>
          <t>PREMIERENE</t>
        </is>
      </c>
      <c r="B258" s="99" t="inlineStr">
        <is>
          <t>Premier Energies Ltd.</t>
        </is>
      </c>
      <c r="C258" s="99" t="inlineStr">
        <is>
          <t>Capital Goods</t>
        </is>
      </c>
      <c r="D258" s="99" t="inlineStr">
        <is>
          <t>Large/Midcap</t>
        </is>
      </c>
      <c r="E258" s="99" t="n">
        <v>1019.3</v>
      </c>
      <c r="F258" s="99" t="n">
        <v>-0.53</v>
      </c>
      <c r="G258" s="99" t="n">
        <v>934272</v>
      </c>
      <c r="H258" s="99" t="n">
        <v>0.87</v>
      </c>
      <c r="I258" s="99" t="n">
        <v>46001</v>
      </c>
      <c r="J258" s="99" t="inlineStr">
        <is>
          <t>Y</t>
        </is>
      </c>
      <c r="K258" s="99" t="inlineStr">
        <is>
          <t>N</t>
        </is>
      </c>
      <c r="L258" s="99" t="inlineStr">
        <is>
          <t>Y</t>
        </is>
      </c>
      <c r="M258" s="99" t="n">
        <v>49.2</v>
      </c>
      <c r="N258" s="99" t="inlineStr">
        <is>
          <t>N</t>
        </is>
      </c>
      <c r="O258" s="99" t="n">
        <v>35.49</v>
      </c>
      <c r="P258" s="99" t="inlineStr">
        <is>
          <t>N</t>
        </is>
      </c>
      <c r="Q258" s="99" t="inlineStr">
        <is>
          <t>N/A</t>
        </is>
      </c>
      <c r="R258" s="99" t="inlineStr">
        <is>
          <t>N</t>
        </is>
      </c>
      <c r="S258" s="99" t="n">
        <v>-1.9</v>
      </c>
      <c r="T258" s="99" t="n">
        <v>-1.3</v>
      </c>
      <c r="U258" s="99" t="inlineStr">
        <is>
          <t>N</t>
        </is>
      </c>
      <c r="V258" s="99" t="n">
        <v>30.3</v>
      </c>
      <c r="W258" s="99" t="n">
        <v>42.3</v>
      </c>
      <c r="X258" s="99" t="n">
        <v>86</v>
      </c>
      <c r="Y258" s="99" t="n">
        <v>16.6</v>
      </c>
      <c r="Z258" s="99" t="n">
        <v>4</v>
      </c>
      <c r="AA258" s="94" t="inlineStr">
        <is>
          <t>AVOID</t>
        </is>
      </c>
    </row>
    <row r="259">
      <c r="A259" s="97" t="inlineStr">
        <is>
          <t>PFOCUS</t>
        </is>
      </c>
      <c r="B259" s="97" t="inlineStr">
        <is>
          <t>Prime Focus Ltd.</t>
        </is>
      </c>
      <c r="C259" s="97" t="inlineStr">
        <is>
          <t>Media Entertainment &amp; Publication</t>
        </is>
      </c>
      <c r="D259" s="97" t="inlineStr">
        <is>
          <t>Smallcap</t>
        </is>
      </c>
      <c r="E259" s="97" t="n">
        <v>289.29</v>
      </c>
      <c r="F259" s="97" t="n">
        <v>0.97</v>
      </c>
      <c r="G259" s="97" t="n">
        <v>524647</v>
      </c>
      <c r="H259" s="97" t="n">
        <v>0.67</v>
      </c>
      <c r="I259" s="97" t="n">
        <v>22463</v>
      </c>
      <c r="J259" s="97" t="inlineStr">
        <is>
          <t>Y</t>
        </is>
      </c>
      <c r="K259" s="97" t="inlineStr">
        <is>
          <t>Y</t>
        </is>
      </c>
      <c r="L259" s="97" t="inlineStr">
        <is>
          <t>Y</t>
        </is>
      </c>
      <c r="M259" s="97" t="n">
        <v>77.90000000000001</v>
      </c>
      <c r="N259" s="97" t="inlineStr">
        <is>
          <t>N</t>
        </is>
      </c>
      <c r="O259" s="97" t="n">
        <v>12.95</v>
      </c>
      <c r="P259" s="97" t="inlineStr">
        <is>
          <t>N</t>
        </is>
      </c>
      <c r="Q259" s="97" t="inlineStr">
        <is>
          <t>N/A</t>
        </is>
      </c>
      <c r="R259" s="97" t="inlineStr">
        <is>
          <t>N</t>
        </is>
      </c>
      <c r="S259" s="97" t="n">
        <v>38.9</v>
      </c>
      <c r="T259" s="97" t="n">
        <v>-7.4</v>
      </c>
      <c r="U259" s="97" t="inlineStr">
        <is>
          <t>N</t>
        </is>
      </c>
      <c r="V259" s="97" t="n">
        <v>73.59999999999999</v>
      </c>
      <c r="W259" s="97" t="n">
        <v>13.1</v>
      </c>
      <c r="X259" s="97" t="n">
        <v>224.57</v>
      </c>
      <c r="Y259" s="97" t="n">
        <v>16.1</v>
      </c>
      <c r="Z259" s="97" t="n">
        <v>4</v>
      </c>
      <c r="AA259" s="92" t="inlineStr">
        <is>
          <t>AVOID</t>
        </is>
      </c>
    </row>
    <row r="260">
      <c r="A260" s="99" t="inlineStr">
        <is>
          <t>RECLTD</t>
        </is>
      </c>
      <c r="B260" s="99" t="inlineStr">
        <is>
          <t>REC Ltd.</t>
        </is>
      </c>
      <c r="C260" s="99" t="inlineStr">
        <is>
          <t>Financial Services</t>
        </is>
      </c>
      <c r="D260" s="99" t="inlineStr">
        <is>
          <t>Large/Midcap</t>
        </is>
      </c>
      <c r="E260" s="99" t="n">
        <v>361.6</v>
      </c>
      <c r="F260" s="99" t="n">
        <v>0.88</v>
      </c>
      <c r="G260" s="99" t="n">
        <v>4578306</v>
      </c>
      <c r="H260" s="99" t="n">
        <v>1.58</v>
      </c>
      <c r="I260" s="99" t="n">
        <v>95217</v>
      </c>
      <c r="J260" s="99" t="inlineStr">
        <is>
          <t>Y</t>
        </is>
      </c>
      <c r="K260" s="99" t="inlineStr">
        <is>
          <t>Y</t>
        </is>
      </c>
      <c r="L260" s="99" t="inlineStr">
        <is>
          <t>Y</t>
        </is>
      </c>
      <c r="M260" s="99" t="n">
        <v>46.6</v>
      </c>
      <c r="N260" s="99" t="inlineStr">
        <is>
          <t>N</t>
        </is>
      </c>
      <c r="O260" s="99" t="n">
        <v>7.91</v>
      </c>
      <c r="P260" s="99" t="inlineStr">
        <is>
          <t>N</t>
        </is>
      </c>
      <c r="Q260" s="99" t="inlineStr">
        <is>
          <t>N/A</t>
        </is>
      </c>
      <c r="R260" s="99" t="inlineStr">
        <is>
          <t>N</t>
        </is>
      </c>
      <c r="S260" s="99" t="n">
        <v>0.2</v>
      </c>
      <c r="T260" s="99" t="n">
        <v>0</v>
      </c>
      <c r="U260" s="99" t="inlineStr">
        <is>
          <t>Y</t>
        </is>
      </c>
      <c r="V260" s="99" t="n">
        <v>5.9</v>
      </c>
      <c r="W260" s="99" t="inlineStr">
        <is>
          <t>N/A</t>
        </is>
      </c>
      <c r="X260" s="99" t="n">
        <v>607.46</v>
      </c>
      <c r="Y260" s="99" t="n">
        <v>-16.7</v>
      </c>
      <c r="Z260" s="99" t="n">
        <v>4</v>
      </c>
      <c r="AA260" s="94" t="inlineStr">
        <is>
          <t>AVOID</t>
        </is>
      </c>
    </row>
    <row r="261">
      <c r="A261" s="97" t="inlineStr">
        <is>
          <t>RITES</t>
        </is>
      </c>
      <c r="B261" s="97" t="inlineStr">
        <is>
          <t>RITES Ltd.</t>
        </is>
      </c>
      <c r="C261" s="97" t="inlineStr">
        <is>
          <t>Construction</t>
        </is>
      </c>
      <c r="D261" s="97" t="inlineStr">
        <is>
          <t>Smallcap</t>
        </is>
      </c>
      <c r="E261" s="97" t="n">
        <v>213.7</v>
      </c>
      <c r="F261" s="97" t="n">
        <v>0.15</v>
      </c>
      <c r="G261" s="97" t="n">
        <v>351076</v>
      </c>
      <c r="H261" s="97" t="n">
        <v>0.84</v>
      </c>
      <c r="I261" s="97" t="n">
        <v>10271</v>
      </c>
      <c r="J261" s="97" t="inlineStr">
        <is>
          <t>Y</t>
        </is>
      </c>
      <c r="K261" s="97" t="inlineStr">
        <is>
          <t>Y</t>
        </is>
      </c>
      <c r="L261" s="97" t="inlineStr">
        <is>
          <t>N</t>
        </is>
      </c>
      <c r="M261" s="97" t="n">
        <v>47.8</v>
      </c>
      <c r="N261" s="97" t="inlineStr">
        <is>
          <t>N</t>
        </is>
      </c>
      <c r="O261" s="97" t="n">
        <v>7.36</v>
      </c>
      <c r="P261" s="97" t="inlineStr">
        <is>
          <t>N</t>
        </is>
      </c>
      <c r="Q261" s="97" t="inlineStr">
        <is>
          <t>N/A</t>
        </is>
      </c>
      <c r="R261" s="97" t="inlineStr">
        <is>
          <t>N</t>
        </is>
      </c>
      <c r="S261" s="97" t="n">
        <v>3.4</v>
      </c>
      <c r="T261" s="97" t="n">
        <v>-2</v>
      </c>
      <c r="U261" s="97" t="inlineStr">
        <is>
          <t>N</t>
        </is>
      </c>
      <c r="V261" s="97" t="n">
        <v>25</v>
      </c>
      <c r="W261" s="97" t="n">
        <v>16.4</v>
      </c>
      <c r="X261" s="97" t="n">
        <v>0.24</v>
      </c>
      <c r="Y261" s="97" t="n">
        <v>27.4</v>
      </c>
      <c r="Z261" s="97" t="n">
        <v>4</v>
      </c>
      <c r="AA261" s="92" t="inlineStr">
        <is>
          <t>AVOID</t>
        </is>
      </c>
    </row>
    <row r="262">
      <c r="A262" s="99" t="inlineStr">
        <is>
          <t>REDINGTON</t>
        </is>
      </c>
      <c r="B262" s="99" t="inlineStr">
        <is>
          <t>Redington Ltd.</t>
        </is>
      </c>
      <c r="C262" s="99" t="inlineStr">
        <is>
          <t>Services</t>
        </is>
      </c>
      <c r="D262" s="99" t="inlineStr">
        <is>
          <t>Smallcap</t>
        </is>
      </c>
      <c r="E262" s="99" t="n">
        <v>259.05</v>
      </c>
      <c r="F262" s="99" t="n">
        <v>-1.14</v>
      </c>
      <c r="G262" s="99" t="n">
        <v>1016983</v>
      </c>
      <c r="H262" s="99" t="n">
        <v>0.82</v>
      </c>
      <c r="I262" s="99" t="n">
        <v>20252</v>
      </c>
      <c r="J262" s="99" t="inlineStr">
        <is>
          <t>Y</t>
        </is>
      </c>
      <c r="K262" s="99" t="inlineStr">
        <is>
          <t>Y</t>
        </is>
      </c>
      <c r="L262" s="99" t="inlineStr">
        <is>
          <t>Y</t>
        </is>
      </c>
      <c r="M262" s="99" t="n">
        <v>31.6</v>
      </c>
      <c r="N262" s="99" t="inlineStr">
        <is>
          <t>N</t>
        </is>
      </c>
      <c r="O262" s="99" t="n">
        <v>8.630000000000001</v>
      </c>
      <c r="P262" s="99" t="inlineStr">
        <is>
          <t>N</t>
        </is>
      </c>
      <c r="Q262" s="99" t="inlineStr">
        <is>
          <t>N/A</t>
        </is>
      </c>
      <c r="R262" s="99" t="inlineStr">
        <is>
          <t>N</t>
        </is>
      </c>
      <c r="S262" s="99" t="n">
        <v>-6.5</v>
      </c>
      <c r="T262" s="99" t="n">
        <v>24.1</v>
      </c>
      <c r="U262" s="99" t="inlineStr">
        <is>
          <t>Y</t>
        </is>
      </c>
      <c r="V262" s="99" t="n">
        <v>13.6</v>
      </c>
      <c r="W262" s="99" t="n">
        <v>13.1</v>
      </c>
      <c r="X262" s="99" t="n">
        <v>27.26</v>
      </c>
      <c r="Y262" s="99" t="n">
        <v>-10.2</v>
      </c>
      <c r="Z262" s="99" t="n">
        <v>4</v>
      </c>
      <c r="AA262" s="94" t="inlineStr">
        <is>
          <t>AVOID</t>
        </is>
      </c>
    </row>
    <row r="263">
      <c r="A263" s="97" t="inlineStr">
        <is>
          <t>SBICARD</t>
        </is>
      </c>
      <c r="B263" s="97" t="inlineStr">
        <is>
          <t>SBI Cards and Payment Services Ltd.</t>
        </is>
      </c>
      <c r="C263" s="97" t="inlineStr">
        <is>
          <t>Financial Services</t>
        </is>
      </c>
      <c r="D263" s="97" t="inlineStr">
        <is>
          <t>Large/Midcap</t>
        </is>
      </c>
      <c r="E263" s="97" t="n">
        <v>618.75</v>
      </c>
      <c r="F263" s="97" t="n">
        <v>-0.53</v>
      </c>
      <c r="G263" s="97" t="n">
        <v>616274</v>
      </c>
      <c r="H263" s="97" t="n">
        <v>0.51</v>
      </c>
      <c r="I263" s="97" t="n">
        <v>58883</v>
      </c>
      <c r="J263" s="97" t="inlineStr">
        <is>
          <t>Y</t>
        </is>
      </c>
      <c r="K263" s="97" t="inlineStr">
        <is>
          <t>Y</t>
        </is>
      </c>
      <c r="L263" s="97" t="inlineStr">
        <is>
          <t>N</t>
        </is>
      </c>
      <c r="M263" s="97" t="n">
        <v>56</v>
      </c>
      <c r="N263" s="97" t="inlineStr">
        <is>
          <t>Y</t>
        </is>
      </c>
      <c r="O263" s="97" t="n">
        <v>18.48</v>
      </c>
      <c r="P263" s="97" t="inlineStr">
        <is>
          <t>N</t>
        </is>
      </c>
      <c r="Q263" s="97" t="inlineStr">
        <is>
          <t>N/A</t>
        </is>
      </c>
      <c r="R263" s="97" t="inlineStr">
        <is>
          <t>N</t>
        </is>
      </c>
      <c r="S263" s="97" t="n">
        <v>0.1</v>
      </c>
      <c r="T263" s="97" t="n">
        <v>-4.4</v>
      </c>
      <c r="U263" s="97" t="inlineStr">
        <is>
          <t>N</t>
        </is>
      </c>
      <c r="V263" s="97" t="n">
        <v>25.9</v>
      </c>
      <c r="W263" s="97" t="inlineStr">
        <is>
          <t>N/A</t>
        </is>
      </c>
      <c r="X263" s="97" t="n">
        <v>280.21</v>
      </c>
      <c r="Y263" s="97" t="n">
        <v>9.5</v>
      </c>
      <c r="Z263" s="97" t="n">
        <v>4</v>
      </c>
      <c r="AA263" s="92" t="inlineStr">
        <is>
          <t>AVOID</t>
        </is>
      </c>
    </row>
    <row r="264">
      <c r="A264" s="99" t="inlineStr">
        <is>
          <t>SRF</t>
        </is>
      </c>
      <c r="B264" s="99" t="inlineStr">
        <is>
          <t>SRF Ltd.</t>
        </is>
      </c>
      <c r="C264" s="99" t="inlineStr">
        <is>
          <t>Chemicals</t>
        </is>
      </c>
      <c r="D264" s="99" t="inlineStr">
        <is>
          <t>Large/Midcap</t>
        </is>
      </c>
      <c r="E264" s="99" t="n">
        <v>2664.7</v>
      </c>
      <c r="F264" s="99" t="n">
        <v>1.6</v>
      </c>
      <c r="G264" s="99" t="n">
        <v>1246513</v>
      </c>
      <c r="H264" s="99" t="n">
        <v>0.83</v>
      </c>
      <c r="I264" s="99" t="n">
        <v>78983</v>
      </c>
      <c r="J264" s="99" t="inlineStr">
        <is>
          <t>Y</t>
        </is>
      </c>
      <c r="K264" s="99" t="inlineStr">
        <is>
          <t>N</t>
        </is>
      </c>
      <c r="L264" s="99" t="inlineStr">
        <is>
          <t>N</t>
        </is>
      </c>
      <c r="M264" s="99" t="n">
        <v>39.8</v>
      </c>
      <c r="N264" s="99" t="inlineStr">
        <is>
          <t>N</t>
        </is>
      </c>
      <c r="O264" s="99" t="n">
        <v>92.89</v>
      </c>
      <c r="P264" s="99" t="inlineStr">
        <is>
          <t>Y</t>
        </is>
      </c>
      <c r="Q264" s="99" t="inlineStr">
        <is>
          <t>N/A</t>
        </is>
      </c>
      <c r="R264" s="99" t="inlineStr">
        <is>
          <t>N</t>
        </is>
      </c>
      <c r="S264" s="99" t="n">
        <v>-1.4</v>
      </c>
      <c r="T264" s="99" t="n">
        <v>5.3</v>
      </c>
      <c r="U264" s="99" t="inlineStr">
        <is>
          <t>Y</t>
        </is>
      </c>
      <c r="V264" s="99" t="n">
        <v>36.5</v>
      </c>
      <c r="W264" s="99" t="inlineStr">
        <is>
          <t>N/A</t>
        </is>
      </c>
      <c r="X264" s="99" t="n">
        <v>36.2</v>
      </c>
      <c r="Y264" s="99" t="n">
        <v>30.4</v>
      </c>
      <c r="Z264" s="99" t="n">
        <v>4</v>
      </c>
      <c r="AA264" s="94" t="inlineStr">
        <is>
          <t>AVOID</t>
        </is>
      </c>
    </row>
    <row r="265">
      <c r="A265" s="97" t="inlineStr">
        <is>
          <t>SCHAEFFLER</t>
        </is>
      </c>
      <c r="B265" s="97" t="inlineStr">
        <is>
          <t>Schaeffler India Ltd.</t>
        </is>
      </c>
      <c r="C265" s="97" t="inlineStr">
        <is>
          <t>Automobile and Auto Components</t>
        </is>
      </c>
      <c r="D265" s="97" t="inlineStr">
        <is>
          <t>Large/Midcap</t>
        </is>
      </c>
      <c r="E265" s="97" t="n">
        <v>4107.7</v>
      </c>
      <c r="F265" s="97" t="n">
        <v>0.35</v>
      </c>
      <c r="G265" s="97" t="n">
        <v>79917</v>
      </c>
      <c r="H265" s="97" t="n">
        <v>1.39</v>
      </c>
      <c r="I265" s="97" t="n">
        <v>64205</v>
      </c>
      <c r="J265" s="97" t="inlineStr">
        <is>
          <t>Y</t>
        </is>
      </c>
      <c r="K265" s="97" t="inlineStr">
        <is>
          <t>N</t>
        </is>
      </c>
      <c r="L265" s="97" t="inlineStr">
        <is>
          <t>Y</t>
        </is>
      </c>
      <c r="M265" s="97" t="n">
        <v>46.4</v>
      </c>
      <c r="N265" s="97" t="inlineStr">
        <is>
          <t>N</t>
        </is>
      </c>
      <c r="O265" s="97" t="n">
        <v>96.86</v>
      </c>
      <c r="P265" s="97" t="inlineStr">
        <is>
          <t>N</t>
        </is>
      </c>
      <c r="Q265" s="97" t="inlineStr">
        <is>
          <t>N/A</t>
        </is>
      </c>
      <c r="R265" s="97" t="inlineStr">
        <is>
          <t>N</t>
        </is>
      </c>
      <c r="S265" s="97" t="n">
        <v>-0.1</v>
      </c>
      <c r="T265" s="97" t="n">
        <v>-4.5</v>
      </c>
      <c r="U265" s="97" t="inlineStr">
        <is>
          <t>N</t>
        </is>
      </c>
      <c r="V265" s="97" t="n">
        <v>51.3</v>
      </c>
      <c r="W265" s="97" t="n">
        <v>21.6</v>
      </c>
      <c r="X265" s="97" t="n">
        <v>0.78</v>
      </c>
      <c r="Y265" s="97" t="n">
        <v>3.1</v>
      </c>
      <c r="Z265" s="97" t="n">
        <v>4</v>
      </c>
      <c r="AA265" s="92" t="inlineStr">
        <is>
          <t>AVOID</t>
        </is>
      </c>
    </row>
    <row r="266">
      <c r="A266" s="99" t="inlineStr">
        <is>
          <t>STARHEALTH</t>
        </is>
      </c>
      <c r="B266" s="99" t="inlineStr">
        <is>
          <t>Star Health and Allied Insurance Company Ltd.</t>
        </is>
      </c>
      <c r="C266" s="99" t="inlineStr">
        <is>
          <t>Financial Services</t>
        </is>
      </c>
      <c r="D266" s="99" t="inlineStr">
        <is>
          <t>Smallcap</t>
        </is>
      </c>
      <c r="E266" s="99" t="n">
        <v>580.8</v>
      </c>
      <c r="F266" s="99" t="n">
        <v>0.66</v>
      </c>
      <c r="G266" s="99" t="n">
        <v>328746</v>
      </c>
      <c r="H266" s="99" t="n">
        <v>1.54</v>
      </c>
      <c r="I266" s="99" t="n">
        <v>34174</v>
      </c>
      <c r="J266" s="99" t="inlineStr">
        <is>
          <t>Y</t>
        </is>
      </c>
      <c r="K266" s="99" t="inlineStr">
        <is>
          <t>Y</t>
        </is>
      </c>
      <c r="L266" s="99" t="inlineStr">
        <is>
          <t>Y</t>
        </is>
      </c>
      <c r="M266" s="99" t="n">
        <v>49.7</v>
      </c>
      <c r="N266" s="99" t="inlineStr">
        <is>
          <t>N</t>
        </is>
      </c>
      <c r="O266" s="99" t="n">
        <v>17.88</v>
      </c>
      <c r="P266" s="99" t="inlineStr">
        <is>
          <t>N</t>
        </is>
      </c>
      <c r="Q266" s="99" t="inlineStr">
        <is>
          <t>N/A</t>
        </is>
      </c>
      <c r="R266" s="99" t="inlineStr">
        <is>
          <t>N</t>
        </is>
      </c>
      <c r="S266" s="99" t="n">
        <v>1.7</v>
      </c>
      <c r="T266" s="99" t="n">
        <v>9.5</v>
      </c>
      <c r="U266" s="99" t="inlineStr">
        <is>
          <t>Y</t>
        </is>
      </c>
      <c r="V266" s="99" t="n">
        <v>61.3</v>
      </c>
      <c r="W266" s="99" t="inlineStr">
        <is>
          <t>N/A</t>
        </is>
      </c>
      <c r="X266" s="99" t="inlineStr">
        <is>
          <t>N/A</t>
        </is>
      </c>
      <c r="Y266" s="99" t="n">
        <v>-13.2</v>
      </c>
      <c r="Z266" s="99" t="n">
        <v>4</v>
      </c>
      <c r="AA266" s="94" t="inlineStr">
        <is>
          <t>AVOID</t>
        </is>
      </c>
    </row>
    <row r="267">
      <c r="A267" s="97" t="inlineStr">
        <is>
          <t>SBIN</t>
        </is>
      </c>
      <c r="B267" s="97" t="inlineStr">
        <is>
          <t>State Bank of India</t>
        </is>
      </c>
      <c r="C267" s="97" t="inlineStr">
        <is>
          <t>Financial Services</t>
        </is>
      </c>
      <c r="D267" s="97" t="inlineStr">
        <is>
          <t>Large/Midcap</t>
        </is>
      </c>
      <c r="E267" s="97" t="n">
        <v>1015</v>
      </c>
      <c r="F267" s="97" t="n">
        <v>0.24</v>
      </c>
      <c r="G267" s="97" t="n">
        <v>13797053</v>
      </c>
      <c r="H267" s="97" t="n">
        <v>1.35</v>
      </c>
      <c r="I267" s="97" t="n">
        <v>936908</v>
      </c>
      <c r="J267" s="97" t="inlineStr">
        <is>
          <t>Y</t>
        </is>
      </c>
      <c r="K267" s="97" t="inlineStr">
        <is>
          <t>Y</t>
        </is>
      </c>
      <c r="L267" s="97" t="inlineStr">
        <is>
          <t>Y</t>
        </is>
      </c>
      <c r="M267" s="97" t="n">
        <v>42.8</v>
      </c>
      <c r="N267" s="97" t="inlineStr">
        <is>
          <t>N</t>
        </is>
      </c>
      <c r="O267" s="97" t="n">
        <v>20.71</v>
      </c>
      <c r="P267" s="97" t="inlineStr">
        <is>
          <t>N</t>
        </is>
      </c>
      <c r="Q267" s="97" t="inlineStr">
        <is>
          <t>N/A</t>
        </is>
      </c>
      <c r="R267" s="97" t="inlineStr">
        <is>
          <t>N</t>
        </is>
      </c>
      <c r="S267" s="97" t="n">
        <v>-1.8</v>
      </c>
      <c r="T267" s="97" t="n">
        <v>-4.4</v>
      </c>
      <c r="U267" s="97" t="inlineStr">
        <is>
          <t>N</t>
        </is>
      </c>
      <c r="V267" s="97" t="n">
        <v>11.1</v>
      </c>
      <c r="W267" s="97" t="n">
        <v>15.5</v>
      </c>
      <c r="X267" s="97" t="inlineStr">
        <is>
          <t>N/A</t>
        </is>
      </c>
      <c r="Y267" s="97" t="n">
        <v>-7.9</v>
      </c>
      <c r="Z267" s="97" t="n">
        <v>4</v>
      </c>
      <c r="AA267" s="92" t="inlineStr">
        <is>
          <t>AVOID</t>
        </is>
      </c>
    </row>
    <row r="268">
      <c r="A268" s="99" t="inlineStr">
        <is>
          <t>SUZLON</t>
        </is>
      </c>
      <c r="B268" s="99" t="inlineStr">
        <is>
          <t>Suzlon Energy Ltd.</t>
        </is>
      </c>
      <c r="C268" s="99" t="inlineStr">
        <is>
          <t>Capital Goods</t>
        </is>
      </c>
      <c r="D268" s="99" t="inlineStr">
        <is>
          <t>Large/Midcap</t>
        </is>
      </c>
      <c r="E268" s="99" t="n">
        <v>52.28</v>
      </c>
      <c r="F268" s="99" t="n">
        <v>-0.21</v>
      </c>
      <c r="G268" s="99" t="n">
        <v>45263052</v>
      </c>
      <c r="H268" s="99" t="n">
        <v>1.01</v>
      </c>
      <c r="I268" s="99" t="n">
        <v>71853</v>
      </c>
      <c r="J268" s="99" t="inlineStr">
        <is>
          <t>Y</t>
        </is>
      </c>
      <c r="K268" s="99" t="inlineStr">
        <is>
          <t>N</t>
        </is>
      </c>
      <c r="L268" s="99" t="inlineStr">
        <is>
          <t>Y</t>
        </is>
      </c>
      <c r="M268" s="99" t="n">
        <v>27.8</v>
      </c>
      <c r="N268" s="99" t="inlineStr">
        <is>
          <t>N</t>
        </is>
      </c>
      <c r="O268" s="99" t="n">
        <v>1.13</v>
      </c>
      <c r="P268" s="99" t="inlineStr">
        <is>
          <t>N</t>
        </is>
      </c>
      <c r="Q268" s="99" t="inlineStr">
        <is>
          <t>N/A</t>
        </is>
      </c>
      <c r="R268" s="99" t="inlineStr">
        <is>
          <t>N</t>
        </is>
      </c>
      <c r="S268" s="99" t="n">
        <v>-7.4</v>
      </c>
      <c r="T268" s="99" t="n">
        <v>-7.4</v>
      </c>
      <c r="U268" s="99" t="inlineStr">
        <is>
          <t>N</t>
        </is>
      </c>
      <c r="V268" s="99" t="n">
        <v>22.6</v>
      </c>
      <c r="W268" s="99" t="n">
        <v>40.6</v>
      </c>
      <c r="X268" s="99" t="n">
        <v>5.87</v>
      </c>
      <c r="Y268" s="99" t="n">
        <v>150.3</v>
      </c>
      <c r="Z268" s="99" t="n">
        <v>4</v>
      </c>
      <c r="AA268" s="94" t="inlineStr">
        <is>
          <t>AVOID</t>
        </is>
      </c>
    </row>
    <row r="269">
      <c r="A269" s="97" t="inlineStr">
        <is>
          <t>SWIGGY</t>
        </is>
      </c>
      <c r="B269" s="97" t="inlineStr">
        <is>
          <t>Swiggy Ltd.</t>
        </is>
      </c>
      <c r="C269" s="97" t="inlineStr">
        <is>
          <t>Consumer Services</t>
        </is>
      </c>
      <c r="D269" s="97" t="inlineStr">
        <is>
          <t>Large/Midcap</t>
        </is>
      </c>
      <c r="E269" s="97" t="n">
        <v>251.42</v>
      </c>
      <c r="F269" s="97" t="n">
        <v>-3.87</v>
      </c>
      <c r="G269" s="97" t="n">
        <v>34389852</v>
      </c>
      <c r="H269" s="97" t="n">
        <v>5.23</v>
      </c>
      <c r="I269" s="97" t="n">
        <v>65521</v>
      </c>
      <c r="J269" s="97" t="inlineStr">
        <is>
          <t>Y</t>
        </is>
      </c>
      <c r="K269" s="97" t="inlineStr">
        <is>
          <t>N</t>
        </is>
      </c>
      <c r="L269" s="97" t="inlineStr">
        <is>
          <t>N</t>
        </is>
      </c>
      <c r="M269" s="97" t="n">
        <v>51.4</v>
      </c>
      <c r="N269" s="97" t="inlineStr">
        <is>
          <t>Y</t>
        </is>
      </c>
      <c r="O269" s="97" t="n">
        <v>12.18</v>
      </c>
      <c r="P269" s="97" t="inlineStr">
        <is>
          <t>Y</t>
        </is>
      </c>
      <c r="Q269" s="97" t="inlineStr">
        <is>
          <t>N/A</t>
        </is>
      </c>
      <c r="R269" s="97" t="inlineStr">
        <is>
          <t>N</t>
        </is>
      </c>
      <c r="S269" s="97" t="n">
        <v>5.5</v>
      </c>
      <c r="T269" s="97" t="n">
        <v>-8</v>
      </c>
      <c r="U269" s="97" t="inlineStr">
        <is>
          <t>N</t>
        </is>
      </c>
      <c r="V269" s="97" t="inlineStr">
        <is>
          <t>N/A</t>
        </is>
      </c>
      <c r="W269" s="97" t="n">
        <v>-29.1</v>
      </c>
      <c r="X269" s="97" t="n">
        <v>14.1</v>
      </c>
      <c r="Y269" s="97" t="n">
        <v>24.9</v>
      </c>
      <c r="Z269" s="97" t="n">
        <v>4</v>
      </c>
      <c r="AA269" s="92" t="inlineStr">
        <is>
          <t>AVOID</t>
        </is>
      </c>
    </row>
    <row r="270">
      <c r="A270" s="99" t="inlineStr">
        <is>
          <t>SYRMA</t>
        </is>
      </c>
      <c r="B270" s="99" t="inlineStr">
        <is>
          <t>Syrma SGS Technology Ltd.</t>
        </is>
      </c>
      <c r="C270" s="99" t="inlineStr">
        <is>
          <t>Capital Goods</t>
        </is>
      </c>
      <c r="D270" s="99" t="inlineStr">
        <is>
          <t>Smallcap</t>
        </is>
      </c>
      <c r="E270" s="99" t="n">
        <v>1288.3</v>
      </c>
      <c r="F270" s="99" t="n">
        <v>-6.64</v>
      </c>
      <c r="G270" s="99" t="n">
        <v>1098492</v>
      </c>
      <c r="H270" s="99" t="n">
        <v>1.59</v>
      </c>
      <c r="I270" s="99" t="n">
        <v>24816</v>
      </c>
      <c r="J270" s="99" t="inlineStr">
        <is>
          <t>Y</t>
        </is>
      </c>
      <c r="K270" s="99" t="inlineStr">
        <is>
          <t>Y</t>
        </is>
      </c>
      <c r="L270" s="99" t="inlineStr">
        <is>
          <t>Y</t>
        </is>
      </c>
      <c r="M270" s="99" t="n">
        <v>38.1</v>
      </c>
      <c r="N270" s="99" t="inlineStr">
        <is>
          <t>N</t>
        </is>
      </c>
      <c r="O270" s="99" t="n">
        <v>53.96</v>
      </c>
      <c r="P270" s="99" t="inlineStr">
        <is>
          <t>N</t>
        </is>
      </c>
      <c r="Q270" s="99" t="inlineStr">
        <is>
          <t>N/A</t>
        </is>
      </c>
      <c r="R270" s="99" t="inlineStr">
        <is>
          <t>N</t>
        </is>
      </c>
      <c r="S270" s="99" t="n">
        <v>-9.5</v>
      </c>
      <c r="T270" s="99" t="n">
        <v>32.5</v>
      </c>
      <c r="U270" s="99" t="inlineStr">
        <is>
          <t>Y</t>
        </is>
      </c>
      <c r="V270" s="99" t="n">
        <v>76.3</v>
      </c>
      <c r="W270" s="99" t="n">
        <v>14.1</v>
      </c>
      <c r="X270" s="99" t="n">
        <v>13.04</v>
      </c>
      <c r="Y270" s="99" t="n">
        <v>-1.5</v>
      </c>
      <c r="Z270" s="99" t="n">
        <v>4</v>
      </c>
      <c r="AA270" s="94" t="inlineStr">
        <is>
          <t>AVOID</t>
        </is>
      </c>
    </row>
    <row r="271">
      <c r="A271" s="97" t="inlineStr">
        <is>
          <t>TATACAP</t>
        </is>
      </c>
      <c r="B271" s="97" t="inlineStr">
        <is>
          <t>Tata Capital Ltd.</t>
        </is>
      </c>
      <c r="C271" s="97" t="inlineStr">
        <is>
          <t>Financial Services</t>
        </is>
      </c>
      <c r="D271" s="97" t="inlineStr">
        <is>
          <t>Large/Midcap</t>
        </is>
      </c>
      <c r="E271" s="97" t="n">
        <v>341.9</v>
      </c>
      <c r="F271" s="97" t="n">
        <v>0.13</v>
      </c>
      <c r="G271" s="97" t="n">
        <v>900008</v>
      </c>
      <c r="H271" s="97" t="n">
        <v>1.45</v>
      </c>
      <c r="I271" s="97" t="n">
        <v>144169</v>
      </c>
      <c r="J271" s="97" t="inlineStr">
        <is>
          <t>Y</t>
        </is>
      </c>
      <c r="K271" s="97" t="inlineStr">
        <is>
          <t>Y</t>
        </is>
      </c>
      <c r="L271" s="97" t="inlineStr">
        <is>
          <t>N/A</t>
        </is>
      </c>
      <c r="M271" s="97" t="n">
        <v>42.7</v>
      </c>
      <c r="N271" s="97" t="inlineStr">
        <is>
          <t>N</t>
        </is>
      </c>
      <c r="O271" s="97" t="n">
        <v>8.279999999999999</v>
      </c>
      <c r="P271" s="97" t="inlineStr">
        <is>
          <t>N</t>
        </is>
      </c>
      <c r="Q271" s="97" t="inlineStr">
        <is>
          <t>N/A</t>
        </is>
      </c>
      <c r="R271" s="97" t="inlineStr">
        <is>
          <t>N</t>
        </is>
      </c>
      <c r="S271" s="97" t="n">
        <v>-4.9</v>
      </c>
      <c r="T271" s="97" t="n">
        <v>5.7</v>
      </c>
      <c r="U271" s="97" t="inlineStr">
        <is>
          <t>Y</t>
        </is>
      </c>
      <c r="V271" s="97" t="n">
        <v>29.1</v>
      </c>
      <c r="W271" s="97" t="n">
        <v>12</v>
      </c>
      <c r="X271" s="97" t="n">
        <v>502.93</v>
      </c>
      <c r="Y271" s="97" t="n">
        <v>19.5</v>
      </c>
      <c r="Z271" s="97" t="n">
        <v>4</v>
      </c>
      <c r="AA271" s="92" t="inlineStr">
        <is>
          <t>AVOID</t>
        </is>
      </c>
    </row>
    <row r="272">
      <c r="A272" s="99" t="inlineStr">
        <is>
          <t>TMCV</t>
        </is>
      </c>
      <c r="B272" s="99" t="inlineStr">
        <is>
          <t>Tata Motors Ltd.</t>
        </is>
      </c>
      <c r="C272" s="99" t="inlineStr">
        <is>
          <t>Capital Goods</t>
        </is>
      </c>
      <c r="D272" s="99" t="inlineStr">
        <is>
          <t>Large/Midcap</t>
        </is>
      </c>
      <c r="E272" s="99" t="n">
        <v>406.15</v>
      </c>
      <c r="F272" s="99" t="n">
        <v>-0.43</v>
      </c>
      <c r="G272" s="99" t="n">
        <v>4173312</v>
      </c>
      <c r="H272" s="99" t="n">
        <v>1.12</v>
      </c>
      <c r="I272" s="99" t="n">
        <v>149573</v>
      </c>
      <c r="J272" s="99" t="inlineStr">
        <is>
          <t>Y</t>
        </is>
      </c>
      <c r="K272" s="99" t="inlineStr">
        <is>
          <t>Y</t>
        </is>
      </c>
      <c r="L272" s="99" t="inlineStr">
        <is>
          <t>N/A</t>
        </is>
      </c>
      <c r="M272" s="99" t="n">
        <v>30.7</v>
      </c>
      <c r="N272" s="99" t="inlineStr">
        <is>
          <t>N</t>
        </is>
      </c>
      <c r="O272" s="99" t="n">
        <v>9.970000000000001</v>
      </c>
      <c r="P272" s="99" t="inlineStr">
        <is>
          <t>N</t>
        </is>
      </c>
      <c r="Q272" s="99" t="inlineStr">
        <is>
          <t>N/A</t>
        </is>
      </c>
      <c r="R272" s="99" t="inlineStr">
        <is>
          <t>N</t>
        </is>
      </c>
      <c r="S272" s="99" t="n">
        <v>-4.9</v>
      </c>
      <c r="T272" s="99" t="n">
        <v>-0.9</v>
      </c>
      <c r="U272" s="99" t="inlineStr">
        <is>
          <t>N</t>
        </is>
      </c>
      <c r="V272" s="99" t="n">
        <v>49.3</v>
      </c>
      <c r="W272" s="99" t="n">
        <v>26</v>
      </c>
      <c r="X272" s="99" t="n">
        <v>44.09</v>
      </c>
      <c r="Y272" s="99" t="n">
        <v>154.3</v>
      </c>
      <c r="Z272" s="99" t="n">
        <v>4</v>
      </c>
      <c r="AA272" s="94" t="inlineStr">
        <is>
          <t>AVOID</t>
        </is>
      </c>
    </row>
    <row r="273">
      <c r="A273" s="97" t="inlineStr">
        <is>
          <t>THERMAX</t>
        </is>
      </c>
      <c r="B273" s="97" t="inlineStr">
        <is>
          <t>Thermax Ltd.</t>
        </is>
      </c>
      <c r="C273" s="97" t="inlineStr">
        <is>
          <t>Capital Goods</t>
        </is>
      </c>
      <c r="D273" s="97" t="inlineStr">
        <is>
          <t>Large/Midcap</t>
        </is>
      </c>
      <c r="E273" s="97" t="n">
        <v>4514</v>
      </c>
      <c r="F273" s="97" t="n">
        <v>-1.4</v>
      </c>
      <c r="G273" s="97" t="n">
        <v>88245</v>
      </c>
      <c r="H273" s="97" t="n">
        <v>0.47</v>
      </c>
      <c r="I273" s="97" t="n">
        <v>50850</v>
      </c>
      <c r="J273" s="97" t="inlineStr">
        <is>
          <t>Y</t>
        </is>
      </c>
      <c r="K273" s="97" t="inlineStr">
        <is>
          <t>N</t>
        </is>
      </c>
      <c r="L273" s="97" t="inlineStr">
        <is>
          <t>Y</t>
        </is>
      </c>
      <c r="M273" s="97" t="n">
        <v>42.9</v>
      </c>
      <c r="N273" s="97" t="inlineStr">
        <is>
          <t>N</t>
        </is>
      </c>
      <c r="O273" s="97" t="n">
        <v>167.5</v>
      </c>
      <c r="P273" s="97" t="inlineStr">
        <is>
          <t>N</t>
        </is>
      </c>
      <c r="Q273" s="97" t="inlineStr">
        <is>
          <t>N/A</t>
        </is>
      </c>
      <c r="R273" s="97" t="inlineStr">
        <is>
          <t>N</t>
        </is>
      </c>
      <c r="S273" s="97" t="n">
        <v>-5.1</v>
      </c>
      <c r="T273" s="97" t="n">
        <v>14.1</v>
      </c>
      <c r="U273" s="97" t="inlineStr">
        <is>
          <t>Y</t>
        </is>
      </c>
      <c r="V273" s="97" t="n">
        <v>70.40000000000001</v>
      </c>
      <c r="W273" s="97" t="n">
        <v>13.7</v>
      </c>
      <c r="X273" s="97" t="n">
        <v>42.17</v>
      </c>
      <c r="Y273" s="97" t="n">
        <v>19.6</v>
      </c>
      <c r="Z273" s="97" t="n">
        <v>4</v>
      </c>
      <c r="AA273" s="92" t="inlineStr">
        <is>
          <t>AVOID</t>
        </is>
      </c>
    </row>
    <row r="274">
      <c r="A274" s="99" t="inlineStr">
        <is>
          <t>TITAGARH</t>
        </is>
      </c>
      <c r="B274" s="99" t="inlineStr">
        <is>
          <t>Titagarh Rail Systems Ltd.</t>
        </is>
      </c>
      <c r="C274" s="99" t="inlineStr">
        <is>
          <t>Capital Goods</t>
        </is>
      </c>
      <c r="D274" s="99" t="inlineStr">
        <is>
          <t>Smallcap</t>
        </is>
      </c>
      <c r="E274" s="99" t="n">
        <v>819.45</v>
      </c>
      <c r="F274" s="99" t="n">
        <v>0.48</v>
      </c>
      <c r="G274" s="99" t="n">
        <v>387023</v>
      </c>
      <c r="H274" s="99" t="n">
        <v>1.11</v>
      </c>
      <c r="I274" s="99" t="n">
        <v>11036</v>
      </c>
      <c r="J274" s="99" t="inlineStr">
        <is>
          <t>Y</t>
        </is>
      </c>
      <c r="K274" s="99" t="inlineStr">
        <is>
          <t>N</t>
        </is>
      </c>
      <c r="L274" s="99" t="inlineStr">
        <is>
          <t>Y</t>
        </is>
      </c>
      <c r="M274" s="99" t="n">
        <v>37.5</v>
      </c>
      <c r="N274" s="99" t="inlineStr">
        <is>
          <t>N</t>
        </is>
      </c>
      <c r="O274" s="99" t="n">
        <v>27.59</v>
      </c>
      <c r="P274" s="99" t="inlineStr">
        <is>
          <t>N</t>
        </is>
      </c>
      <c r="Q274" s="99" t="inlineStr">
        <is>
          <t>N/A</t>
        </is>
      </c>
      <c r="R274" s="99" t="inlineStr">
        <is>
          <t>N</t>
        </is>
      </c>
      <c r="S274" s="99" t="n">
        <v>-6.7</v>
      </c>
      <c r="T274" s="99" t="n">
        <v>4.8</v>
      </c>
      <c r="U274" s="99" t="inlineStr">
        <is>
          <t>Y</t>
        </is>
      </c>
      <c r="V274" s="99" t="n">
        <v>90.90000000000001</v>
      </c>
      <c r="W274" s="99" t="n">
        <v>4.9</v>
      </c>
      <c r="X274" s="99" t="n">
        <v>25.36</v>
      </c>
      <c r="Y274" s="99" t="n">
        <v>12.3</v>
      </c>
      <c r="Z274" s="99" t="n">
        <v>4</v>
      </c>
      <c r="AA274" s="94" t="inlineStr">
        <is>
          <t>AVOID</t>
        </is>
      </c>
    </row>
    <row r="275">
      <c r="A275" s="97" t="inlineStr">
        <is>
          <t>TORNTPOWER</t>
        </is>
      </c>
      <c r="B275" s="97" t="inlineStr">
        <is>
          <t>Torrent Power Ltd.</t>
        </is>
      </c>
      <c r="C275" s="97" t="inlineStr">
        <is>
          <t>Power</t>
        </is>
      </c>
      <c r="D275" s="97" t="inlineStr">
        <is>
          <t>Large/Midcap</t>
        </is>
      </c>
      <c r="E275" s="97" t="n">
        <v>1434.1</v>
      </c>
      <c r="F275" s="97" t="n">
        <v>0.29</v>
      </c>
      <c r="G275" s="97" t="n">
        <v>509230</v>
      </c>
      <c r="H275" s="97" t="n">
        <v>1.67</v>
      </c>
      <c r="I275" s="97" t="n">
        <v>72265</v>
      </c>
      <c r="J275" s="97" t="inlineStr">
        <is>
          <t>Y</t>
        </is>
      </c>
      <c r="K275" s="97" t="inlineStr">
        <is>
          <t>Y</t>
        </is>
      </c>
      <c r="L275" s="97" t="inlineStr">
        <is>
          <t>Y</t>
        </is>
      </c>
      <c r="M275" s="97" t="n">
        <v>66.09999999999999</v>
      </c>
      <c r="N275" s="97" t="inlineStr">
        <is>
          <t>Y</t>
        </is>
      </c>
      <c r="O275" s="97" t="n">
        <v>36.15</v>
      </c>
      <c r="P275" s="97" t="inlineStr">
        <is>
          <t>N</t>
        </is>
      </c>
      <c r="Q275" s="97" t="inlineStr">
        <is>
          <t>N/A</t>
        </is>
      </c>
      <c r="R275" s="97" t="inlineStr">
        <is>
          <t>N</t>
        </is>
      </c>
      <c r="S275" s="97" t="n">
        <v>2.5</v>
      </c>
      <c r="T275" s="97" t="n">
        <v>-14.9</v>
      </c>
      <c r="U275" s="97" t="inlineStr">
        <is>
          <t>N</t>
        </is>
      </c>
      <c r="V275" s="97" t="n">
        <v>29.9</v>
      </c>
      <c r="W275" s="97" t="n">
        <v>13</v>
      </c>
      <c r="X275" s="97" t="n">
        <v>70.89</v>
      </c>
      <c r="Y275" s="97" t="n">
        <v>-50.5</v>
      </c>
      <c r="Z275" s="97" t="n">
        <v>4</v>
      </c>
      <c r="AA275" s="92" t="inlineStr">
        <is>
          <t>AVOID</t>
        </is>
      </c>
    </row>
    <row r="276">
      <c r="A276" s="99" t="inlineStr">
        <is>
          <t>UBL</t>
        </is>
      </c>
      <c r="B276" s="99" t="inlineStr">
        <is>
          <t>United Breweries Ltd.</t>
        </is>
      </c>
      <c r="C276" s="99" t="inlineStr">
        <is>
          <t>Fast Moving Consumer Goods</t>
        </is>
      </c>
      <c r="D276" s="99" t="inlineStr">
        <is>
          <t>Large/Midcap</t>
        </is>
      </c>
      <c r="E276" s="99" t="n">
        <v>1398.6</v>
      </c>
      <c r="F276" s="99" t="n">
        <v>0.06</v>
      </c>
      <c r="G276" s="99" t="n">
        <v>155336</v>
      </c>
      <c r="H276" s="99" t="n">
        <v>0.44</v>
      </c>
      <c r="I276" s="99" t="n">
        <v>36980</v>
      </c>
      <c r="J276" s="99" t="inlineStr">
        <is>
          <t>Y</t>
        </is>
      </c>
      <c r="K276" s="99" t="inlineStr">
        <is>
          <t>Y</t>
        </is>
      </c>
      <c r="L276" s="99" t="inlineStr">
        <is>
          <t>N</t>
        </is>
      </c>
      <c r="M276" s="99" t="n">
        <v>56.7</v>
      </c>
      <c r="N276" s="99" t="inlineStr">
        <is>
          <t>Y</t>
        </is>
      </c>
      <c r="O276" s="99" t="n">
        <v>32.85</v>
      </c>
      <c r="P276" s="99" t="inlineStr">
        <is>
          <t>N</t>
        </is>
      </c>
      <c r="Q276" s="99" t="inlineStr">
        <is>
          <t>N/A</t>
        </is>
      </c>
      <c r="R276" s="99" t="inlineStr">
        <is>
          <t>N</t>
        </is>
      </c>
      <c r="S276" s="99" t="n">
        <v>6.3</v>
      </c>
      <c r="T276" s="99" t="n">
        <v>-4.3</v>
      </c>
      <c r="U276" s="99" t="inlineStr">
        <is>
          <t>N</t>
        </is>
      </c>
      <c r="V276" s="99" t="n">
        <v>89.3</v>
      </c>
      <c r="W276" s="99" t="n">
        <v>9.300000000000001</v>
      </c>
      <c r="X276" s="99" t="n">
        <v>29.08</v>
      </c>
      <c r="Y276" s="99" t="n">
        <v>25.7</v>
      </c>
      <c r="Z276" s="99" t="n">
        <v>4</v>
      </c>
      <c r="AA276" s="94" t="inlineStr">
        <is>
          <t>AVOID</t>
        </is>
      </c>
    </row>
    <row r="277">
      <c r="A277" s="97" t="inlineStr">
        <is>
          <t>VTL</t>
        </is>
      </c>
      <c r="B277" s="97" t="inlineStr">
        <is>
          <t>Vardhman Textiles Ltd.</t>
        </is>
      </c>
      <c r="C277" s="97" t="inlineStr">
        <is>
          <t>Textiles</t>
        </is>
      </c>
      <c r="D277" s="97" t="inlineStr">
        <is>
          <t>Smallcap</t>
        </is>
      </c>
      <c r="E277" s="97" t="n">
        <v>614.6</v>
      </c>
      <c r="F277" s="97" t="n">
        <v>0.74</v>
      </c>
      <c r="G277" s="97" t="n">
        <v>130927</v>
      </c>
      <c r="H277" s="97" t="n">
        <v>0.76</v>
      </c>
      <c r="I277" s="97" t="n">
        <v>17791</v>
      </c>
      <c r="J277" s="97" t="inlineStr">
        <is>
          <t>Y</t>
        </is>
      </c>
      <c r="K277" s="97" t="inlineStr">
        <is>
          <t>N</t>
        </is>
      </c>
      <c r="L277" s="97" t="inlineStr">
        <is>
          <t>Y</t>
        </is>
      </c>
      <c r="M277" s="97" t="n">
        <v>29.3</v>
      </c>
      <c r="N277" s="97" t="inlineStr">
        <is>
          <t>N</t>
        </is>
      </c>
      <c r="O277" s="97" t="n">
        <v>19.43</v>
      </c>
      <c r="P277" s="97" t="inlineStr">
        <is>
          <t>N</t>
        </is>
      </c>
      <c r="Q277" s="97" t="inlineStr">
        <is>
          <t>N/A</t>
        </is>
      </c>
      <c r="R277" s="97" t="inlineStr">
        <is>
          <t>N</t>
        </is>
      </c>
      <c r="S277" s="97" t="n">
        <v>-2</v>
      </c>
      <c r="T277" s="97" t="n">
        <v>1.5</v>
      </c>
      <c r="U277" s="97" t="inlineStr">
        <is>
          <t>Y</t>
        </is>
      </c>
      <c r="V277" s="97" t="n">
        <v>23.5</v>
      </c>
      <c r="W277" s="97" t="n">
        <v>7.3</v>
      </c>
      <c r="X277" s="97" t="n">
        <v>17.52</v>
      </c>
      <c r="Y277" s="97" t="n">
        <v>11</v>
      </c>
      <c r="Z277" s="97" t="n">
        <v>4</v>
      </c>
      <c r="AA277" s="92" t="inlineStr">
        <is>
          <t>AVOID</t>
        </is>
      </c>
    </row>
    <row r="278">
      <c r="A278" s="99" t="inlineStr">
        <is>
          <t>IDEA</t>
        </is>
      </c>
      <c r="B278" s="99" t="inlineStr">
        <is>
          <t>Vodafone Idea Ltd.</t>
        </is>
      </c>
      <c r="C278" s="99" t="inlineStr">
        <is>
          <t>Telecommunication</t>
        </is>
      </c>
      <c r="D278" s="99" t="inlineStr">
        <is>
          <t>Large/Midcap</t>
        </is>
      </c>
      <c r="E278" s="99" t="n">
        <v>13.13</v>
      </c>
      <c r="F278" s="99" t="n">
        <v>-0.53</v>
      </c>
      <c r="G278" s="99" t="n">
        <v>382797982</v>
      </c>
      <c r="H278" s="99" t="n">
        <v>1.19</v>
      </c>
      <c r="I278" s="99" t="n">
        <v>142254</v>
      </c>
      <c r="J278" s="99" t="inlineStr">
        <is>
          <t>Y</t>
        </is>
      </c>
      <c r="K278" s="99" t="inlineStr">
        <is>
          <t>N</t>
        </is>
      </c>
      <c r="L278" s="99" t="inlineStr">
        <is>
          <t>Y</t>
        </is>
      </c>
      <c r="M278" s="99" t="n">
        <v>28</v>
      </c>
      <c r="N278" s="99" t="inlineStr">
        <is>
          <t>N</t>
        </is>
      </c>
      <c r="O278" s="99" t="n">
        <v>0.36</v>
      </c>
      <c r="P278" s="99" t="inlineStr">
        <is>
          <t>N</t>
        </is>
      </c>
      <c r="Q278" s="99" t="inlineStr">
        <is>
          <t>N/A</t>
        </is>
      </c>
      <c r="R278" s="99" t="inlineStr">
        <is>
          <t>N</t>
        </is>
      </c>
      <c r="S278" s="99" t="n">
        <v>-5.6</v>
      </c>
      <c r="T278" s="99" t="n">
        <v>28.1</v>
      </c>
      <c r="U278" s="99" t="inlineStr">
        <is>
          <t>Y</t>
        </is>
      </c>
      <c r="V278" s="99" t="n">
        <v>4.1</v>
      </c>
      <c r="W278" s="99" t="inlineStr">
        <is>
          <t>N/A</t>
        </is>
      </c>
      <c r="X278" s="99" t="inlineStr">
        <is>
          <t>N/A</t>
        </is>
      </c>
      <c r="Y278" s="99" t="n">
        <v>1083.2</v>
      </c>
      <c r="Z278" s="99" t="n">
        <v>4</v>
      </c>
      <c r="AA278" s="94" t="inlineStr">
        <is>
          <t>AVOID</t>
        </is>
      </c>
    </row>
    <row r="279">
      <c r="A279" s="97" t="inlineStr">
        <is>
          <t>VOLTAS</t>
        </is>
      </c>
      <c r="B279" s="97" t="inlineStr">
        <is>
          <t>Voltas Ltd.</t>
        </is>
      </c>
      <c r="C279" s="97" t="inlineStr">
        <is>
          <t>Consumer Durables</t>
        </is>
      </c>
      <c r="D279" s="97" t="inlineStr">
        <is>
          <t>Large/Midcap</t>
        </is>
      </c>
      <c r="E279" s="97" t="n">
        <v>1327.3</v>
      </c>
      <c r="F279" s="97" t="n">
        <v>1.31</v>
      </c>
      <c r="G279" s="97" t="n">
        <v>569448</v>
      </c>
      <c r="H279" s="97" t="n">
        <v>1.19</v>
      </c>
      <c r="I279" s="97" t="n">
        <v>43918</v>
      </c>
      <c r="J279" s="97" t="inlineStr">
        <is>
          <t>Y</t>
        </is>
      </c>
      <c r="K279" s="97" t="inlineStr">
        <is>
          <t>Y</t>
        </is>
      </c>
      <c r="L279" s="97" t="inlineStr">
        <is>
          <t>N</t>
        </is>
      </c>
      <c r="M279" s="97" t="n">
        <v>57.5</v>
      </c>
      <c r="N279" s="97" t="inlineStr">
        <is>
          <t>Y</t>
        </is>
      </c>
      <c r="O279" s="97" t="n">
        <v>37.26</v>
      </c>
      <c r="P279" s="97" t="inlineStr">
        <is>
          <t>N</t>
        </is>
      </c>
      <c r="Q279" s="97" t="inlineStr">
        <is>
          <t>N/A</t>
        </is>
      </c>
      <c r="R279" s="97" t="inlineStr">
        <is>
          <t>N</t>
        </is>
      </c>
      <c r="S279" s="97" t="n">
        <v>3</v>
      </c>
      <c r="T279" s="97" t="n">
        <v>-9.199999999999999</v>
      </c>
      <c r="U279" s="97" t="inlineStr">
        <is>
          <t>N</t>
        </is>
      </c>
      <c r="V279" s="97" t="n">
        <v>116.3</v>
      </c>
      <c r="W279" s="97" t="n">
        <v>5.7</v>
      </c>
      <c r="X279" s="97" t="n">
        <v>15.51</v>
      </c>
      <c r="Y279" s="97" t="n">
        <v>36.8</v>
      </c>
      <c r="Z279" s="97" t="n">
        <v>4</v>
      </c>
      <c r="AA279" s="92" t="inlineStr">
        <is>
          <t>AVOID</t>
        </is>
      </c>
    </row>
    <row r="280">
      <c r="A280" s="99" t="inlineStr">
        <is>
          <t>WOCKPHARMA</t>
        </is>
      </c>
      <c r="B280" s="99" t="inlineStr">
        <is>
          <t>Wockhardt Ltd.</t>
        </is>
      </c>
      <c r="C280" s="99" t="inlineStr">
        <is>
          <t>Healthcare</t>
        </is>
      </c>
      <c r="D280" s="99" t="inlineStr">
        <is>
          <t>Smallcap</t>
        </is>
      </c>
      <c r="E280" s="99" t="n">
        <v>1849.2</v>
      </c>
      <c r="F280" s="99" t="n">
        <v>-0.03</v>
      </c>
      <c r="G280" s="99" t="n">
        <v>330095</v>
      </c>
      <c r="H280" s="99" t="n">
        <v>0.62</v>
      </c>
      <c r="I280" s="99" t="n">
        <v>30048</v>
      </c>
      <c r="J280" s="99" t="inlineStr">
        <is>
          <t>Y</t>
        </is>
      </c>
      <c r="K280" s="99" t="inlineStr">
        <is>
          <t>N</t>
        </is>
      </c>
      <c r="L280" s="99" t="inlineStr">
        <is>
          <t>Y</t>
        </is>
      </c>
      <c r="M280" s="99" t="n">
        <v>40.3</v>
      </c>
      <c r="N280" s="99" t="inlineStr">
        <is>
          <t>N</t>
        </is>
      </c>
      <c r="O280" s="99" t="n">
        <v>61.09</v>
      </c>
      <c r="P280" s="99" t="inlineStr">
        <is>
          <t>N</t>
        </is>
      </c>
      <c r="Q280" s="99" t="inlineStr">
        <is>
          <t>N/A</t>
        </is>
      </c>
      <c r="R280" s="99" t="inlineStr">
        <is>
          <t>N</t>
        </is>
      </c>
      <c r="S280" s="99" t="n">
        <v>-4.8</v>
      </c>
      <c r="T280" s="99" t="n">
        <v>33.4</v>
      </c>
      <c r="U280" s="99" t="inlineStr">
        <is>
          <t>Y</t>
        </is>
      </c>
      <c r="V280" s="99" t="n">
        <v>140.8</v>
      </c>
      <c r="W280" s="99" t="n">
        <v>4</v>
      </c>
      <c r="X280" s="99" t="n">
        <v>42.28</v>
      </c>
      <c r="Y280" s="99" t="n">
        <v>181.4</v>
      </c>
      <c r="Z280" s="99" t="n">
        <v>4</v>
      </c>
      <c r="AA280" s="94" t="inlineStr">
        <is>
          <t>AVOID</t>
        </is>
      </c>
    </row>
    <row r="281">
      <c r="A281" s="97" t="inlineStr">
        <is>
          <t>ZENTEC</t>
        </is>
      </c>
      <c r="B281" s="97" t="inlineStr">
        <is>
          <t>Zen Technologies Ltd.</t>
        </is>
      </c>
      <c r="C281" s="97" t="inlineStr">
        <is>
          <t>Capital Goods</t>
        </is>
      </c>
      <c r="D281" s="97" t="inlineStr">
        <is>
          <t>Smallcap</t>
        </is>
      </c>
      <c r="E281" s="97" t="n">
        <v>1768.7</v>
      </c>
      <c r="F281" s="97" t="n">
        <v>-1.78</v>
      </c>
      <c r="G281" s="97" t="n">
        <v>228777</v>
      </c>
      <c r="H281" s="97" t="n">
        <v>0.66</v>
      </c>
      <c r="I281" s="97" t="n">
        <v>15907</v>
      </c>
      <c r="J281" s="97" t="inlineStr">
        <is>
          <t>Y</t>
        </is>
      </c>
      <c r="K281" s="97" t="inlineStr">
        <is>
          <t>Y</t>
        </is>
      </c>
      <c r="L281" s="97" t="inlineStr">
        <is>
          <t>Y</t>
        </is>
      </c>
      <c r="M281" s="97" t="n">
        <v>40</v>
      </c>
      <c r="N281" s="97" t="inlineStr">
        <is>
          <t>N</t>
        </is>
      </c>
      <c r="O281" s="97" t="n">
        <v>60.29</v>
      </c>
      <c r="P281" s="97" t="inlineStr">
        <is>
          <t>N</t>
        </is>
      </c>
      <c r="Q281" s="97" t="inlineStr">
        <is>
          <t>N/A</t>
        </is>
      </c>
      <c r="R281" s="97" t="inlineStr">
        <is>
          <t>N</t>
        </is>
      </c>
      <c r="S281" s="97" t="n">
        <v>0.9</v>
      </c>
      <c r="T281" s="97" t="n">
        <v>5.5</v>
      </c>
      <c r="U281" s="97" t="inlineStr">
        <is>
          <t>Y</t>
        </is>
      </c>
      <c r="V281" s="97" t="n">
        <v>82</v>
      </c>
      <c r="W281" s="97" t="inlineStr">
        <is>
          <t>N/A</t>
        </is>
      </c>
      <c r="X281" s="97" t="n">
        <v>0.95</v>
      </c>
      <c r="Y281" s="97" t="n">
        <v>-42.4</v>
      </c>
      <c r="Z281" s="97" t="n">
        <v>4</v>
      </c>
      <c r="AA281" s="92" t="inlineStr">
        <is>
          <t>AVOID</t>
        </is>
      </c>
    </row>
    <row r="282">
      <c r="A282" s="99" t="inlineStr">
        <is>
          <t>AUBANK</t>
        </is>
      </c>
      <c r="B282" s="99" t="inlineStr">
        <is>
          <t>AU Small Finance Bank Ltd.</t>
        </is>
      </c>
      <c r="C282" s="99" t="inlineStr">
        <is>
          <t>Financial Services</t>
        </is>
      </c>
      <c r="D282" s="99" t="inlineStr">
        <is>
          <t>Large/Midcap</t>
        </is>
      </c>
      <c r="E282" s="99" t="n">
        <v>1004</v>
      </c>
      <c r="F282" s="99" t="n">
        <v>2.59</v>
      </c>
      <c r="G282" s="99" t="n">
        <v>1826523</v>
      </c>
      <c r="H282" s="99" t="n">
        <v>1.12</v>
      </c>
      <c r="I282" s="99" t="n">
        <v>75166</v>
      </c>
      <c r="J282" s="99" t="inlineStr">
        <is>
          <t>Y</t>
        </is>
      </c>
      <c r="K282" s="99" t="inlineStr">
        <is>
          <t>N</t>
        </is>
      </c>
      <c r="L282" s="99" t="inlineStr">
        <is>
          <t>Y</t>
        </is>
      </c>
      <c r="M282" s="99" t="n">
        <v>36.3</v>
      </c>
      <c r="N282" s="99" t="inlineStr">
        <is>
          <t>N</t>
        </is>
      </c>
      <c r="O282" s="99" t="n">
        <v>26.63</v>
      </c>
      <c r="P282" s="99" t="inlineStr">
        <is>
          <t>N</t>
        </is>
      </c>
      <c r="Q282" s="99" t="inlineStr">
        <is>
          <t>N/A</t>
        </is>
      </c>
      <c r="R282" s="99" t="inlineStr">
        <is>
          <t>N</t>
        </is>
      </c>
      <c r="S282" s="99" t="n">
        <v>-1.8</v>
      </c>
      <c r="T282" s="99" t="n">
        <v>-0.8</v>
      </c>
      <c r="U282" s="99" t="inlineStr">
        <is>
          <t>N</t>
        </is>
      </c>
      <c r="V282" s="99" t="n">
        <v>28.7</v>
      </c>
      <c r="W282" s="99" t="inlineStr">
        <is>
          <t>N/A</t>
        </is>
      </c>
      <c r="X282" s="99" t="inlineStr">
        <is>
          <t>N/A</t>
        </is>
      </c>
      <c r="Y282" s="99" t="n">
        <v>24.6</v>
      </c>
      <c r="Z282" s="99" t="n">
        <v>3</v>
      </c>
      <c r="AA282" s="94" t="inlineStr">
        <is>
          <t>AVOID</t>
        </is>
      </c>
    </row>
    <row r="283">
      <c r="A283" s="97" t="inlineStr">
        <is>
          <t>ADANIPOWER</t>
        </is>
      </c>
      <c r="B283" s="97" t="inlineStr">
        <is>
          <t>Adani Power Ltd.</t>
        </is>
      </c>
      <c r="C283" s="97" t="inlineStr">
        <is>
          <t>Power</t>
        </is>
      </c>
      <c r="D283" s="97" t="inlineStr">
        <is>
          <t>Large/Midcap</t>
        </is>
      </c>
      <c r="E283" s="97" t="n">
        <v>213.66</v>
      </c>
      <c r="F283" s="97" t="n">
        <v>0.67</v>
      </c>
      <c r="G283" s="97" t="n">
        <v>29273015</v>
      </c>
      <c r="H283" s="97" t="n">
        <v>0.88</v>
      </c>
      <c r="I283" s="97" t="n">
        <v>412037</v>
      </c>
      <c r="J283" s="97" t="inlineStr">
        <is>
          <t>Y</t>
        </is>
      </c>
      <c r="K283" s="97" t="inlineStr">
        <is>
          <t>N</t>
        </is>
      </c>
      <c r="L283" s="97" t="inlineStr">
        <is>
          <t>Y</t>
        </is>
      </c>
      <c r="M283" s="97" t="n">
        <v>43.4</v>
      </c>
      <c r="N283" s="97" t="inlineStr">
        <is>
          <t>N</t>
        </is>
      </c>
      <c r="O283" s="97" t="n">
        <v>6.78</v>
      </c>
      <c r="P283" s="97" t="inlineStr">
        <is>
          <t>N</t>
        </is>
      </c>
      <c r="Q283" s="97" t="inlineStr">
        <is>
          <t>N/A</t>
        </is>
      </c>
      <c r="R283" s="97" t="inlineStr">
        <is>
          <t>N</t>
        </is>
      </c>
      <c r="S283" s="97" t="n">
        <v>-5.8</v>
      </c>
      <c r="T283" s="97" t="n">
        <v>-2</v>
      </c>
      <c r="U283" s="97" t="inlineStr">
        <is>
          <t>N</t>
        </is>
      </c>
      <c r="V283" s="97" t="n">
        <v>28.9</v>
      </c>
      <c r="W283" s="97" t="inlineStr">
        <is>
          <t>N/A</t>
        </is>
      </c>
      <c r="X283" s="97" t="n">
        <v>82.33</v>
      </c>
      <c r="Y283" s="97" t="n">
        <v>19.6</v>
      </c>
      <c r="Z283" s="97" t="n">
        <v>3</v>
      </c>
      <c r="AA283" s="92" t="inlineStr">
        <is>
          <t>AVOID</t>
        </is>
      </c>
    </row>
    <row r="284">
      <c r="A284" s="99" t="inlineStr">
        <is>
          <t>ABREL</t>
        </is>
      </c>
      <c r="B284" s="99" t="inlineStr">
        <is>
          <t>Aditya Birla Real Estate Ltd.</t>
        </is>
      </c>
      <c r="C284" s="99" t="inlineStr">
        <is>
          <t>Realty</t>
        </is>
      </c>
      <c r="D284" s="99" t="inlineStr">
        <is>
          <t>Smallcap</t>
        </is>
      </c>
      <c r="E284" s="99" t="n">
        <v>1374.2</v>
      </c>
      <c r="F284" s="99" t="n">
        <v>-1.71</v>
      </c>
      <c r="G284" s="99" t="n">
        <v>113460</v>
      </c>
      <c r="H284" s="99" t="n">
        <v>1.11</v>
      </c>
      <c r="I284" s="99" t="n">
        <v>15196</v>
      </c>
      <c r="J284" s="99" t="inlineStr">
        <is>
          <t>Y</t>
        </is>
      </c>
      <c r="K284" s="99" t="inlineStr">
        <is>
          <t>Y</t>
        </is>
      </c>
      <c r="L284" s="99" t="inlineStr">
        <is>
          <t>N</t>
        </is>
      </c>
      <c r="M284" s="99" t="n">
        <v>43.3</v>
      </c>
      <c r="N284" s="99" t="inlineStr">
        <is>
          <t>N</t>
        </is>
      </c>
      <c r="O284" s="99" t="n">
        <v>45.58</v>
      </c>
      <c r="P284" s="99" t="inlineStr">
        <is>
          <t>N</t>
        </is>
      </c>
      <c r="Q284" s="99" t="inlineStr">
        <is>
          <t>N/A</t>
        </is>
      </c>
      <c r="R284" s="99" t="inlineStr">
        <is>
          <t>N</t>
        </is>
      </c>
      <c r="S284" s="99" t="n">
        <v>3.3</v>
      </c>
      <c r="T284" s="99" t="n">
        <v>-10.7</v>
      </c>
      <c r="U284" s="99" t="inlineStr">
        <is>
          <t>N</t>
        </is>
      </c>
      <c r="V284" s="99" t="inlineStr">
        <is>
          <t>N/A</t>
        </is>
      </c>
      <c r="W284" s="99" t="n">
        <v>-8.9</v>
      </c>
      <c r="X284" s="99" t="n">
        <v>152.37</v>
      </c>
      <c r="Y284" s="99" t="n">
        <v>114.9</v>
      </c>
      <c r="Z284" s="99" t="n">
        <v>3</v>
      </c>
      <c r="AA284" s="94" t="inlineStr">
        <is>
          <t>AVOID</t>
        </is>
      </c>
    </row>
    <row r="285">
      <c r="A285" s="97" t="inlineStr">
        <is>
          <t>AFFLE</t>
        </is>
      </c>
      <c r="B285" s="97" t="inlineStr">
        <is>
          <t>Affle 3i Ltd.</t>
        </is>
      </c>
      <c r="C285" s="97" t="inlineStr">
        <is>
          <t>Information Technology</t>
        </is>
      </c>
      <c r="D285" s="97" t="inlineStr">
        <is>
          <t>Smallcap</t>
        </is>
      </c>
      <c r="E285" s="97" t="n">
        <v>1445.3</v>
      </c>
      <c r="F285" s="97" t="n">
        <v>-1.07</v>
      </c>
      <c r="G285" s="97" t="n">
        <v>238606</v>
      </c>
      <c r="H285" s="97" t="n">
        <v>2.08</v>
      </c>
      <c r="I285" s="97" t="n">
        <v>20327</v>
      </c>
      <c r="J285" s="97" t="inlineStr">
        <is>
          <t>Y</t>
        </is>
      </c>
      <c r="K285" s="97" t="inlineStr">
        <is>
          <t>N</t>
        </is>
      </c>
      <c r="L285" s="97" t="inlineStr">
        <is>
          <t>N</t>
        </is>
      </c>
      <c r="M285" s="97" t="n">
        <v>49.7</v>
      </c>
      <c r="N285" s="97" t="inlineStr">
        <is>
          <t>N</t>
        </is>
      </c>
      <c r="O285" s="97" t="n">
        <v>48.56</v>
      </c>
      <c r="P285" s="97" t="inlineStr">
        <is>
          <t>N</t>
        </is>
      </c>
      <c r="Q285" s="97" t="inlineStr">
        <is>
          <t>N/A</t>
        </is>
      </c>
      <c r="R285" s="97" t="inlineStr">
        <is>
          <t>N</t>
        </is>
      </c>
      <c r="S285" s="97" t="n">
        <v>0.8</v>
      </c>
      <c r="T285" s="97" t="n">
        <v>1.4</v>
      </c>
      <c r="U285" s="97" t="inlineStr">
        <is>
          <t>Y</t>
        </is>
      </c>
      <c r="V285" s="97" t="n">
        <v>44.6</v>
      </c>
      <c r="W285" s="97" t="n">
        <v>13.8</v>
      </c>
      <c r="X285" s="97" t="n">
        <v>0.41</v>
      </c>
      <c r="Y285" s="97" t="n">
        <v>0.2</v>
      </c>
      <c r="Z285" s="97" t="n">
        <v>3</v>
      </c>
      <c r="AA285" s="92" t="inlineStr">
        <is>
          <t>AVOID</t>
        </is>
      </c>
    </row>
    <row r="286">
      <c r="A286" s="99" t="inlineStr">
        <is>
          <t>ASHOKLEY</t>
        </is>
      </c>
      <c r="B286" s="99" t="inlineStr">
        <is>
          <t>Ashok Leyland Ltd.</t>
        </is>
      </c>
      <c r="C286" s="99" t="inlineStr">
        <is>
          <t>Capital Goods</t>
        </is>
      </c>
      <c r="D286" s="99" t="inlineStr">
        <is>
          <t>Large/Midcap</t>
        </is>
      </c>
      <c r="E286" s="99" t="n">
        <v>151.07</v>
      </c>
      <c r="F286" s="99" t="n">
        <v>0.28</v>
      </c>
      <c r="G286" s="99" t="n">
        <v>12276303</v>
      </c>
      <c r="H286" s="99" t="n">
        <v>1.22</v>
      </c>
      <c r="I286" s="99" t="n">
        <v>88736</v>
      </c>
      <c r="J286" s="99" t="inlineStr">
        <is>
          <t>Y</t>
        </is>
      </c>
      <c r="K286" s="99" t="inlineStr">
        <is>
          <t>N</t>
        </is>
      </c>
      <c r="L286" s="99" t="inlineStr">
        <is>
          <t>N</t>
        </is>
      </c>
      <c r="M286" s="99" t="n">
        <v>22.5</v>
      </c>
      <c r="N286" s="99" t="inlineStr">
        <is>
          <t>N</t>
        </is>
      </c>
      <c r="O286" s="99" t="n">
        <v>4.02</v>
      </c>
      <c r="P286" s="99" t="inlineStr">
        <is>
          <t>N</t>
        </is>
      </c>
      <c r="Q286" s="99" t="inlineStr">
        <is>
          <t>N/A</t>
        </is>
      </c>
      <c r="R286" s="99" t="inlineStr">
        <is>
          <t>N</t>
        </is>
      </c>
      <c r="S286" s="99" t="n">
        <v>-4.9</v>
      </c>
      <c r="T286" s="99" t="n">
        <v>-6.7</v>
      </c>
      <c r="U286" s="99" t="inlineStr">
        <is>
          <t>N</t>
        </is>
      </c>
      <c r="V286" s="99" t="n">
        <v>25.6</v>
      </c>
      <c r="W286" s="99" t="n">
        <v>21.6</v>
      </c>
      <c r="X286" s="99" t="n">
        <v>344.74</v>
      </c>
      <c r="Y286" s="99" t="n">
        <v>58.7</v>
      </c>
      <c r="Z286" s="99" t="n">
        <v>3</v>
      </c>
      <c r="AA286" s="94" t="inlineStr">
        <is>
          <t>AVOID</t>
        </is>
      </c>
    </row>
    <row r="287">
      <c r="A287" s="97" t="inlineStr">
        <is>
          <t>ASTRAL</t>
        </is>
      </c>
      <c r="B287" s="97" t="inlineStr">
        <is>
          <t>Astral Ltd.</t>
        </is>
      </c>
      <c r="C287" s="97" t="inlineStr">
        <is>
          <t>Capital Goods</t>
        </is>
      </c>
      <c r="D287" s="97" t="inlineStr">
        <is>
          <t>Large/Midcap</t>
        </is>
      </c>
      <c r="E287" s="97" t="n">
        <v>1468.1</v>
      </c>
      <c r="F287" s="97" t="n">
        <v>3.87</v>
      </c>
      <c r="G287" s="97" t="n">
        <v>1157687</v>
      </c>
      <c r="H287" s="97" t="n">
        <v>1.73</v>
      </c>
      <c r="I287" s="97" t="n">
        <v>39441</v>
      </c>
      <c r="J287" s="97" t="inlineStr">
        <is>
          <t>Y</t>
        </is>
      </c>
      <c r="K287" s="97" t="inlineStr">
        <is>
          <t>N</t>
        </is>
      </c>
      <c r="L287" s="97" t="inlineStr">
        <is>
          <t>N</t>
        </is>
      </c>
      <c r="M287" s="97" t="n">
        <v>65</v>
      </c>
      <c r="N287" s="97" t="inlineStr">
        <is>
          <t>Y</t>
        </is>
      </c>
      <c r="O287" s="97" t="n">
        <v>34.77</v>
      </c>
      <c r="P287" s="97" t="inlineStr">
        <is>
          <t>N</t>
        </is>
      </c>
      <c r="Q287" s="97" t="inlineStr">
        <is>
          <t>N/A</t>
        </is>
      </c>
      <c r="R287" s="97" t="inlineStr">
        <is>
          <t>N</t>
        </is>
      </c>
      <c r="S287" s="97" t="n">
        <v>-0.2</v>
      </c>
      <c r="T287" s="97" t="n">
        <v>-4.9</v>
      </c>
      <c r="U287" s="97" t="inlineStr">
        <is>
          <t>N</t>
        </is>
      </c>
      <c r="V287" s="97" t="n">
        <v>73.5</v>
      </c>
      <c r="W287" s="97" t="n">
        <v>13.8</v>
      </c>
      <c r="X287" s="97" t="n">
        <v>6.17</v>
      </c>
      <c r="Y287" s="97" t="n">
        <v>97.8</v>
      </c>
      <c r="Z287" s="97" t="n">
        <v>3</v>
      </c>
      <c r="AA287" s="92" t="inlineStr">
        <is>
          <t>AVOID</t>
        </is>
      </c>
    </row>
    <row r="288">
      <c r="A288" s="99" t="inlineStr">
        <is>
          <t>BLS</t>
        </is>
      </c>
      <c r="B288" s="99" t="inlineStr">
        <is>
          <t>BLS International Services Ltd.</t>
        </is>
      </c>
      <c r="C288" s="99" t="inlineStr">
        <is>
          <t>Consumer Services</t>
        </is>
      </c>
      <c r="D288" s="99" t="inlineStr">
        <is>
          <t>Smallcap</t>
        </is>
      </c>
      <c r="E288" s="99" t="n">
        <v>233.6</v>
      </c>
      <c r="F288" s="99" t="n">
        <v>1.43</v>
      </c>
      <c r="G288" s="99" t="n">
        <v>814649</v>
      </c>
      <c r="H288" s="99" t="n">
        <v>1.21</v>
      </c>
      <c r="I288" s="99" t="n">
        <v>9613</v>
      </c>
      <c r="J288" s="99" t="inlineStr">
        <is>
          <t>Y</t>
        </is>
      </c>
      <c r="K288" s="99" t="inlineStr">
        <is>
          <t>N</t>
        </is>
      </c>
      <c r="L288" s="99" t="inlineStr">
        <is>
          <t>N</t>
        </is>
      </c>
      <c r="M288" s="99" t="n">
        <v>30.6</v>
      </c>
      <c r="N288" s="99" t="inlineStr">
        <is>
          <t>N</t>
        </is>
      </c>
      <c r="O288" s="99" t="n">
        <v>6.89</v>
      </c>
      <c r="P288" s="99" t="inlineStr">
        <is>
          <t>N</t>
        </is>
      </c>
      <c r="Q288" s="99" t="inlineStr">
        <is>
          <t>N/A</t>
        </is>
      </c>
      <c r="R288" s="99" t="inlineStr">
        <is>
          <t>N</t>
        </is>
      </c>
      <c r="S288" s="99" t="n">
        <v>-8.9</v>
      </c>
      <c r="T288" s="99" t="n">
        <v>-15.8</v>
      </c>
      <c r="U288" s="99" t="inlineStr">
        <is>
          <t>N</t>
        </is>
      </c>
      <c r="V288" s="99" t="n">
        <v>14</v>
      </c>
      <c r="W288" s="99" t="n">
        <v>30.1</v>
      </c>
      <c r="X288" s="99" t="n">
        <v>15.47</v>
      </c>
      <c r="Y288" s="99" t="n">
        <v>9.300000000000001</v>
      </c>
      <c r="Z288" s="99" t="n">
        <v>3</v>
      </c>
      <c r="AA288" s="94" t="inlineStr">
        <is>
          <t>AVOID</t>
        </is>
      </c>
    </row>
    <row r="289">
      <c r="A289" s="97" t="inlineStr">
        <is>
          <t>BATAINDIA</t>
        </is>
      </c>
      <c r="B289" s="97" t="inlineStr">
        <is>
          <t>Bata India Ltd.</t>
        </is>
      </c>
      <c r="C289" s="97" t="inlineStr">
        <is>
          <t>Consumer Durables</t>
        </is>
      </c>
      <c r="D289" s="97" t="inlineStr">
        <is>
          <t>Smallcap</t>
        </is>
      </c>
      <c r="E289" s="97" t="n">
        <v>689.95</v>
      </c>
      <c r="F289" s="97" t="n">
        <v>2.03</v>
      </c>
      <c r="G289" s="97" t="n">
        <v>170171</v>
      </c>
      <c r="H289" s="97" t="n">
        <v>0.88</v>
      </c>
      <c r="I289" s="97" t="n">
        <v>8868</v>
      </c>
      <c r="J289" s="97" t="inlineStr">
        <is>
          <t>Y</t>
        </is>
      </c>
      <c r="K289" s="97" t="inlineStr">
        <is>
          <t>Y</t>
        </is>
      </c>
      <c r="L289" s="97" t="inlineStr">
        <is>
          <t>N</t>
        </is>
      </c>
      <c r="M289" s="97" t="n">
        <v>50.3</v>
      </c>
      <c r="N289" s="97" t="inlineStr">
        <is>
          <t>Y</t>
        </is>
      </c>
      <c r="O289" s="97" t="n">
        <v>19.1</v>
      </c>
      <c r="P289" s="97" t="inlineStr">
        <is>
          <t>N</t>
        </is>
      </c>
      <c r="Q289" s="97" t="inlineStr">
        <is>
          <t>N/A</t>
        </is>
      </c>
      <c r="R289" s="97" t="inlineStr">
        <is>
          <t>N</t>
        </is>
      </c>
      <c r="S289" s="97" t="n">
        <v>-2.5</v>
      </c>
      <c r="T289" s="97" t="n">
        <v>-4.2</v>
      </c>
      <c r="U289" s="97" t="inlineStr">
        <is>
          <t>N</t>
        </is>
      </c>
      <c r="V289" s="97" t="n">
        <v>66.2</v>
      </c>
      <c r="W289" s="97" t="n">
        <v>8.5</v>
      </c>
      <c r="X289" s="97" t="n">
        <v>86.90000000000001</v>
      </c>
      <c r="Y289" s="97" t="n">
        <v>-96.7</v>
      </c>
      <c r="Z289" s="97" t="n">
        <v>3</v>
      </c>
      <c r="AA289" s="92" t="inlineStr">
        <is>
          <t>AVOID</t>
        </is>
      </c>
    </row>
    <row r="290">
      <c r="A290" s="99" t="inlineStr">
        <is>
          <t>BEL</t>
        </is>
      </c>
      <c r="B290" s="99" t="inlineStr">
        <is>
          <t>Bharat Electronics Ltd.</t>
        </is>
      </c>
      <c r="C290" s="99" t="inlineStr">
        <is>
          <t>Capital Goods</t>
        </is>
      </c>
      <c r="D290" s="99" t="inlineStr">
        <is>
          <t>Large/Midcap</t>
        </is>
      </c>
      <c r="E290" s="99" t="n">
        <v>405</v>
      </c>
      <c r="F290" s="99" t="n">
        <v>-0.09</v>
      </c>
      <c r="G290" s="99" t="n">
        <v>6176660</v>
      </c>
      <c r="H290" s="99" t="n">
        <v>0.85</v>
      </c>
      <c r="I290" s="99" t="n">
        <v>296046</v>
      </c>
      <c r="J290" s="99" t="inlineStr">
        <is>
          <t>Y</t>
        </is>
      </c>
      <c r="K290" s="99" t="inlineStr">
        <is>
          <t>N</t>
        </is>
      </c>
      <c r="L290" s="99" t="inlineStr">
        <is>
          <t>N</t>
        </is>
      </c>
      <c r="M290" s="99" t="n">
        <v>28.6</v>
      </c>
      <c r="N290" s="99" t="inlineStr">
        <is>
          <t>N</t>
        </is>
      </c>
      <c r="O290" s="99" t="n">
        <v>6.64</v>
      </c>
      <c r="P290" s="99" t="inlineStr">
        <is>
          <t>N</t>
        </is>
      </c>
      <c r="Q290" s="99" t="inlineStr">
        <is>
          <t>N/A</t>
        </is>
      </c>
      <c r="R290" s="99" t="inlineStr">
        <is>
          <t>N</t>
        </is>
      </c>
      <c r="S290" s="99" t="n">
        <v>0.5</v>
      </c>
      <c r="T290" s="99" t="n">
        <v>-6.9</v>
      </c>
      <c r="U290" s="99" t="inlineStr">
        <is>
          <t>N</t>
        </is>
      </c>
      <c r="V290" s="99" t="n">
        <v>48.8</v>
      </c>
      <c r="W290" s="99" t="n">
        <v>27.6</v>
      </c>
      <c r="X290" s="99" t="n">
        <v>0.27</v>
      </c>
      <c r="Y290" s="99" t="n">
        <v>40.9</v>
      </c>
      <c r="Z290" s="99" t="n">
        <v>3</v>
      </c>
      <c r="AA290" s="94" t="inlineStr">
        <is>
          <t>AVOID</t>
        </is>
      </c>
    </row>
    <row r="291">
      <c r="A291" s="97" t="inlineStr">
        <is>
          <t>BSOFT</t>
        </is>
      </c>
      <c r="B291" s="97" t="inlineStr">
        <is>
          <t>Birlasoft Ltd.</t>
        </is>
      </c>
      <c r="C291" s="97" t="inlineStr">
        <is>
          <t>Information Technology</t>
        </is>
      </c>
      <c r="D291" s="97" t="inlineStr">
        <is>
          <t>Smallcap</t>
        </is>
      </c>
      <c r="E291" s="97" t="n">
        <v>282.4</v>
      </c>
      <c r="F291" s="97" t="n">
        <v>1.24</v>
      </c>
      <c r="G291" s="97" t="n">
        <v>1171839</v>
      </c>
      <c r="H291" s="97" t="n">
        <v>1.55</v>
      </c>
      <c r="I291" s="97" t="n">
        <v>7895</v>
      </c>
      <c r="J291" s="97" t="inlineStr">
        <is>
          <t>Y</t>
        </is>
      </c>
      <c r="K291" s="97" t="inlineStr">
        <is>
          <t>N</t>
        </is>
      </c>
      <c r="L291" s="97" t="inlineStr">
        <is>
          <t>N</t>
        </is>
      </c>
      <c r="M291" s="97" t="n">
        <v>53.6</v>
      </c>
      <c r="N291" s="97" t="inlineStr">
        <is>
          <t>Y</t>
        </is>
      </c>
      <c r="O291" s="97" t="n">
        <v>10.23</v>
      </c>
      <c r="P291" s="97" t="inlineStr">
        <is>
          <t>N</t>
        </is>
      </c>
      <c r="Q291" s="97" t="inlineStr">
        <is>
          <t>N/A</t>
        </is>
      </c>
      <c r="R291" s="97" t="inlineStr">
        <is>
          <t>N</t>
        </is>
      </c>
      <c r="S291" s="97" t="n">
        <v>-3.6</v>
      </c>
      <c r="T291" s="97" t="n">
        <v>-21.9</v>
      </c>
      <c r="U291" s="97" t="inlineStr">
        <is>
          <t>N</t>
        </is>
      </c>
      <c r="V291" s="97" t="n">
        <v>15.3</v>
      </c>
      <c r="W291" s="97" t="n">
        <v>13.7</v>
      </c>
      <c r="X291" s="97" t="n">
        <v>3.42</v>
      </c>
      <c r="Y291" s="97" t="n">
        <v>46.7</v>
      </c>
      <c r="Z291" s="97" t="n">
        <v>3</v>
      </c>
      <c r="AA291" s="92" t="inlineStr">
        <is>
          <t>AVOID</t>
        </is>
      </c>
    </row>
    <row r="292">
      <c r="A292" s="99" t="inlineStr">
        <is>
          <t>BRITANNIA</t>
        </is>
      </c>
      <c r="B292" s="99" t="inlineStr">
        <is>
          <t>Britannia Industries Ltd.</t>
        </is>
      </c>
      <c r="C292" s="99" t="inlineStr">
        <is>
          <t>Fast Moving Consumer Goods</t>
        </is>
      </c>
      <c r="D292" s="99" t="inlineStr">
        <is>
          <t>Large/Midcap</t>
        </is>
      </c>
      <c r="E292" s="99" t="n">
        <v>5379.5</v>
      </c>
      <c r="F292" s="99" t="n">
        <v>-0.16</v>
      </c>
      <c r="G292" s="99" t="n">
        <v>208047</v>
      </c>
      <c r="H292" s="99" t="n">
        <v>1.04</v>
      </c>
      <c r="I292" s="99" t="n">
        <v>129575</v>
      </c>
      <c r="J292" s="99" t="inlineStr">
        <is>
          <t>Y</t>
        </is>
      </c>
      <c r="K292" s="99" t="inlineStr">
        <is>
          <t>Y</t>
        </is>
      </c>
      <c r="L292" s="99" t="inlineStr">
        <is>
          <t>N</t>
        </is>
      </c>
      <c r="M292" s="99" t="n">
        <v>43.5</v>
      </c>
      <c r="N292" s="99" t="inlineStr">
        <is>
          <t>N</t>
        </is>
      </c>
      <c r="O292" s="99" t="n">
        <v>100.11</v>
      </c>
      <c r="P292" s="99" t="inlineStr">
        <is>
          <t>N</t>
        </is>
      </c>
      <c r="Q292" s="99" t="inlineStr">
        <is>
          <t>N/A</t>
        </is>
      </c>
      <c r="R292" s="99" t="inlineStr">
        <is>
          <t>N</t>
        </is>
      </c>
      <c r="S292" s="99" t="n">
        <v>3.8</v>
      </c>
      <c r="T292" s="99" t="n">
        <v>-5.2</v>
      </c>
      <c r="U292" s="99" t="inlineStr">
        <is>
          <t>N</t>
        </is>
      </c>
      <c r="V292" s="99" t="n">
        <v>51</v>
      </c>
      <c r="W292" s="99" t="n">
        <v>53.3</v>
      </c>
      <c r="X292" s="99" t="n">
        <v>26.88</v>
      </c>
      <c r="Y292" s="99" t="n">
        <v>-0.2</v>
      </c>
      <c r="Z292" s="99" t="n">
        <v>3</v>
      </c>
      <c r="AA292" s="94" t="inlineStr">
        <is>
          <t>AVOID</t>
        </is>
      </c>
    </row>
    <row r="293">
      <c r="A293" s="97" t="inlineStr">
        <is>
          <t>CARBORUNIV</t>
        </is>
      </c>
      <c r="B293" s="97" t="inlineStr">
        <is>
          <t>Carborundum Universal Ltd.</t>
        </is>
      </c>
      <c r="C293" s="97" t="inlineStr">
        <is>
          <t>Capital Goods</t>
        </is>
      </c>
      <c r="D293" s="97" t="inlineStr">
        <is>
          <t>Smallcap</t>
        </is>
      </c>
      <c r="E293" s="97" t="n">
        <v>1064.3</v>
      </c>
      <c r="F293" s="97" t="n">
        <v>0.78</v>
      </c>
      <c r="G293" s="97" t="n">
        <v>110297</v>
      </c>
      <c r="H293" s="97" t="n">
        <v>0.61</v>
      </c>
      <c r="I293" s="97" t="n">
        <v>20274</v>
      </c>
      <c r="J293" s="97" t="inlineStr">
        <is>
          <t>Y</t>
        </is>
      </c>
      <c r="K293" s="97" t="inlineStr">
        <is>
          <t>N</t>
        </is>
      </c>
      <c r="L293" s="97" t="inlineStr">
        <is>
          <t>Y</t>
        </is>
      </c>
      <c r="M293" s="97" t="n">
        <v>31</v>
      </c>
      <c r="N293" s="97" t="inlineStr">
        <is>
          <t>N</t>
        </is>
      </c>
      <c r="O293" s="97" t="n">
        <v>38.31</v>
      </c>
      <c r="P293" s="97" t="inlineStr">
        <is>
          <t>N</t>
        </is>
      </c>
      <c r="Q293" s="97" t="inlineStr">
        <is>
          <t>N/A</t>
        </is>
      </c>
      <c r="R293" s="97" t="inlineStr">
        <is>
          <t>N</t>
        </is>
      </c>
      <c r="S293" s="97" t="n">
        <v>-5.9</v>
      </c>
      <c r="T293" s="97" t="n">
        <v>9.6</v>
      </c>
      <c r="U293" s="97" t="inlineStr">
        <is>
          <t>Y</t>
        </is>
      </c>
      <c r="V293" s="97" t="n">
        <v>103.1</v>
      </c>
      <c r="W293" s="97" t="n">
        <v>4.4</v>
      </c>
      <c r="X293" s="97" t="n">
        <v>10.29</v>
      </c>
      <c r="Y293" s="97" t="n">
        <v>-123.2</v>
      </c>
      <c r="Z293" s="97" t="n">
        <v>3</v>
      </c>
      <c r="AA293" s="92" t="inlineStr">
        <is>
          <t>AVOID</t>
        </is>
      </c>
    </row>
    <row r="294">
      <c r="A294" s="99" t="inlineStr">
        <is>
          <t>CHOLAHLDNG</t>
        </is>
      </c>
      <c r="B294" s="99" t="inlineStr">
        <is>
          <t>Cholamandalam Financial Holdings Ltd.</t>
        </is>
      </c>
      <c r="C294" s="99" t="inlineStr">
        <is>
          <t>Financial Services</t>
        </is>
      </c>
      <c r="D294" s="99" t="inlineStr">
        <is>
          <t>Smallcap</t>
        </is>
      </c>
      <c r="E294" s="99" t="n">
        <v>1516.7</v>
      </c>
      <c r="F294" s="99" t="n">
        <v>0.05</v>
      </c>
      <c r="G294" s="99" t="n">
        <v>68574</v>
      </c>
      <c r="H294" s="99" t="n">
        <v>0.41</v>
      </c>
      <c r="I294" s="99" t="n">
        <v>28480</v>
      </c>
      <c r="J294" s="99" t="inlineStr">
        <is>
          <t>Y</t>
        </is>
      </c>
      <c r="K294" s="99" t="inlineStr">
        <is>
          <t>N</t>
        </is>
      </c>
      <c r="L294" s="99" t="inlineStr">
        <is>
          <t>N</t>
        </is>
      </c>
      <c r="M294" s="99" t="n">
        <v>15.3</v>
      </c>
      <c r="N294" s="99" t="inlineStr">
        <is>
          <t>N</t>
        </is>
      </c>
      <c r="O294" s="99" t="n">
        <v>39.69</v>
      </c>
      <c r="P294" s="99" t="inlineStr">
        <is>
          <t>N</t>
        </is>
      </c>
      <c r="Q294" s="99" t="inlineStr">
        <is>
          <t>N/A</t>
        </is>
      </c>
      <c r="R294" s="99" t="inlineStr">
        <is>
          <t>N</t>
        </is>
      </c>
      <c r="S294" s="99" t="n">
        <v>-7.2</v>
      </c>
      <c r="T294" s="99" t="n">
        <v>-1.5</v>
      </c>
      <c r="U294" s="99" t="inlineStr">
        <is>
          <t>N</t>
        </is>
      </c>
      <c r="V294" s="99" t="n">
        <v>11.7</v>
      </c>
      <c r="W294" s="99" t="n">
        <v>18</v>
      </c>
      <c r="X294" s="99" t="n">
        <v>623.16</v>
      </c>
      <c r="Y294" s="99" t="n">
        <v>9.800000000000001</v>
      </c>
      <c r="Z294" s="99" t="n">
        <v>3</v>
      </c>
      <c r="AA294" s="94" t="inlineStr">
        <is>
          <t>AVOID</t>
        </is>
      </c>
    </row>
    <row r="295">
      <c r="A295" s="97" t="inlineStr">
        <is>
          <t>CLEAN</t>
        </is>
      </c>
      <c r="B295" s="97" t="inlineStr">
        <is>
          <t>Clean Science and Technology Ltd.</t>
        </is>
      </c>
      <c r="C295" s="97" t="inlineStr">
        <is>
          <t>Chemicals</t>
        </is>
      </c>
      <c r="D295" s="97" t="inlineStr">
        <is>
          <t>Smallcap</t>
        </is>
      </c>
      <c r="E295" s="97" t="n">
        <v>721</v>
      </c>
      <c r="F295" s="97" t="n">
        <v>-1.08</v>
      </c>
      <c r="G295" s="97" t="n">
        <v>135581</v>
      </c>
      <c r="H295" s="97" t="n">
        <v>0.5600000000000001</v>
      </c>
      <c r="I295" s="97" t="n">
        <v>7663</v>
      </c>
      <c r="J295" s="97" t="inlineStr">
        <is>
          <t>Y</t>
        </is>
      </c>
      <c r="K295" s="97" t="inlineStr">
        <is>
          <t>N</t>
        </is>
      </c>
      <c r="L295" s="97" t="inlineStr">
        <is>
          <t>N</t>
        </is>
      </c>
      <c r="M295" s="97" t="n">
        <v>30.9</v>
      </c>
      <c r="N295" s="97" t="inlineStr">
        <is>
          <t>N</t>
        </is>
      </c>
      <c r="O295" s="97" t="n">
        <v>25.01</v>
      </c>
      <c r="P295" s="97" t="inlineStr">
        <is>
          <t>N</t>
        </is>
      </c>
      <c r="Q295" s="97" t="inlineStr">
        <is>
          <t>N/A</t>
        </is>
      </c>
      <c r="R295" s="97" t="inlineStr">
        <is>
          <t>N</t>
        </is>
      </c>
      <c r="S295" s="97" t="n">
        <v>-6.4</v>
      </c>
      <c r="T295" s="97" t="n">
        <v>-11.8</v>
      </c>
      <c r="U295" s="97" t="inlineStr">
        <is>
          <t>N</t>
        </is>
      </c>
      <c r="V295" s="97" t="n">
        <v>33.3</v>
      </c>
      <c r="W295" s="97" t="n">
        <v>15.3</v>
      </c>
      <c r="X295" s="97" t="n">
        <v>0.14</v>
      </c>
      <c r="Y295" s="97" t="n">
        <v>27</v>
      </c>
      <c r="Z295" s="97" t="n">
        <v>3</v>
      </c>
      <c r="AA295" s="92" t="inlineStr">
        <is>
          <t>AVOID</t>
        </is>
      </c>
    </row>
    <row r="296">
      <c r="A296" s="99" t="inlineStr">
        <is>
          <t>CONCORDBIO</t>
        </is>
      </c>
      <c r="B296" s="99" t="inlineStr">
        <is>
          <t>Concord Biotech Ltd.</t>
        </is>
      </c>
      <c r="C296" s="99" t="inlineStr">
        <is>
          <t>Healthcare</t>
        </is>
      </c>
      <c r="D296" s="99" t="inlineStr">
        <is>
          <t>Smallcap</t>
        </is>
      </c>
      <c r="E296" s="99" t="n">
        <v>1248.5</v>
      </c>
      <c r="F296" s="99" t="n">
        <v>-0.99</v>
      </c>
      <c r="G296" s="99" t="n">
        <v>50664</v>
      </c>
      <c r="H296" s="99" t="n">
        <v>0.78</v>
      </c>
      <c r="I296" s="99" t="n">
        <v>13061</v>
      </c>
      <c r="J296" s="99" t="inlineStr">
        <is>
          <t>Y</t>
        </is>
      </c>
      <c r="K296" s="99" t="inlineStr">
        <is>
          <t>N</t>
        </is>
      </c>
      <c r="L296" s="99" t="inlineStr">
        <is>
          <t>N</t>
        </is>
      </c>
      <c r="M296" s="99" t="n">
        <v>44.5</v>
      </c>
      <c r="N296" s="99" t="inlineStr">
        <is>
          <t>N</t>
        </is>
      </c>
      <c r="O296" s="99" t="n">
        <v>44.65</v>
      </c>
      <c r="P296" s="99" t="inlineStr">
        <is>
          <t>N</t>
        </is>
      </c>
      <c r="Q296" s="99" t="inlineStr">
        <is>
          <t>N/A</t>
        </is>
      </c>
      <c r="R296" s="99" t="inlineStr">
        <is>
          <t>N</t>
        </is>
      </c>
      <c r="S296" s="99" t="n">
        <v>-1.3</v>
      </c>
      <c r="T296" s="99" t="n">
        <v>11.3</v>
      </c>
      <c r="U296" s="99" t="inlineStr">
        <is>
          <t>Y</t>
        </is>
      </c>
      <c r="V296" s="99" t="n">
        <v>50.5</v>
      </c>
      <c r="W296" s="99" t="n">
        <v>13.5</v>
      </c>
      <c r="X296" s="99" t="n">
        <v>0.12</v>
      </c>
      <c r="Y296" s="99" t="n">
        <v>39.5</v>
      </c>
      <c r="Z296" s="99" t="n">
        <v>3</v>
      </c>
      <c r="AA296" s="94" t="inlineStr">
        <is>
          <t>AVOID</t>
        </is>
      </c>
    </row>
    <row r="297">
      <c r="A297" s="97" t="inlineStr">
        <is>
          <t>COROMANDEL</t>
        </is>
      </c>
      <c r="B297" s="97" t="inlineStr">
        <is>
          <t>Coromandel International Ltd.</t>
        </is>
      </c>
      <c r="C297" s="97" t="inlineStr">
        <is>
          <t>Chemicals</t>
        </is>
      </c>
      <c r="D297" s="97" t="inlineStr">
        <is>
          <t>Large/Midcap</t>
        </is>
      </c>
      <c r="E297" s="97" t="n">
        <v>1980.8</v>
      </c>
      <c r="F297" s="97" t="n">
        <v>-2.08</v>
      </c>
      <c r="G297" s="97" t="n">
        <v>182304</v>
      </c>
      <c r="H297" s="97" t="n">
        <v>1.06</v>
      </c>
      <c r="I297" s="97" t="n">
        <v>58334</v>
      </c>
      <c r="J297" s="97" t="inlineStr">
        <is>
          <t>Y</t>
        </is>
      </c>
      <c r="K297" s="97" t="inlineStr">
        <is>
          <t>Y</t>
        </is>
      </c>
      <c r="L297" s="97" t="inlineStr">
        <is>
          <t>N</t>
        </is>
      </c>
      <c r="M297" s="97" t="n">
        <v>39.4</v>
      </c>
      <c r="N297" s="97" t="inlineStr">
        <is>
          <t>N</t>
        </is>
      </c>
      <c r="O297" s="97" t="n">
        <v>52.82</v>
      </c>
      <c r="P297" s="97" t="inlineStr">
        <is>
          <t>N</t>
        </is>
      </c>
      <c r="Q297" s="97" t="inlineStr">
        <is>
          <t>N/A</t>
        </is>
      </c>
      <c r="R297" s="97" t="inlineStr">
        <is>
          <t>N</t>
        </is>
      </c>
      <c r="S297" s="97" t="n">
        <v>0.2</v>
      </c>
      <c r="T297" s="97" t="n">
        <v>-0.7</v>
      </c>
      <c r="U297" s="97" t="inlineStr">
        <is>
          <t>N</t>
        </is>
      </c>
      <c r="V297" s="97" t="n">
        <v>31.8</v>
      </c>
      <c r="W297" s="97" t="inlineStr">
        <is>
          <t>N/A</t>
        </is>
      </c>
      <c r="X297" s="97" t="n">
        <v>11.47</v>
      </c>
      <c r="Y297" s="97" t="n">
        <v>172.2</v>
      </c>
      <c r="Z297" s="97" t="n">
        <v>3</v>
      </c>
      <c r="AA297" s="92" t="inlineStr">
        <is>
          <t>AVOID</t>
        </is>
      </c>
    </row>
    <row r="298">
      <c r="A298" s="99" t="inlineStr">
        <is>
          <t>DELHIVERY</t>
        </is>
      </c>
      <c r="B298" s="99" t="inlineStr">
        <is>
          <t>Delhivery Ltd.</t>
        </is>
      </c>
      <c r="C298" s="99" t="inlineStr">
        <is>
          <t>Services</t>
        </is>
      </c>
      <c r="D298" s="99" t="inlineStr">
        <is>
          <t>Smallcap</t>
        </is>
      </c>
      <c r="E298" s="99" t="n">
        <v>462.55</v>
      </c>
      <c r="F298" s="99" t="n">
        <v>-0.62</v>
      </c>
      <c r="G298" s="99" t="n">
        <v>2176831</v>
      </c>
      <c r="H298" s="99" t="n">
        <v>0.66</v>
      </c>
      <c r="I298" s="99" t="n">
        <v>34648</v>
      </c>
      <c r="J298" s="99" t="inlineStr">
        <is>
          <t>Y</t>
        </is>
      </c>
      <c r="K298" s="99" t="inlineStr">
        <is>
          <t>N</t>
        </is>
      </c>
      <c r="L298" s="99" t="inlineStr">
        <is>
          <t>Y</t>
        </is>
      </c>
      <c r="M298" s="99" t="n">
        <v>19.7</v>
      </c>
      <c r="N298" s="99" t="inlineStr">
        <is>
          <t>N</t>
        </is>
      </c>
      <c r="O298" s="99" t="n">
        <v>13.91</v>
      </c>
      <c r="P298" s="99" t="inlineStr">
        <is>
          <t>N</t>
        </is>
      </c>
      <c r="Q298" s="99" t="inlineStr">
        <is>
          <t>N/A</t>
        </is>
      </c>
      <c r="R298" s="99" t="inlineStr">
        <is>
          <t>N</t>
        </is>
      </c>
      <c r="S298" s="99" t="n">
        <v>0.6</v>
      </c>
      <c r="T298" s="99" t="n">
        <v>-0.3</v>
      </c>
      <c r="U298" s="99" t="inlineStr">
        <is>
          <t>N</t>
        </is>
      </c>
      <c r="V298" s="99" t="n">
        <v>232.4</v>
      </c>
      <c r="W298" s="99" t="n">
        <v>1.6</v>
      </c>
      <c r="X298" s="99" t="n">
        <v>15.1</v>
      </c>
      <c r="Y298" s="99" t="n">
        <v>82.90000000000001</v>
      </c>
      <c r="Z298" s="99" t="n">
        <v>3</v>
      </c>
      <c r="AA298" s="94" t="inlineStr">
        <is>
          <t>AVOID</t>
        </is>
      </c>
    </row>
    <row r="299">
      <c r="A299" s="97" t="inlineStr">
        <is>
          <t>DEVYANI</t>
        </is>
      </c>
      <c r="B299" s="97" t="inlineStr">
        <is>
          <t>Devyani International Ltd.</t>
        </is>
      </c>
      <c r="C299" s="97" t="inlineStr">
        <is>
          <t>Consumer Services</t>
        </is>
      </c>
      <c r="D299" s="97" t="inlineStr">
        <is>
          <t>Smallcap</t>
        </is>
      </c>
      <c r="E299" s="97" t="n">
        <v>112.3</v>
      </c>
      <c r="F299" s="97" t="n">
        <v>2.21</v>
      </c>
      <c r="G299" s="97" t="n">
        <v>3027081</v>
      </c>
      <c r="H299" s="97" t="n">
        <v>3.01</v>
      </c>
      <c r="I299" s="97" t="n">
        <v>13846</v>
      </c>
      <c r="J299" s="97" t="inlineStr">
        <is>
          <t>Y</t>
        </is>
      </c>
      <c r="K299" s="97" t="inlineStr">
        <is>
          <t>N</t>
        </is>
      </c>
      <c r="L299" s="97" t="inlineStr">
        <is>
          <t>N</t>
        </is>
      </c>
      <c r="M299" s="97" t="n">
        <v>45.1</v>
      </c>
      <c r="N299" s="97" t="inlineStr">
        <is>
          <t>N</t>
        </is>
      </c>
      <c r="O299" s="97" t="n">
        <v>3.01</v>
      </c>
      <c r="P299" s="97" t="inlineStr">
        <is>
          <t>Y</t>
        </is>
      </c>
      <c r="Q299" s="97" t="inlineStr">
        <is>
          <t>N/A</t>
        </is>
      </c>
      <c r="R299" s="97" t="inlineStr">
        <is>
          <t>N</t>
        </is>
      </c>
      <c r="S299" s="97" t="n">
        <v>0.6</v>
      </c>
      <c r="T299" s="97" t="n">
        <v>-11.4</v>
      </c>
      <c r="U299" s="97" t="inlineStr">
        <is>
          <t>N</t>
        </is>
      </c>
      <c r="V299" s="97" t="inlineStr">
        <is>
          <t>N/A</t>
        </is>
      </c>
      <c r="W299" s="97" t="n">
        <v>-2.6</v>
      </c>
      <c r="X299" s="97" t="n">
        <v>203.33</v>
      </c>
      <c r="Y299" s="97" t="n">
        <v>3.3</v>
      </c>
      <c r="Z299" s="97" t="n">
        <v>3</v>
      </c>
      <c r="AA299" s="92" t="inlineStr">
        <is>
          <t>AVOID</t>
        </is>
      </c>
    </row>
    <row r="300">
      <c r="A300" s="99" t="inlineStr">
        <is>
          <t>DRREDDY</t>
        </is>
      </c>
      <c r="B300" s="99" t="inlineStr">
        <is>
          <t>Dr. Reddy's Laboratories Ltd.</t>
        </is>
      </c>
      <c r="C300" s="99" t="inlineStr">
        <is>
          <t>Healthcare</t>
        </is>
      </c>
      <c r="D300" s="99" t="inlineStr">
        <is>
          <t>Large/Midcap</t>
        </is>
      </c>
      <c r="E300" s="99" t="n">
        <v>1151.7</v>
      </c>
      <c r="F300" s="99" t="n">
        <v>-1.25</v>
      </c>
      <c r="G300" s="99" t="n">
        <v>4750512</v>
      </c>
      <c r="H300" s="99" t="n">
        <v>1.25</v>
      </c>
      <c r="I300" s="99" t="n">
        <v>95937</v>
      </c>
      <c r="J300" s="99" t="inlineStr">
        <is>
          <t>Y</t>
        </is>
      </c>
      <c r="K300" s="99" t="inlineStr">
        <is>
          <t>N</t>
        </is>
      </c>
      <c r="L300" s="99" t="inlineStr">
        <is>
          <t>N</t>
        </is>
      </c>
      <c r="M300" s="99" t="n">
        <v>9.300000000000001</v>
      </c>
      <c r="N300" s="99" t="inlineStr">
        <is>
          <t>N</t>
        </is>
      </c>
      <c r="O300" s="99" t="n">
        <v>36.15</v>
      </c>
      <c r="P300" s="99" t="inlineStr">
        <is>
          <t>Y</t>
        </is>
      </c>
      <c r="Q300" s="99" t="inlineStr">
        <is>
          <t>N/A</t>
        </is>
      </c>
      <c r="R300" s="99" t="inlineStr">
        <is>
          <t>N</t>
        </is>
      </c>
      <c r="S300" s="99" t="n">
        <v>-13.1</v>
      </c>
      <c r="T300" s="99" t="n">
        <v>-12.3</v>
      </c>
      <c r="U300" s="99" t="inlineStr">
        <is>
          <t>N</t>
        </is>
      </c>
      <c r="V300" s="99" t="n">
        <v>29</v>
      </c>
      <c r="W300" s="99" t="n">
        <v>8.800000000000001</v>
      </c>
      <c r="X300" s="99" t="n">
        <v>18.61</v>
      </c>
      <c r="Y300" s="99" t="n">
        <v>100.8</v>
      </c>
      <c r="Z300" s="99" t="n">
        <v>3</v>
      </c>
      <c r="AA300" s="94" t="inlineStr">
        <is>
          <t>AVOID</t>
        </is>
      </c>
    </row>
    <row r="301">
      <c r="A301" s="97" t="inlineStr">
        <is>
          <t>EIHOTEL</t>
        </is>
      </c>
      <c r="B301" s="97" t="inlineStr">
        <is>
          <t>EIH Ltd.</t>
        </is>
      </c>
      <c r="C301" s="97" t="inlineStr">
        <is>
          <t>Consumer Services</t>
        </is>
      </c>
      <c r="D301" s="97" t="inlineStr">
        <is>
          <t>Smallcap</t>
        </is>
      </c>
      <c r="E301" s="97" t="n">
        <v>326.4</v>
      </c>
      <c r="F301" s="97" t="n">
        <v>1.57</v>
      </c>
      <c r="G301" s="97" t="n">
        <v>156876</v>
      </c>
      <c r="H301" s="97" t="n">
        <v>1.26</v>
      </c>
      <c r="I301" s="97" t="n">
        <v>20412</v>
      </c>
      <c r="J301" s="97" t="inlineStr">
        <is>
          <t>Y</t>
        </is>
      </c>
      <c r="K301" s="97" t="inlineStr">
        <is>
          <t>Y</t>
        </is>
      </c>
      <c r="L301" s="97" t="inlineStr">
        <is>
          <t>N</t>
        </is>
      </c>
      <c r="M301" s="97" t="n">
        <v>44</v>
      </c>
      <c r="N301" s="97" t="inlineStr">
        <is>
          <t>N</t>
        </is>
      </c>
      <c r="O301" s="97" t="n">
        <v>10.88</v>
      </c>
      <c r="P301" s="97" t="inlineStr">
        <is>
          <t>N</t>
        </is>
      </c>
      <c r="Q301" s="97" t="inlineStr">
        <is>
          <t>N/A</t>
        </is>
      </c>
      <c r="R301" s="97" t="inlineStr">
        <is>
          <t>N</t>
        </is>
      </c>
      <c r="S301" s="97" t="n">
        <v>1</v>
      </c>
      <c r="T301" s="97" t="n">
        <v>1.5</v>
      </c>
      <c r="U301" s="97" t="inlineStr">
        <is>
          <t>Y</t>
        </is>
      </c>
      <c r="V301" s="97" t="n">
        <v>32.5</v>
      </c>
      <c r="W301" s="97" t="n">
        <v>12.9</v>
      </c>
      <c r="X301" s="97" t="n">
        <v>4.67</v>
      </c>
      <c r="Y301" s="97" t="n">
        <v>-2.2</v>
      </c>
      <c r="Z301" s="97" t="n">
        <v>3</v>
      </c>
      <c r="AA301" s="92" t="inlineStr">
        <is>
          <t>AVOID</t>
        </is>
      </c>
    </row>
    <row r="302">
      <c r="A302" s="99" t="inlineStr">
        <is>
          <t>EMAMILTD</t>
        </is>
      </c>
      <c r="B302" s="99" t="inlineStr">
        <is>
          <t>Emami Ltd.</t>
        </is>
      </c>
      <c r="C302" s="99" t="inlineStr">
        <is>
          <t>Fast Moving Consumer Goods</t>
        </is>
      </c>
      <c r="D302" s="99" t="inlineStr">
        <is>
          <t>Smallcap</t>
        </is>
      </c>
      <c r="E302" s="99" t="n">
        <v>407.9</v>
      </c>
      <c r="F302" s="99" t="n">
        <v>-2.01</v>
      </c>
      <c r="G302" s="99" t="n">
        <v>694321</v>
      </c>
      <c r="H302" s="99" t="n">
        <v>0.84</v>
      </c>
      <c r="I302" s="99" t="n">
        <v>17805</v>
      </c>
      <c r="J302" s="99" t="inlineStr">
        <is>
          <t>Y</t>
        </is>
      </c>
      <c r="K302" s="99" t="inlineStr">
        <is>
          <t>Y</t>
        </is>
      </c>
      <c r="L302" s="99" t="inlineStr">
        <is>
          <t>N</t>
        </is>
      </c>
      <c r="M302" s="99" t="n">
        <v>44.8</v>
      </c>
      <c r="N302" s="99" t="inlineStr">
        <is>
          <t>N</t>
        </is>
      </c>
      <c r="O302" s="99" t="n">
        <v>11.73</v>
      </c>
      <c r="P302" s="99" t="inlineStr">
        <is>
          <t>N</t>
        </is>
      </c>
      <c r="Q302" s="99" t="inlineStr">
        <is>
          <t>N/A</t>
        </is>
      </c>
      <c r="R302" s="99" t="inlineStr">
        <is>
          <t>N</t>
        </is>
      </c>
      <c r="S302" s="99" t="n">
        <v>3.8</v>
      </c>
      <c r="T302" s="99" t="n">
        <v>-10.4</v>
      </c>
      <c r="U302" s="99" t="inlineStr">
        <is>
          <t>N</t>
        </is>
      </c>
      <c r="V302" s="99" t="n">
        <v>23</v>
      </c>
      <c r="W302" s="99" t="n">
        <v>27.6</v>
      </c>
      <c r="X302" s="99" t="n">
        <v>5.54</v>
      </c>
      <c r="Y302" s="99" t="n">
        <v>-55.2</v>
      </c>
      <c r="Z302" s="99" t="n">
        <v>3</v>
      </c>
      <c r="AA302" s="94" t="inlineStr">
        <is>
          <t>AVOID</t>
        </is>
      </c>
    </row>
    <row r="303">
      <c r="A303" s="97" t="inlineStr">
        <is>
          <t>EMMVEE</t>
        </is>
      </c>
      <c r="B303" s="97" t="inlineStr">
        <is>
          <t>Emmvee Photovoltaic Power Ltd.</t>
        </is>
      </c>
      <c r="C303" s="97" t="inlineStr">
        <is>
          <t>Capital Goods</t>
        </is>
      </c>
      <c r="D303" s="97" t="inlineStr">
        <is>
          <t>Smallcap</t>
        </is>
      </c>
      <c r="E303" s="97" t="n">
        <v>331</v>
      </c>
      <c r="F303" s="97" t="n">
        <v>3.52</v>
      </c>
      <c r="G303" s="97" t="n">
        <v>2762319</v>
      </c>
      <c r="H303" s="97" t="n">
        <v>1.12</v>
      </c>
      <c r="I303" s="97" t="n">
        <v>22917</v>
      </c>
      <c r="J303" s="97" t="inlineStr">
        <is>
          <t>Y</t>
        </is>
      </c>
      <c r="K303" s="97" t="inlineStr">
        <is>
          <t>Y</t>
        </is>
      </c>
      <c r="L303" s="97" t="inlineStr">
        <is>
          <t>N/A</t>
        </is>
      </c>
      <c r="M303" s="97" t="n">
        <v>42.4</v>
      </c>
      <c r="N303" s="97" t="inlineStr">
        <is>
          <t>N</t>
        </is>
      </c>
      <c r="O303" s="97" t="n">
        <v>15.31</v>
      </c>
      <c r="P303" s="97" t="inlineStr">
        <is>
          <t>N</t>
        </is>
      </c>
      <c r="Q303" s="97" t="inlineStr">
        <is>
          <t>N/A</t>
        </is>
      </c>
      <c r="R303" s="97" t="inlineStr">
        <is>
          <t>N</t>
        </is>
      </c>
      <c r="S303" s="97" t="n">
        <v>-0.8</v>
      </c>
      <c r="T303" s="97" t="n">
        <v>14.4</v>
      </c>
      <c r="U303" s="97" t="inlineStr">
        <is>
          <t>Y</t>
        </is>
      </c>
      <c r="V303" s="97" t="n">
        <v>18</v>
      </c>
      <c r="W303" s="97" t="inlineStr">
        <is>
          <t>N/A</t>
        </is>
      </c>
      <c r="X303" s="97" t="n">
        <v>9.74</v>
      </c>
      <c r="Y303" s="97" t="n">
        <v>-3.1</v>
      </c>
      <c r="Z303" s="97" t="n">
        <v>3</v>
      </c>
      <c r="AA303" s="92" t="inlineStr">
        <is>
          <t>AVOID</t>
        </is>
      </c>
    </row>
    <row r="304">
      <c r="A304" s="99" t="inlineStr">
        <is>
          <t>ENGINERSIN</t>
        </is>
      </c>
      <c r="B304" s="99" t="inlineStr">
        <is>
          <t>Engineers India Ltd.</t>
        </is>
      </c>
      <c r="C304" s="99" t="inlineStr">
        <is>
          <t>Construction</t>
        </is>
      </c>
      <c r="D304" s="99" t="inlineStr">
        <is>
          <t>Smallcap</t>
        </is>
      </c>
      <c r="E304" s="99" t="n">
        <v>225.21</v>
      </c>
      <c r="F304" s="99" t="n">
        <v>0.43</v>
      </c>
      <c r="G304" s="99" t="n">
        <v>856408</v>
      </c>
      <c r="H304" s="99" t="n">
        <v>1.22</v>
      </c>
      <c r="I304" s="99" t="n">
        <v>12658</v>
      </c>
      <c r="J304" s="99" t="inlineStr">
        <is>
          <t>Y</t>
        </is>
      </c>
      <c r="K304" s="99" t="inlineStr">
        <is>
          <t>N</t>
        </is>
      </c>
      <c r="L304" s="99" t="inlineStr">
        <is>
          <t>Y</t>
        </is>
      </c>
      <c r="M304" s="99" t="n">
        <v>26.5</v>
      </c>
      <c r="N304" s="99" t="inlineStr">
        <is>
          <t>N</t>
        </is>
      </c>
      <c r="O304" s="99" t="n">
        <v>6.15</v>
      </c>
      <c r="P304" s="99" t="inlineStr">
        <is>
          <t>N</t>
        </is>
      </c>
      <c r="Q304" s="99" t="inlineStr">
        <is>
          <t>N/A</t>
        </is>
      </c>
      <c r="R304" s="99" t="inlineStr">
        <is>
          <t>N</t>
        </is>
      </c>
      <c r="S304" s="99" t="n">
        <v>-9.5</v>
      </c>
      <c r="T304" s="99" t="n">
        <v>-9.699999999999999</v>
      </c>
      <c r="U304" s="99" t="inlineStr">
        <is>
          <t>N</t>
        </is>
      </c>
      <c r="V304" s="99" t="n">
        <v>18.3</v>
      </c>
      <c r="W304" s="99" t="n">
        <v>23.8</v>
      </c>
      <c r="X304" s="99" t="n">
        <v>0.53</v>
      </c>
      <c r="Y304" s="99" t="n">
        <v>-43.7</v>
      </c>
      <c r="Z304" s="99" t="n">
        <v>3</v>
      </c>
      <c r="AA304" s="94" t="inlineStr">
        <is>
          <t>AVOID</t>
        </is>
      </c>
    </row>
    <row r="305">
      <c r="A305" s="97" t="inlineStr">
        <is>
          <t>GALLANTT</t>
        </is>
      </c>
      <c r="B305" s="97" t="inlineStr">
        <is>
          <t>Gallantt Ispat Ltd.</t>
        </is>
      </c>
      <c r="C305" s="97" t="inlineStr">
        <is>
          <t>Capital Goods</t>
        </is>
      </c>
      <c r="D305" s="97" t="inlineStr">
        <is>
          <t>Smallcap</t>
        </is>
      </c>
      <c r="E305" s="97" t="n">
        <v>521.2</v>
      </c>
      <c r="F305" s="97" t="n">
        <v>-3.08</v>
      </c>
      <c r="G305" s="97" t="n">
        <v>652399</v>
      </c>
      <c r="H305" s="97" t="n">
        <v>1.69</v>
      </c>
      <c r="I305" s="97" t="n">
        <v>12576</v>
      </c>
      <c r="J305" s="97" t="inlineStr">
        <is>
          <t>Y</t>
        </is>
      </c>
      <c r="K305" s="97" t="inlineStr">
        <is>
          <t>N</t>
        </is>
      </c>
      <c r="L305" s="97" t="inlineStr">
        <is>
          <t>N</t>
        </is>
      </c>
      <c r="M305" s="97" t="n">
        <v>20.8</v>
      </c>
      <c r="N305" s="97" t="inlineStr">
        <is>
          <t>N</t>
        </is>
      </c>
      <c r="O305" s="97" t="n">
        <v>28.8</v>
      </c>
      <c r="P305" s="97" t="inlineStr">
        <is>
          <t>Y</t>
        </is>
      </c>
      <c r="Q305" s="97" t="inlineStr">
        <is>
          <t>N/A</t>
        </is>
      </c>
      <c r="R305" s="97" t="inlineStr">
        <is>
          <t>N</t>
        </is>
      </c>
      <c r="S305" s="97" t="n">
        <v>-25.7</v>
      </c>
      <c r="T305" s="97" t="n">
        <v>-39.3</v>
      </c>
      <c r="U305" s="97" t="inlineStr">
        <is>
          <t>N</t>
        </is>
      </c>
      <c r="V305" s="97" t="n">
        <v>26</v>
      </c>
      <c r="W305" s="97" t="inlineStr">
        <is>
          <t>N/A</t>
        </is>
      </c>
      <c r="X305" s="97" t="inlineStr">
        <is>
          <t>N/A</t>
        </is>
      </c>
      <c r="Y305" s="97" t="n">
        <v>22.3</v>
      </c>
      <c r="Z305" s="97" t="n">
        <v>3</v>
      </c>
      <c r="AA305" s="92" t="inlineStr">
        <is>
          <t>AVOID</t>
        </is>
      </c>
    </row>
    <row r="306">
      <c r="A306" s="99" t="inlineStr">
        <is>
          <t>GRSE</t>
        </is>
      </c>
      <c r="B306" s="99" t="inlineStr">
        <is>
          <t>Garden Reach Shipbuilders &amp; Engineers Ltd.</t>
        </is>
      </c>
      <c r="C306" s="99" t="inlineStr">
        <is>
          <t>Capital Goods</t>
        </is>
      </c>
      <c r="D306" s="99" t="inlineStr">
        <is>
          <t>Smallcap</t>
        </is>
      </c>
      <c r="E306" s="99" t="n">
        <v>2565.8</v>
      </c>
      <c r="F306" s="99" t="n">
        <v>-0.33</v>
      </c>
      <c r="G306" s="99" t="n">
        <v>284650</v>
      </c>
      <c r="H306" s="99" t="n">
        <v>0.97</v>
      </c>
      <c r="I306" s="99" t="n">
        <v>29392</v>
      </c>
      <c r="J306" s="99" t="inlineStr">
        <is>
          <t>Y</t>
        </is>
      </c>
      <c r="K306" s="99" t="inlineStr">
        <is>
          <t>N</t>
        </is>
      </c>
      <c r="L306" s="99" t="inlineStr">
        <is>
          <t>N</t>
        </is>
      </c>
      <c r="M306" s="99" t="n">
        <v>25.5</v>
      </c>
      <c r="N306" s="99" t="inlineStr">
        <is>
          <t>N</t>
        </is>
      </c>
      <c r="O306" s="99" t="n">
        <v>55.06</v>
      </c>
      <c r="P306" s="99" t="inlineStr">
        <is>
          <t>N</t>
        </is>
      </c>
      <c r="Q306" s="99" t="inlineStr">
        <is>
          <t>N/A</t>
        </is>
      </c>
      <c r="R306" s="99" t="inlineStr">
        <is>
          <t>N</t>
        </is>
      </c>
      <c r="S306" s="99" t="n">
        <v>-4.8</v>
      </c>
      <c r="T306" s="99" t="n">
        <v>-16</v>
      </c>
      <c r="U306" s="99" t="inlineStr">
        <is>
          <t>N</t>
        </is>
      </c>
      <c r="V306" s="99" t="n">
        <v>42.7</v>
      </c>
      <c r="W306" s="99" t="n">
        <v>31.8</v>
      </c>
      <c r="X306" s="99" t="n">
        <v>1.42</v>
      </c>
      <c r="Y306" s="99" t="n">
        <v>42.1</v>
      </c>
      <c r="Z306" s="99" t="n">
        <v>3</v>
      </c>
      <c r="AA306" s="94" t="inlineStr">
        <is>
          <t>AVOID</t>
        </is>
      </c>
    </row>
    <row r="307">
      <c r="A307" s="97" t="inlineStr">
        <is>
          <t>GODREJCP</t>
        </is>
      </c>
      <c r="B307" s="97" t="inlineStr">
        <is>
          <t>Godrej Consumer Products Ltd.</t>
        </is>
      </c>
      <c r="C307" s="97" t="inlineStr">
        <is>
          <t>Fast Moving Consumer Goods</t>
        </is>
      </c>
      <c r="D307" s="97" t="inlineStr">
        <is>
          <t>Large/Midcap</t>
        </is>
      </c>
      <c r="E307" s="97" t="n">
        <v>1059.5</v>
      </c>
      <c r="F307" s="97" t="n">
        <v>0.09</v>
      </c>
      <c r="G307" s="97" t="n">
        <v>413015</v>
      </c>
      <c r="H307" s="97" t="n">
        <v>0.83</v>
      </c>
      <c r="I307" s="97" t="n">
        <v>108419</v>
      </c>
      <c r="J307" s="97" t="inlineStr">
        <is>
          <t>Y</t>
        </is>
      </c>
      <c r="K307" s="97" t="inlineStr">
        <is>
          <t>Y</t>
        </is>
      </c>
      <c r="L307" s="97" t="inlineStr">
        <is>
          <t>N</t>
        </is>
      </c>
      <c r="M307" s="97" t="n">
        <v>35</v>
      </c>
      <c r="N307" s="97" t="inlineStr">
        <is>
          <t>N</t>
        </is>
      </c>
      <c r="O307" s="97" t="n">
        <v>24.05</v>
      </c>
      <c r="P307" s="97" t="inlineStr">
        <is>
          <t>N</t>
        </is>
      </c>
      <c r="Q307" s="97" t="inlineStr">
        <is>
          <t>N/A</t>
        </is>
      </c>
      <c r="R307" s="97" t="inlineStr">
        <is>
          <t>N</t>
        </is>
      </c>
      <c r="S307" s="97" t="n">
        <v>3.5</v>
      </c>
      <c r="T307" s="97" t="n">
        <v>-1.8</v>
      </c>
      <c r="U307" s="97" t="inlineStr">
        <is>
          <t>N</t>
        </is>
      </c>
      <c r="V307" s="97" t="n">
        <v>58.2</v>
      </c>
      <c r="W307" s="97" t="n">
        <v>15.1</v>
      </c>
      <c r="X307" s="97" t="n">
        <v>34.9</v>
      </c>
      <c r="Y307" s="97" t="n">
        <v>-9.300000000000001</v>
      </c>
      <c r="Z307" s="97" t="n">
        <v>3</v>
      </c>
      <c r="AA307" s="92" t="inlineStr">
        <is>
          <t>AVOID</t>
        </is>
      </c>
    </row>
    <row r="308">
      <c r="A308" s="99" t="inlineStr">
        <is>
          <t>HDBFS</t>
        </is>
      </c>
      <c r="B308" s="99" t="inlineStr">
        <is>
          <t>HDB Financial Services Ltd.</t>
        </is>
      </c>
      <c r="C308" s="99" t="inlineStr">
        <is>
          <t>Financial Services</t>
        </is>
      </c>
      <c r="D308" s="99" t="inlineStr">
        <is>
          <t>Large/Midcap</t>
        </is>
      </c>
      <c r="E308" s="99" t="n">
        <v>691.5</v>
      </c>
      <c r="F308" s="99" t="n">
        <v>-0.1</v>
      </c>
      <c r="G308" s="99" t="n">
        <v>439241</v>
      </c>
      <c r="H308" s="99" t="n">
        <v>1.1</v>
      </c>
      <c r="I308" s="99" t="n">
        <v>57288</v>
      </c>
      <c r="J308" s="99" t="inlineStr">
        <is>
          <t>Y</t>
        </is>
      </c>
      <c r="K308" s="99" t="inlineStr">
        <is>
          <t>N</t>
        </is>
      </c>
      <c r="L308" s="99" t="inlineStr">
        <is>
          <t>N</t>
        </is>
      </c>
      <c r="M308" s="99" t="n">
        <v>29.4</v>
      </c>
      <c r="N308" s="99" t="inlineStr">
        <is>
          <t>N</t>
        </is>
      </c>
      <c r="O308" s="99" t="n">
        <v>19.11</v>
      </c>
      <c r="P308" s="99" t="inlineStr">
        <is>
          <t>N</t>
        </is>
      </c>
      <c r="Q308" s="99" t="inlineStr">
        <is>
          <t>N/A</t>
        </is>
      </c>
      <c r="R308" s="99" t="inlineStr">
        <is>
          <t>N</t>
        </is>
      </c>
      <c r="S308" s="99" t="n">
        <v>-5.9</v>
      </c>
      <c r="T308" s="99" t="n">
        <v>4.4</v>
      </c>
      <c r="U308" s="99" t="inlineStr">
        <is>
          <t>Y</t>
        </is>
      </c>
      <c r="V308" s="99" t="n">
        <v>20.7</v>
      </c>
      <c r="W308" s="99" t="inlineStr">
        <is>
          <t>N/A</t>
        </is>
      </c>
      <c r="X308" s="99" t="n">
        <v>484.31</v>
      </c>
      <c r="Y308" s="99" t="n">
        <v>4.6</v>
      </c>
      <c r="Z308" s="99" t="n">
        <v>3</v>
      </c>
      <c r="AA308" s="94" t="inlineStr">
        <is>
          <t>AVOID</t>
        </is>
      </c>
    </row>
    <row r="309">
      <c r="A309" s="97" t="inlineStr">
        <is>
          <t>HAVELLS</t>
        </is>
      </c>
      <c r="B309" s="97" t="inlineStr">
        <is>
          <t>Havells India Ltd.</t>
        </is>
      </c>
      <c r="C309" s="97" t="inlineStr">
        <is>
          <t>Consumer Durables</t>
        </is>
      </c>
      <c r="D309" s="97" t="inlineStr">
        <is>
          <t>Large/Midcap</t>
        </is>
      </c>
      <c r="E309" s="97" t="n">
        <v>1226.9</v>
      </c>
      <c r="F309" s="97" t="n">
        <v>1.41</v>
      </c>
      <c r="G309" s="97" t="n">
        <v>1065814</v>
      </c>
      <c r="H309" s="97" t="n">
        <v>1.03</v>
      </c>
      <c r="I309" s="97" t="n">
        <v>76996</v>
      </c>
      <c r="J309" s="97" t="inlineStr">
        <is>
          <t>Y</t>
        </is>
      </c>
      <c r="K309" s="97" t="inlineStr">
        <is>
          <t>Y</t>
        </is>
      </c>
      <c r="L309" s="97" t="inlineStr">
        <is>
          <t>N</t>
        </is>
      </c>
      <c r="M309" s="97" t="n">
        <v>61.8</v>
      </c>
      <c r="N309" s="97" t="inlineStr">
        <is>
          <t>Y</t>
        </is>
      </c>
      <c r="O309" s="97" t="n">
        <v>33.69</v>
      </c>
      <c r="P309" s="97" t="inlineStr">
        <is>
          <t>N</t>
        </is>
      </c>
      <c r="Q309" s="97" t="inlineStr">
        <is>
          <t>N/A</t>
        </is>
      </c>
      <c r="R309" s="97" t="inlineStr">
        <is>
          <t>N</t>
        </is>
      </c>
      <c r="S309" s="97" t="n">
        <v>5.2</v>
      </c>
      <c r="T309" s="97" t="n">
        <v>-1</v>
      </c>
      <c r="U309" s="97" t="inlineStr">
        <is>
          <t>N</t>
        </is>
      </c>
      <c r="V309" s="97" t="n">
        <v>47.2</v>
      </c>
      <c r="W309" s="97" t="inlineStr">
        <is>
          <t>N/A</t>
        </is>
      </c>
      <c r="X309" s="97" t="n">
        <v>2.8</v>
      </c>
      <c r="Y309" s="97" t="n">
        <v>-59.8</v>
      </c>
      <c r="Z309" s="97" t="n">
        <v>3</v>
      </c>
      <c r="AA309" s="92" t="inlineStr">
        <is>
          <t>AVOID</t>
        </is>
      </c>
    </row>
    <row r="310">
      <c r="A310" s="99" t="inlineStr">
        <is>
          <t>HINDALCO</t>
        </is>
      </c>
      <c r="B310" s="99" t="inlineStr">
        <is>
          <t>Hindalco Industries Ltd.</t>
        </is>
      </c>
      <c r="C310" s="99" t="inlineStr">
        <is>
          <t>Metals &amp; Mining</t>
        </is>
      </c>
      <c r="D310" s="99" t="inlineStr">
        <is>
          <t>Large/Midcap</t>
        </is>
      </c>
      <c r="E310" s="99" t="n">
        <v>942.8</v>
      </c>
      <c r="F310" s="99" t="n">
        <v>-1.34</v>
      </c>
      <c r="G310" s="99" t="n">
        <v>4494329</v>
      </c>
      <c r="H310" s="99" t="n">
        <v>0.98</v>
      </c>
      <c r="I310" s="99" t="n">
        <v>209286</v>
      </c>
      <c r="J310" s="99" t="inlineStr">
        <is>
          <t>Y</t>
        </is>
      </c>
      <c r="K310" s="99" t="inlineStr">
        <is>
          <t>N</t>
        </is>
      </c>
      <c r="L310" s="99" t="inlineStr">
        <is>
          <t>Y</t>
        </is>
      </c>
      <c r="M310" s="99" t="n">
        <v>34.1</v>
      </c>
      <c r="N310" s="99" t="inlineStr">
        <is>
          <t>N</t>
        </is>
      </c>
      <c r="O310" s="99" t="n">
        <v>19.16</v>
      </c>
      <c r="P310" s="99" t="inlineStr">
        <is>
          <t>N</t>
        </is>
      </c>
      <c r="Q310" s="99" t="inlineStr">
        <is>
          <t>N/A</t>
        </is>
      </c>
      <c r="R310" s="99" t="inlineStr">
        <is>
          <t>N</t>
        </is>
      </c>
      <c r="S310" s="99" t="n">
        <v>0.5</v>
      </c>
      <c r="T310" s="99" t="n">
        <v>-10.6</v>
      </c>
      <c r="U310" s="99" t="inlineStr">
        <is>
          <t>N</t>
        </is>
      </c>
      <c r="V310" s="99" t="n">
        <v>15.7</v>
      </c>
      <c r="W310" s="99" t="n">
        <v>10.3</v>
      </c>
      <c r="X310" s="99" t="n">
        <v>72.59999999999999</v>
      </c>
      <c r="Y310" s="99" t="n">
        <v>26.7</v>
      </c>
      <c r="Z310" s="99" t="n">
        <v>3</v>
      </c>
      <c r="AA310" s="94" t="inlineStr">
        <is>
          <t>AVOID</t>
        </is>
      </c>
    </row>
    <row r="311">
      <c r="A311" s="97" t="inlineStr">
        <is>
          <t>HINDCOPPER</t>
        </is>
      </c>
      <c r="B311" s="97" t="inlineStr">
        <is>
          <t>Hindustan Copper Ltd.</t>
        </is>
      </c>
      <c r="C311" s="97" t="inlineStr">
        <is>
          <t>Metals &amp; Mining</t>
        </is>
      </c>
      <c r="D311" s="97" t="inlineStr">
        <is>
          <t>Smallcap</t>
        </is>
      </c>
      <c r="E311" s="97" t="n">
        <v>483.15</v>
      </c>
      <c r="F311" s="97" t="n">
        <v>-1.76</v>
      </c>
      <c r="G311" s="97" t="n">
        <v>3002317</v>
      </c>
      <c r="H311" s="97" t="n">
        <v>0.91</v>
      </c>
      <c r="I311" s="97" t="n">
        <v>46722</v>
      </c>
      <c r="J311" s="97" t="inlineStr">
        <is>
          <t>Y</t>
        </is>
      </c>
      <c r="K311" s="97" t="inlineStr">
        <is>
          <t>N</t>
        </is>
      </c>
      <c r="L311" s="97" t="inlineStr">
        <is>
          <t>N</t>
        </is>
      </c>
      <c r="M311" s="97" t="n">
        <v>41.5</v>
      </c>
      <c r="N311" s="97" t="inlineStr">
        <is>
          <t>N</t>
        </is>
      </c>
      <c r="O311" s="97" t="n">
        <v>12.64</v>
      </c>
      <c r="P311" s="97" t="inlineStr">
        <is>
          <t>N</t>
        </is>
      </c>
      <c r="Q311" s="97" t="inlineStr">
        <is>
          <t>N/A</t>
        </is>
      </c>
      <c r="R311" s="97" t="inlineStr">
        <is>
          <t>N</t>
        </is>
      </c>
      <c r="S311" s="97" t="n">
        <v>-0.6</v>
      </c>
      <c r="T311" s="97" t="n">
        <v>-12.4</v>
      </c>
      <c r="U311" s="97" t="inlineStr">
        <is>
          <t>N</t>
        </is>
      </c>
      <c r="V311" s="97" t="n">
        <v>50.8</v>
      </c>
      <c r="W311" s="97" t="n">
        <v>30.6</v>
      </c>
      <c r="X311" s="97" t="n">
        <v>3.32</v>
      </c>
      <c r="Y311" s="97" t="n">
        <v>184.4</v>
      </c>
      <c r="Z311" s="97" t="n">
        <v>3</v>
      </c>
      <c r="AA311" s="92" t="inlineStr">
        <is>
          <t>AVOID</t>
        </is>
      </c>
    </row>
    <row r="312">
      <c r="A312" s="99" t="inlineStr">
        <is>
          <t>HINDZINC</t>
        </is>
      </c>
      <c r="B312" s="99" t="inlineStr">
        <is>
          <t>Hindustan Zinc Ltd.</t>
        </is>
      </c>
      <c r="C312" s="99" t="inlineStr">
        <is>
          <t>Metals &amp; Mining</t>
        </is>
      </c>
      <c r="D312" s="99" t="inlineStr">
        <is>
          <t>Large/Midcap</t>
        </is>
      </c>
      <c r="E312" s="99" t="n">
        <v>531.95</v>
      </c>
      <c r="F312" s="99" t="n">
        <v>0.15</v>
      </c>
      <c r="G312" s="99" t="n">
        <v>5497135</v>
      </c>
      <c r="H312" s="99" t="n">
        <v>2.17</v>
      </c>
      <c r="I312" s="99" t="n">
        <v>224766</v>
      </c>
      <c r="J312" s="99" t="inlineStr">
        <is>
          <t>Y</t>
        </is>
      </c>
      <c r="K312" s="99" t="inlineStr">
        <is>
          <t>N</t>
        </is>
      </c>
      <c r="L312" s="99" t="inlineStr">
        <is>
          <t>N</t>
        </is>
      </c>
      <c r="M312" s="99" t="n">
        <v>43.1</v>
      </c>
      <c r="N312" s="99" t="inlineStr">
        <is>
          <t>N</t>
        </is>
      </c>
      <c r="O312" s="99" t="n">
        <v>11.61</v>
      </c>
      <c r="P312" s="99" t="inlineStr">
        <is>
          <t>Y</t>
        </is>
      </c>
      <c r="Q312" s="99" t="inlineStr">
        <is>
          <t>N/A</t>
        </is>
      </c>
      <c r="R312" s="99" t="inlineStr">
        <is>
          <t>N</t>
        </is>
      </c>
      <c r="S312" s="99" t="n">
        <v>3.7</v>
      </c>
      <c r="T312" s="99" t="n">
        <v>-11.1</v>
      </c>
      <c r="U312" s="99" t="inlineStr">
        <is>
          <t>N</t>
        </is>
      </c>
      <c r="V312" s="99" t="n">
        <v>13.2</v>
      </c>
      <c r="W312" s="99" t="inlineStr">
        <is>
          <t>N/A</t>
        </is>
      </c>
      <c r="X312" s="99" t="n">
        <v>39.03</v>
      </c>
      <c r="Y312" s="99" t="n">
        <v>8.699999999999999</v>
      </c>
      <c r="Z312" s="99" t="n">
        <v>3</v>
      </c>
      <c r="AA312" s="94" t="inlineStr">
        <is>
          <t>AVOID</t>
        </is>
      </c>
    </row>
    <row r="313">
      <c r="A313" s="97" t="inlineStr">
        <is>
          <t>HUDCO</t>
        </is>
      </c>
      <c r="B313" s="97" t="inlineStr">
        <is>
          <t>Housing &amp; Urban Development Corporation Ltd.</t>
        </is>
      </c>
      <c r="C313" s="97" t="inlineStr">
        <is>
          <t>Financial Services</t>
        </is>
      </c>
      <c r="D313" s="97" t="inlineStr">
        <is>
          <t>Large/Midcap</t>
        </is>
      </c>
      <c r="E313" s="97" t="n">
        <v>195.54</v>
      </c>
      <c r="F313" s="97" t="n">
        <v>-0.66</v>
      </c>
      <c r="G313" s="97" t="n">
        <v>1792361</v>
      </c>
      <c r="H313" s="97" t="n">
        <v>0.68</v>
      </c>
      <c r="I313" s="97" t="n">
        <v>39145</v>
      </c>
      <c r="J313" s="97" t="inlineStr">
        <is>
          <t>Y</t>
        </is>
      </c>
      <c r="K313" s="97" t="inlineStr">
        <is>
          <t>N</t>
        </is>
      </c>
      <c r="L313" s="97" t="inlineStr">
        <is>
          <t>N</t>
        </is>
      </c>
      <c r="M313" s="97" t="n">
        <v>20.6</v>
      </c>
      <c r="N313" s="97" t="inlineStr">
        <is>
          <t>N</t>
        </is>
      </c>
      <c r="O313" s="97" t="n">
        <v>4.99</v>
      </c>
      <c r="P313" s="97" t="inlineStr">
        <is>
          <t>N</t>
        </is>
      </c>
      <c r="Q313" s="97" t="inlineStr">
        <is>
          <t>N/A</t>
        </is>
      </c>
      <c r="R313" s="97" t="inlineStr">
        <is>
          <t>N</t>
        </is>
      </c>
      <c r="S313" s="97" t="n">
        <v>-5.1</v>
      </c>
      <c r="T313" s="97" t="n">
        <v>-9.199999999999999</v>
      </c>
      <c r="U313" s="97" t="inlineStr">
        <is>
          <t>N</t>
        </is>
      </c>
      <c r="V313" s="97" t="n">
        <v>9.699999999999999</v>
      </c>
      <c r="W313" s="97" t="n">
        <v>20.2</v>
      </c>
      <c r="X313" s="97" t="n">
        <v>645.77</v>
      </c>
      <c r="Y313" s="97" t="n">
        <v>177.9</v>
      </c>
      <c r="Z313" s="97" t="n">
        <v>3</v>
      </c>
      <c r="AA313" s="92" t="inlineStr">
        <is>
          <t>AVOID</t>
        </is>
      </c>
    </row>
    <row r="314">
      <c r="A314" s="99" t="inlineStr">
        <is>
          <t>ICICIPRULI</t>
        </is>
      </c>
      <c r="B314" s="99" t="inlineStr">
        <is>
          <t>ICICI Prudential Life Insurance Company Ltd.</t>
        </is>
      </c>
      <c r="C314" s="99" t="inlineStr">
        <is>
          <t>Financial Services</t>
        </is>
      </c>
      <c r="D314" s="99" t="inlineStr">
        <is>
          <t>Large/Midcap</t>
        </is>
      </c>
      <c r="E314" s="99" t="n">
        <v>500.55</v>
      </c>
      <c r="F314" s="99" t="n">
        <v>-0.19</v>
      </c>
      <c r="G314" s="99" t="n">
        <v>711372</v>
      </c>
      <c r="H314" s="99" t="n">
        <v>0.37</v>
      </c>
      <c r="I314" s="99" t="n">
        <v>72567</v>
      </c>
      <c r="J314" s="99" t="inlineStr">
        <is>
          <t>Y</t>
        </is>
      </c>
      <c r="K314" s="99" t="inlineStr">
        <is>
          <t>Y</t>
        </is>
      </c>
      <c r="L314" s="99" t="inlineStr">
        <is>
          <t>N</t>
        </is>
      </c>
      <c r="M314" s="99" t="n">
        <v>56.3</v>
      </c>
      <c r="N314" s="99" t="inlineStr">
        <is>
          <t>Y</t>
        </is>
      </c>
      <c r="O314" s="99" t="n">
        <v>15.76</v>
      </c>
      <c r="P314" s="99" t="inlineStr">
        <is>
          <t>N</t>
        </is>
      </c>
      <c r="Q314" s="99" t="inlineStr">
        <is>
          <t>N/A</t>
        </is>
      </c>
      <c r="R314" s="99" t="inlineStr">
        <is>
          <t>N</t>
        </is>
      </c>
      <c r="S314" s="99" t="n">
        <v>3</v>
      </c>
      <c r="T314" s="99" t="n">
        <v>-3.7</v>
      </c>
      <c r="U314" s="99" t="inlineStr">
        <is>
          <t>N</t>
        </is>
      </c>
      <c r="V314" s="99" t="n">
        <v>43.1</v>
      </c>
      <c r="W314" s="99" t="n">
        <v>12.6</v>
      </c>
      <c r="X314" s="99" t="n">
        <v>19.04</v>
      </c>
      <c r="Y314" s="99" t="n">
        <v>-38.1</v>
      </c>
      <c r="Z314" s="99" t="n">
        <v>3</v>
      </c>
      <c r="AA314" s="94" t="inlineStr">
        <is>
          <t>AVOID</t>
        </is>
      </c>
    </row>
    <row r="315">
      <c r="A315" s="97" t="inlineStr">
        <is>
          <t>ITI</t>
        </is>
      </c>
      <c r="B315" s="97" t="inlineStr">
        <is>
          <t>ITI Ltd.</t>
        </is>
      </c>
      <c r="C315" s="97" t="inlineStr">
        <is>
          <t>Telecommunication</t>
        </is>
      </c>
      <c r="D315" s="97" t="inlineStr">
        <is>
          <t>Smallcap</t>
        </is>
      </c>
      <c r="E315" s="97" t="n">
        <v>275.15</v>
      </c>
      <c r="F315" s="97" t="n">
        <v>-0.88</v>
      </c>
      <c r="G315" s="97" t="n">
        <v>176666</v>
      </c>
      <c r="H315" s="97" t="n">
        <v>0.72</v>
      </c>
      <c r="I315" s="97" t="n">
        <v>26493</v>
      </c>
      <c r="J315" s="97" t="inlineStr">
        <is>
          <t>Y</t>
        </is>
      </c>
      <c r="K315" s="97" t="inlineStr">
        <is>
          <t>N</t>
        </is>
      </c>
      <c r="L315" s="97" t="inlineStr">
        <is>
          <t>N</t>
        </is>
      </c>
      <c r="M315" s="97" t="n">
        <v>24.9</v>
      </c>
      <c r="N315" s="97" t="inlineStr">
        <is>
          <t>N</t>
        </is>
      </c>
      <c r="O315" s="97" t="n">
        <v>7.99</v>
      </c>
      <c r="P315" s="97" t="inlineStr">
        <is>
          <t>N</t>
        </is>
      </c>
      <c r="Q315" s="97" t="inlineStr">
        <is>
          <t>N/A</t>
        </is>
      </c>
      <c r="R315" s="97" t="inlineStr">
        <is>
          <t>N</t>
        </is>
      </c>
      <c r="S315" s="97" t="n">
        <v>-7.7</v>
      </c>
      <c r="T315" s="97" t="n">
        <v>-8.6</v>
      </c>
      <c r="U315" s="97" t="inlineStr">
        <is>
          <t>N</t>
        </is>
      </c>
      <c r="V315" s="97" t="n">
        <v>90.8</v>
      </c>
      <c r="W315" s="97" t="n">
        <v>16.6</v>
      </c>
      <c r="X315" s="97" t="n">
        <v>40.14</v>
      </c>
      <c r="Y315" s="97" t="n">
        <v>1581</v>
      </c>
      <c r="Z315" s="97" t="n">
        <v>3</v>
      </c>
      <c r="AA315" s="92" t="inlineStr">
        <is>
          <t>AVOID</t>
        </is>
      </c>
    </row>
    <row r="316">
      <c r="A316" s="99" t="inlineStr">
        <is>
          <t>INDIAMART</t>
        </is>
      </c>
      <c r="B316" s="99" t="inlineStr">
        <is>
          <t>Indiamart Intermesh Ltd.</t>
        </is>
      </c>
      <c r="C316" s="99" t="inlineStr">
        <is>
          <t>Consumer Services</t>
        </is>
      </c>
      <c r="D316" s="99" t="inlineStr">
        <is>
          <t>Smallcap</t>
        </is>
      </c>
      <c r="E316" s="99" t="n">
        <v>1759.9</v>
      </c>
      <c r="F316" s="99" t="n">
        <v>-1.71</v>
      </c>
      <c r="G316" s="99" t="n">
        <v>170780</v>
      </c>
      <c r="H316" s="99" t="n">
        <v>0.48</v>
      </c>
      <c r="I316" s="99" t="n">
        <v>10584</v>
      </c>
      <c r="J316" s="99" t="inlineStr">
        <is>
          <t>Y</t>
        </is>
      </c>
      <c r="K316" s="99" t="inlineStr">
        <is>
          <t>N</t>
        </is>
      </c>
      <c r="L316" s="99" t="inlineStr">
        <is>
          <t>N</t>
        </is>
      </c>
      <c r="M316" s="99" t="n">
        <v>33.7</v>
      </c>
      <c r="N316" s="99" t="inlineStr">
        <is>
          <t>N</t>
        </is>
      </c>
      <c r="O316" s="99" t="n">
        <v>59.19</v>
      </c>
      <c r="P316" s="99" t="inlineStr">
        <is>
          <t>N</t>
        </is>
      </c>
      <c r="Q316" s="99" t="inlineStr">
        <is>
          <t>N/A</t>
        </is>
      </c>
      <c r="R316" s="99" t="inlineStr">
        <is>
          <t>N</t>
        </is>
      </c>
      <c r="S316" s="99" t="n">
        <v>-8.9</v>
      </c>
      <c r="T316" s="99" t="n">
        <v>-14.5</v>
      </c>
      <c r="U316" s="99" t="inlineStr">
        <is>
          <t>N</t>
        </is>
      </c>
      <c r="V316" s="99" t="n">
        <v>21.5</v>
      </c>
      <c r="W316" s="99" t="n">
        <v>23.1</v>
      </c>
      <c r="X316" s="99" t="n">
        <v>0.97</v>
      </c>
      <c r="Y316" s="99" t="n">
        <v>243.1</v>
      </c>
      <c r="Z316" s="99" t="n">
        <v>3</v>
      </c>
      <c r="AA316" s="94" t="inlineStr">
        <is>
          <t>AVOID</t>
        </is>
      </c>
    </row>
    <row r="317">
      <c r="A317" s="97" t="inlineStr">
        <is>
          <t>IOC</t>
        </is>
      </c>
      <c r="B317" s="97" t="inlineStr">
        <is>
          <t>Indian Oil Corporation Ltd.</t>
        </is>
      </c>
      <c r="C317" s="97" t="inlineStr">
        <is>
          <t>Oil Gas &amp; Consumable Fuels</t>
        </is>
      </c>
      <c r="D317" s="97" t="inlineStr">
        <is>
          <t>Large/Midcap</t>
        </is>
      </c>
      <c r="E317" s="97" t="n">
        <v>138.47</v>
      </c>
      <c r="F317" s="97" t="n">
        <v>-1.04</v>
      </c>
      <c r="G317" s="97" t="n">
        <v>11902268</v>
      </c>
      <c r="H317" s="97" t="n">
        <v>1.15</v>
      </c>
      <c r="I317" s="97" t="n">
        <v>195537</v>
      </c>
      <c r="J317" s="97" t="inlineStr">
        <is>
          <t>Y</t>
        </is>
      </c>
      <c r="K317" s="97" t="inlineStr">
        <is>
          <t>N</t>
        </is>
      </c>
      <c r="L317" s="97" t="inlineStr">
        <is>
          <t>N</t>
        </is>
      </c>
      <c r="M317" s="97" t="n">
        <v>42.6</v>
      </c>
      <c r="N317" s="97" t="inlineStr">
        <is>
          <t>N</t>
        </is>
      </c>
      <c r="O317" s="97" t="n">
        <v>3.06</v>
      </c>
      <c r="P317" s="97" t="inlineStr">
        <is>
          <t>N</t>
        </is>
      </c>
      <c r="Q317" s="97" t="inlineStr">
        <is>
          <t>N/A</t>
        </is>
      </c>
      <c r="R317" s="97" t="inlineStr">
        <is>
          <t>N</t>
        </is>
      </c>
      <c r="S317" s="97" t="n">
        <v>-2.7</v>
      </c>
      <c r="T317" s="97" t="n">
        <v>-3.4</v>
      </c>
      <c r="U317" s="97" t="inlineStr">
        <is>
          <t>N</t>
        </is>
      </c>
      <c r="V317" s="97" t="n">
        <v>4.5</v>
      </c>
      <c r="W317" s="97" t="n">
        <v>21</v>
      </c>
      <c r="X317" s="97" t="n">
        <v>58.45</v>
      </c>
      <c r="Y317" s="97" t="n">
        <v>11.2</v>
      </c>
      <c r="Z317" s="97" t="n">
        <v>3</v>
      </c>
      <c r="AA317" s="92" t="inlineStr">
        <is>
          <t>AVOID</t>
        </is>
      </c>
    </row>
    <row r="318">
      <c r="A318" s="99" t="inlineStr">
        <is>
          <t>IOB</t>
        </is>
      </c>
      <c r="B318" s="99" t="inlineStr">
        <is>
          <t>Indian Overseas Bank</t>
        </is>
      </c>
      <c r="C318" s="99" t="inlineStr">
        <is>
          <t>Financial Services</t>
        </is>
      </c>
      <c r="D318" s="99" t="inlineStr">
        <is>
          <t>Smallcap</t>
        </is>
      </c>
      <c r="E318" s="99" t="n">
        <v>33.88</v>
      </c>
      <c r="F318" s="99" t="n">
        <v>0.18</v>
      </c>
      <c r="G318" s="99" t="n">
        <v>2789486</v>
      </c>
      <c r="H318" s="99" t="n">
        <v>0.31</v>
      </c>
      <c r="I318" s="99" t="n">
        <v>65241</v>
      </c>
      <c r="J318" s="99" t="inlineStr">
        <is>
          <t>Y</t>
        </is>
      </c>
      <c r="K318" s="99" t="inlineStr">
        <is>
          <t>N</t>
        </is>
      </c>
      <c r="L318" s="99" t="inlineStr">
        <is>
          <t>N</t>
        </is>
      </c>
      <c r="M318" s="99" t="n">
        <v>47.2</v>
      </c>
      <c r="N318" s="99" t="inlineStr">
        <is>
          <t>N</t>
        </is>
      </c>
      <c r="O318" s="99" t="n">
        <v>0.85</v>
      </c>
      <c r="P318" s="99" t="inlineStr">
        <is>
          <t>N</t>
        </is>
      </c>
      <c r="Q318" s="99" t="inlineStr">
        <is>
          <t>N/A</t>
        </is>
      </c>
      <c r="R318" s="99" t="inlineStr">
        <is>
          <t>N</t>
        </is>
      </c>
      <c r="S318" s="99" t="n">
        <v>-0.7</v>
      </c>
      <c r="T318" s="99" t="n">
        <v>-3.1</v>
      </c>
      <c r="U318" s="99" t="inlineStr">
        <is>
          <t>N</t>
        </is>
      </c>
      <c r="V318" s="99" t="n">
        <v>11.4</v>
      </c>
      <c r="W318" s="99" t="n">
        <v>16.5</v>
      </c>
      <c r="X318" s="99" t="inlineStr">
        <is>
          <t>N/A</t>
        </is>
      </c>
      <c r="Y318" s="99" t="n">
        <v>10.3</v>
      </c>
      <c r="Z318" s="99" t="n">
        <v>3</v>
      </c>
      <c r="AA318" s="94" t="inlineStr">
        <is>
          <t>AVOID</t>
        </is>
      </c>
    </row>
    <row r="319">
      <c r="A319" s="97" t="inlineStr">
        <is>
          <t>INFY</t>
        </is>
      </c>
      <c r="B319" s="97" t="inlineStr">
        <is>
          <t>Infosys Ltd.</t>
        </is>
      </c>
      <c r="C319" s="97" t="inlineStr">
        <is>
          <t>Information Technology</t>
        </is>
      </c>
      <c r="D319" s="97" t="inlineStr">
        <is>
          <t>Large/Midcap</t>
        </is>
      </c>
      <c r="E319" s="97" t="n">
        <v>1040.9</v>
      </c>
      <c r="F319" s="97" t="n">
        <v>-0.62</v>
      </c>
      <c r="G319" s="97" t="n">
        <v>29036900</v>
      </c>
      <c r="H319" s="97" t="n">
        <v>2.83</v>
      </c>
      <c r="I319" s="97" t="n">
        <v>421577</v>
      </c>
      <c r="J319" s="97" t="inlineStr">
        <is>
          <t>Y</t>
        </is>
      </c>
      <c r="K319" s="97" t="inlineStr">
        <is>
          <t>N</t>
        </is>
      </c>
      <c r="L319" s="97" t="inlineStr">
        <is>
          <t>N</t>
        </is>
      </c>
      <c r="M319" s="97" t="n">
        <v>49.7</v>
      </c>
      <c r="N319" s="97" t="inlineStr">
        <is>
          <t>N</t>
        </is>
      </c>
      <c r="O319" s="97" t="n">
        <v>30.24</v>
      </c>
      <c r="P319" s="97" t="inlineStr">
        <is>
          <t>Y</t>
        </is>
      </c>
      <c r="Q319" s="97" t="inlineStr">
        <is>
          <t>N/A</t>
        </is>
      </c>
      <c r="R319" s="97" t="inlineStr">
        <is>
          <t>N</t>
        </is>
      </c>
      <c r="S319" s="97" t="n">
        <v>1</v>
      </c>
      <c r="T319" s="97" t="n">
        <v>-8.4</v>
      </c>
      <c r="U319" s="97" t="inlineStr">
        <is>
          <t>N</t>
        </is>
      </c>
      <c r="V319" s="97" t="n">
        <v>13.3</v>
      </c>
      <c r="W319" s="97" t="n">
        <v>32</v>
      </c>
      <c r="X319" s="97" t="n">
        <v>9.539999999999999</v>
      </c>
      <c r="Y319" s="97" t="n">
        <v>-10.9</v>
      </c>
      <c r="Z319" s="97" t="n">
        <v>3</v>
      </c>
      <c r="AA319" s="92" t="inlineStr">
        <is>
          <t>AVOID</t>
        </is>
      </c>
    </row>
    <row r="320">
      <c r="A320" s="99" t="inlineStr">
        <is>
          <t>INTELLECT</t>
        </is>
      </c>
      <c r="B320" s="99" t="inlineStr">
        <is>
          <t>Intellect Design Arena Ltd.</t>
        </is>
      </c>
      <c r="C320" s="99" t="inlineStr">
        <is>
          <t>Information Technology</t>
        </is>
      </c>
      <c r="D320" s="99" t="inlineStr">
        <is>
          <t>Smallcap</t>
        </is>
      </c>
      <c r="E320" s="99" t="n">
        <v>732.2</v>
      </c>
      <c r="F320" s="99" t="n">
        <v>0.76</v>
      </c>
      <c r="G320" s="99" t="n">
        <v>312739</v>
      </c>
      <c r="H320" s="99" t="n">
        <v>0.75</v>
      </c>
      <c r="I320" s="99" t="n">
        <v>10201</v>
      </c>
      <c r="J320" s="99" t="inlineStr">
        <is>
          <t>Y</t>
        </is>
      </c>
      <c r="K320" s="99" t="inlineStr">
        <is>
          <t>N</t>
        </is>
      </c>
      <c r="L320" s="99" t="inlineStr">
        <is>
          <t>N</t>
        </is>
      </c>
      <c r="M320" s="99" t="n">
        <v>40.4</v>
      </c>
      <c r="N320" s="99" t="inlineStr">
        <is>
          <t>N</t>
        </is>
      </c>
      <c r="O320" s="99" t="n">
        <v>27.4</v>
      </c>
      <c r="P320" s="99" t="inlineStr">
        <is>
          <t>N</t>
        </is>
      </c>
      <c r="Q320" s="99" t="inlineStr">
        <is>
          <t>N/A</t>
        </is>
      </c>
      <c r="R320" s="99" t="inlineStr">
        <is>
          <t>N</t>
        </is>
      </c>
      <c r="S320" s="99" t="n">
        <v>0</v>
      </c>
      <c r="T320" s="99" t="n">
        <v>0.5</v>
      </c>
      <c r="U320" s="99" t="inlineStr">
        <is>
          <t>Y</t>
        </is>
      </c>
      <c r="V320" s="99" t="n">
        <v>30.1</v>
      </c>
      <c r="W320" s="99" t="n">
        <v>11.4</v>
      </c>
      <c r="X320" s="99" t="n">
        <v>4.96</v>
      </c>
      <c r="Y320" s="99" t="n">
        <v>322.6</v>
      </c>
      <c r="Z320" s="99" t="n">
        <v>3</v>
      </c>
      <c r="AA320" s="94" t="inlineStr">
        <is>
          <t>AVOID</t>
        </is>
      </c>
    </row>
    <row r="321">
      <c r="A321" s="97" t="inlineStr">
        <is>
          <t>IGIL</t>
        </is>
      </c>
      <c r="B321" s="97" t="inlineStr">
        <is>
          <t>International Gemological Institute Ltd.</t>
        </is>
      </c>
      <c r="C321" s="97" t="inlineStr">
        <is>
          <t>Services</t>
        </is>
      </c>
      <c r="D321" s="97" t="inlineStr">
        <is>
          <t>Smallcap</t>
        </is>
      </c>
      <c r="E321" s="97" t="n">
        <v>338.15</v>
      </c>
      <c r="F321" s="97" t="n">
        <v>-2.16</v>
      </c>
      <c r="G321" s="97" t="n">
        <v>2757818</v>
      </c>
      <c r="H321" s="97" t="n">
        <v>4.23</v>
      </c>
      <c r="I321" s="97" t="n">
        <v>14613</v>
      </c>
      <c r="J321" s="97" t="inlineStr">
        <is>
          <t>Y</t>
        </is>
      </c>
      <c r="K321" s="97" t="inlineStr">
        <is>
          <t>N</t>
        </is>
      </c>
      <c r="L321" s="97" t="inlineStr">
        <is>
          <t>Y</t>
        </is>
      </c>
      <c r="M321" s="97" t="n">
        <v>36.9</v>
      </c>
      <c r="N321" s="97" t="inlineStr">
        <is>
          <t>N</t>
        </is>
      </c>
      <c r="O321" s="97" t="n">
        <v>10.58</v>
      </c>
      <c r="P321" s="97" t="inlineStr">
        <is>
          <t>Y</t>
        </is>
      </c>
      <c r="Q321" s="97" t="inlineStr">
        <is>
          <t>N/A</t>
        </is>
      </c>
      <c r="R321" s="97" t="inlineStr">
        <is>
          <t>N</t>
        </is>
      </c>
      <c r="S321" s="97" t="n">
        <v>-4.9</v>
      </c>
      <c r="T321" s="97" t="n">
        <v>-4.1</v>
      </c>
      <c r="U321" s="97" t="inlineStr">
        <is>
          <t>N</t>
        </is>
      </c>
      <c r="V321" s="97" t="n">
        <v>28.6</v>
      </c>
      <c r="W321" s="97" t="inlineStr">
        <is>
          <t>N/A</t>
        </is>
      </c>
      <c r="X321" s="97" t="n">
        <v>9.59</v>
      </c>
      <c r="Y321" s="97" t="n">
        <v>-7.7</v>
      </c>
      <c r="Z321" s="97" t="n">
        <v>3</v>
      </c>
      <c r="AA321" s="92" t="inlineStr">
        <is>
          <t>AVOID</t>
        </is>
      </c>
    </row>
    <row r="322">
      <c r="A322" s="99" t="inlineStr">
        <is>
          <t>JSWSTEEL</t>
        </is>
      </c>
      <c r="B322" s="99" t="inlineStr">
        <is>
          <t>JSW Steel Ltd.</t>
        </is>
      </c>
      <c r="C322" s="99" t="inlineStr">
        <is>
          <t>Metals &amp; Mining</t>
        </is>
      </c>
      <c r="D322" s="99" t="inlineStr">
        <is>
          <t>Large/Midcap</t>
        </is>
      </c>
      <c r="E322" s="99" t="n">
        <v>1240.8</v>
      </c>
      <c r="F322" s="99" t="n">
        <v>-0.48</v>
      </c>
      <c r="G322" s="99" t="n">
        <v>1083729</v>
      </c>
      <c r="H322" s="99" t="n">
        <v>0.38</v>
      </c>
      <c r="I322" s="99" t="n">
        <v>302858</v>
      </c>
      <c r="J322" s="99" t="inlineStr">
        <is>
          <t>Y</t>
        </is>
      </c>
      <c r="K322" s="99" t="inlineStr">
        <is>
          <t>N</t>
        </is>
      </c>
      <c r="L322" s="99" t="inlineStr">
        <is>
          <t>Y</t>
        </is>
      </c>
      <c r="M322" s="99" t="n">
        <v>51.3</v>
      </c>
      <c r="N322" s="99" t="inlineStr">
        <is>
          <t>Y</t>
        </is>
      </c>
      <c r="O322" s="99" t="n">
        <v>25.96</v>
      </c>
      <c r="P322" s="99" t="inlineStr">
        <is>
          <t>N</t>
        </is>
      </c>
      <c r="Q322" s="99" t="inlineStr">
        <is>
          <t>N/A</t>
        </is>
      </c>
      <c r="R322" s="99" t="inlineStr">
        <is>
          <t>N</t>
        </is>
      </c>
      <c r="S322" s="99" t="n">
        <v>2.4</v>
      </c>
      <c r="T322" s="99" t="n">
        <v>-1.9</v>
      </c>
      <c r="U322" s="99" t="inlineStr">
        <is>
          <t>N</t>
        </is>
      </c>
      <c r="V322" s="99" t="n">
        <v>12.2</v>
      </c>
      <c r="W322" s="99" t="inlineStr">
        <is>
          <t>N/A</t>
        </is>
      </c>
      <c r="X322" s="99" t="n">
        <v>95.37</v>
      </c>
      <c r="Y322" s="99" t="n">
        <v>-71.59999999999999</v>
      </c>
      <c r="Z322" s="99" t="n">
        <v>3</v>
      </c>
      <c r="AA322" s="94" t="inlineStr">
        <is>
          <t>AVOID</t>
        </is>
      </c>
    </row>
    <row r="323">
      <c r="A323" s="97" t="inlineStr">
        <is>
          <t>JUBLFOOD</t>
        </is>
      </c>
      <c r="B323" s="97" t="inlineStr">
        <is>
          <t>Jubilant Foodworks Ltd.</t>
        </is>
      </c>
      <c r="C323" s="97" t="inlineStr">
        <is>
          <t>Consumer Services</t>
        </is>
      </c>
      <c r="D323" s="97" t="inlineStr">
        <is>
          <t>Large/Midcap</t>
        </is>
      </c>
      <c r="E323" s="97" t="n">
        <v>418.25</v>
      </c>
      <c r="F323" s="97" t="n">
        <v>1.44</v>
      </c>
      <c r="G323" s="97" t="n">
        <v>1545685</v>
      </c>
      <c r="H323" s="97" t="n">
        <v>1.63</v>
      </c>
      <c r="I323" s="97" t="n">
        <v>27507</v>
      </c>
      <c r="J323" s="97" t="inlineStr">
        <is>
          <t>Y</t>
        </is>
      </c>
      <c r="K323" s="97" t="inlineStr">
        <is>
          <t>N</t>
        </is>
      </c>
      <c r="L323" s="97" t="inlineStr">
        <is>
          <t>N</t>
        </is>
      </c>
      <c r="M323" s="97" t="n">
        <v>41.7</v>
      </c>
      <c r="N323" s="97" t="inlineStr">
        <is>
          <t>N</t>
        </is>
      </c>
      <c r="O323" s="97" t="n">
        <v>13.1</v>
      </c>
      <c r="P323" s="97" t="inlineStr">
        <is>
          <t>N</t>
        </is>
      </c>
      <c r="Q323" s="97" t="inlineStr">
        <is>
          <t>N/A</t>
        </is>
      </c>
      <c r="R323" s="97" t="inlineStr">
        <is>
          <t>N</t>
        </is>
      </c>
      <c r="S323" s="97" t="n">
        <v>0.2</v>
      </c>
      <c r="T323" s="97" t="n">
        <v>-13</v>
      </c>
      <c r="U323" s="97" t="inlineStr">
        <is>
          <t>N</t>
        </is>
      </c>
      <c r="V323" s="97" t="n">
        <v>73.5</v>
      </c>
      <c r="W323" s="97" t="n">
        <v>16.9</v>
      </c>
      <c r="X323" s="97" t="n">
        <v>2.65</v>
      </c>
      <c r="Y323" s="97" t="n">
        <v>12.5</v>
      </c>
      <c r="Z323" s="97" t="n">
        <v>3</v>
      </c>
      <c r="AA323" s="92" t="inlineStr">
        <is>
          <t>AVOID</t>
        </is>
      </c>
    </row>
    <row r="324">
      <c r="A324" s="99" t="inlineStr">
        <is>
          <t>JUBLPHARMA</t>
        </is>
      </c>
      <c r="B324" s="99" t="inlineStr">
        <is>
          <t>Jubilant Pharmova Ltd.</t>
        </is>
      </c>
      <c r="C324" s="99" t="inlineStr">
        <is>
          <t>Healthcare</t>
        </is>
      </c>
      <c r="D324" s="99" t="inlineStr">
        <is>
          <t>Smallcap</t>
        </is>
      </c>
      <c r="E324" s="99" t="n">
        <v>965.35</v>
      </c>
      <c r="F324" s="99" t="n">
        <v>-0.05</v>
      </c>
      <c r="G324" s="99" t="n">
        <v>57028</v>
      </c>
      <c r="H324" s="99" t="n">
        <v>0.67</v>
      </c>
      <c r="I324" s="99" t="n">
        <v>15290</v>
      </c>
      <c r="J324" s="99" t="inlineStr">
        <is>
          <t>Y</t>
        </is>
      </c>
      <c r="K324" s="99" t="inlineStr">
        <is>
          <t>N</t>
        </is>
      </c>
      <c r="L324" s="99" t="inlineStr">
        <is>
          <t>N</t>
        </is>
      </c>
      <c r="M324" s="99" t="n">
        <v>46.1</v>
      </c>
      <c r="N324" s="99" t="inlineStr">
        <is>
          <t>N</t>
        </is>
      </c>
      <c r="O324" s="99" t="n">
        <v>27.3</v>
      </c>
      <c r="P324" s="99" t="inlineStr">
        <is>
          <t>N</t>
        </is>
      </c>
      <c r="Q324" s="99" t="inlineStr">
        <is>
          <t>N/A</t>
        </is>
      </c>
      <c r="R324" s="99" t="inlineStr">
        <is>
          <t>N</t>
        </is>
      </c>
      <c r="S324" s="99" t="n">
        <v>1.7</v>
      </c>
      <c r="T324" s="99" t="n">
        <v>3.5</v>
      </c>
      <c r="U324" s="99" t="inlineStr">
        <is>
          <t>Y</t>
        </is>
      </c>
      <c r="V324" s="99" t="n">
        <v>38.5</v>
      </c>
      <c r="W324" s="99" t="n">
        <v>6</v>
      </c>
      <c r="X324" s="99" t="n">
        <v>50.94</v>
      </c>
      <c r="Y324" s="99" t="n">
        <v>113.6</v>
      </c>
      <c r="Z324" s="99" t="n">
        <v>3</v>
      </c>
      <c r="AA324" s="94" t="inlineStr">
        <is>
          <t>AVOID</t>
        </is>
      </c>
    </row>
    <row r="325">
      <c r="A325" s="97" t="inlineStr">
        <is>
          <t>KEI</t>
        </is>
      </c>
      <c r="B325" s="97" t="inlineStr">
        <is>
          <t>KEI Industries Ltd.</t>
        </is>
      </c>
      <c r="C325" s="97" t="inlineStr">
        <is>
          <t>Capital Goods</t>
        </is>
      </c>
      <c r="D325" s="97" t="inlineStr">
        <is>
          <t>Large/Midcap</t>
        </is>
      </c>
      <c r="E325" s="97" t="n">
        <v>4868</v>
      </c>
      <c r="F325" s="97" t="n">
        <v>-0.6</v>
      </c>
      <c r="G325" s="97" t="n">
        <v>127284</v>
      </c>
      <c r="H325" s="97" t="n">
        <v>0.67</v>
      </c>
      <c r="I325" s="97" t="n">
        <v>46538</v>
      </c>
      <c r="J325" s="97" t="inlineStr">
        <is>
          <t>Y</t>
        </is>
      </c>
      <c r="K325" s="97" t="inlineStr">
        <is>
          <t>N</t>
        </is>
      </c>
      <c r="L325" s="97" t="inlineStr">
        <is>
          <t>Y</t>
        </is>
      </c>
      <c r="M325" s="97" t="n">
        <v>26.6</v>
      </c>
      <c r="N325" s="97" t="inlineStr">
        <is>
          <t>N</t>
        </is>
      </c>
      <c r="O325" s="97" t="n">
        <v>139.57</v>
      </c>
      <c r="P325" s="97" t="inlineStr">
        <is>
          <t>N</t>
        </is>
      </c>
      <c r="Q325" s="97" t="inlineStr">
        <is>
          <t>N/A</t>
        </is>
      </c>
      <c r="R325" s="97" t="inlineStr">
        <is>
          <t>N</t>
        </is>
      </c>
      <c r="S325" s="97" t="n">
        <v>-6.5</v>
      </c>
      <c r="T325" s="97" t="n">
        <v>-0.8</v>
      </c>
      <c r="U325" s="97" t="inlineStr">
        <is>
          <t>N</t>
        </is>
      </c>
      <c r="V325" s="97" t="n">
        <v>50.8</v>
      </c>
      <c r="W325" s="97" t="n">
        <v>14.8</v>
      </c>
      <c r="X325" s="97" t="n">
        <v>3.8</v>
      </c>
      <c r="Y325" s="97" t="n">
        <v>21.1</v>
      </c>
      <c r="Z325" s="97" t="n">
        <v>3</v>
      </c>
      <c r="AA325" s="92" t="inlineStr">
        <is>
          <t>AVOID</t>
        </is>
      </c>
    </row>
    <row r="326">
      <c r="A326" s="99" t="inlineStr">
        <is>
          <t>LGEINDIA</t>
        </is>
      </c>
      <c r="B326" s="99" t="inlineStr">
        <is>
          <t>LG Electronics India Ltd.</t>
        </is>
      </c>
      <c r="C326" s="99" t="inlineStr">
        <is>
          <t>Consumer Durables</t>
        </is>
      </c>
      <c r="D326" s="99" t="inlineStr">
        <is>
          <t>Large/Midcap</t>
        </is>
      </c>
      <c r="E326" s="99" t="n">
        <v>1527.2</v>
      </c>
      <c r="F326" s="99" t="n">
        <v>-0.09</v>
      </c>
      <c r="G326" s="99" t="n">
        <v>203768</v>
      </c>
      <c r="H326" s="99" t="n">
        <v>1.01</v>
      </c>
      <c r="I326" s="99" t="n">
        <v>103662</v>
      </c>
      <c r="J326" s="99" t="inlineStr">
        <is>
          <t>Y</t>
        </is>
      </c>
      <c r="K326" s="99" t="inlineStr">
        <is>
          <t>N</t>
        </is>
      </c>
      <c r="L326" s="99" t="inlineStr">
        <is>
          <t>N/A</t>
        </is>
      </c>
      <c r="M326" s="99" t="n">
        <v>42</v>
      </c>
      <c r="N326" s="99" t="inlineStr">
        <is>
          <t>N</t>
        </is>
      </c>
      <c r="O326" s="99" t="n">
        <v>30.06</v>
      </c>
      <c r="P326" s="99" t="inlineStr">
        <is>
          <t>N</t>
        </is>
      </c>
      <c r="Q326" s="99" t="inlineStr">
        <is>
          <t>N/A</t>
        </is>
      </c>
      <c r="R326" s="99" t="inlineStr">
        <is>
          <t>N</t>
        </is>
      </c>
      <c r="S326" s="99" t="n">
        <v>-1.7</v>
      </c>
      <c r="T326" s="99" t="n">
        <v>-5.6</v>
      </c>
      <c r="U326" s="99" t="inlineStr">
        <is>
          <t>N</t>
        </is>
      </c>
      <c r="V326" s="99" t="n">
        <v>61.4</v>
      </c>
      <c r="W326" s="99" t="n">
        <v>24.7</v>
      </c>
      <c r="X326" s="99" t="n">
        <v>5.99</v>
      </c>
      <c r="Y326" s="99" t="n">
        <v>672.5</v>
      </c>
      <c r="Z326" s="99" t="n">
        <v>3</v>
      </c>
      <c r="AA326" s="94" t="inlineStr">
        <is>
          <t>AVOID</t>
        </is>
      </c>
    </row>
    <row r="327">
      <c r="A327" s="97" t="inlineStr">
        <is>
          <t>LT</t>
        </is>
      </c>
      <c r="B327" s="97" t="inlineStr">
        <is>
          <t>Larsen &amp; Toubro Ltd.</t>
        </is>
      </c>
      <c r="C327" s="97" t="inlineStr">
        <is>
          <t>Construction</t>
        </is>
      </c>
      <c r="D327" s="97" t="inlineStr">
        <is>
          <t>Large/Midcap</t>
        </is>
      </c>
      <c r="E327" s="97" t="n">
        <v>3785.6</v>
      </c>
      <c r="F327" s="97" t="n">
        <v>-0.18</v>
      </c>
      <c r="G327" s="97" t="n">
        <v>1994087</v>
      </c>
      <c r="H327" s="97" t="n">
        <v>1.56</v>
      </c>
      <c r="I327" s="97" t="n">
        <v>520796</v>
      </c>
      <c r="J327" s="97" t="inlineStr">
        <is>
          <t>Y</t>
        </is>
      </c>
      <c r="K327" s="97" t="inlineStr">
        <is>
          <t>N</t>
        </is>
      </c>
      <c r="L327" s="97" t="inlineStr">
        <is>
          <t>N</t>
        </is>
      </c>
      <c r="M327" s="97" t="n">
        <v>25.3</v>
      </c>
      <c r="N327" s="97" t="inlineStr">
        <is>
          <t>N</t>
        </is>
      </c>
      <c r="O327" s="97" t="n">
        <v>67.69</v>
      </c>
      <c r="P327" s="97" t="inlineStr">
        <is>
          <t>N</t>
        </is>
      </c>
      <c r="Q327" s="97" t="inlineStr">
        <is>
          <t>N/A</t>
        </is>
      </c>
      <c r="R327" s="97" t="inlineStr">
        <is>
          <t>N</t>
        </is>
      </c>
      <c r="S327" s="97" t="n">
        <v>-9.199999999999999</v>
      </c>
      <c r="T327" s="97" t="n">
        <v>-6.1</v>
      </c>
      <c r="U327" s="97" t="inlineStr">
        <is>
          <t>N</t>
        </is>
      </c>
      <c r="V327" s="97" t="n">
        <v>32.4</v>
      </c>
      <c r="W327" s="97" t="n">
        <v>17</v>
      </c>
      <c r="X327" s="97" t="n">
        <v>97.64</v>
      </c>
      <c r="Y327" s="97" t="n">
        <v>65.59999999999999</v>
      </c>
      <c r="Z327" s="97" t="n">
        <v>3</v>
      </c>
      <c r="AA327" s="92" t="inlineStr">
        <is>
          <t>AVOID</t>
        </is>
      </c>
    </row>
    <row r="328">
      <c r="A328" s="99" t="inlineStr">
        <is>
          <t>MMTC</t>
        </is>
      </c>
      <c r="B328" s="99" t="inlineStr">
        <is>
          <t>MMTC Ltd.</t>
        </is>
      </c>
      <c r="C328" s="99" t="inlineStr">
        <is>
          <t>Services</t>
        </is>
      </c>
      <c r="D328" s="99" t="inlineStr">
        <is>
          <t>Smallcap</t>
        </is>
      </c>
      <c r="E328" s="99" t="n">
        <v>61.52</v>
      </c>
      <c r="F328" s="99" t="n">
        <v>-0.68</v>
      </c>
      <c r="G328" s="99" t="n">
        <v>1489504</v>
      </c>
      <c r="H328" s="99" t="n">
        <v>1.32</v>
      </c>
      <c r="I328" s="99" t="n">
        <v>9228</v>
      </c>
      <c r="J328" s="99" t="inlineStr">
        <is>
          <t>Y</t>
        </is>
      </c>
      <c r="K328" s="99" t="inlineStr">
        <is>
          <t>N</t>
        </is>
      </c>
      <c r="L328" s="99" t="inlineStr">
        <is>
          <t>N</t>
        </is>
      </c>
      <c r="M328" s="99" t="n">
        <v>23.9</v>
      </c>
      <c r="N328" s="99" t="inlineStr">
        <is>
          <t>N</t>
        </is>
      </c>
      <c r="O328" s="99" t="n">
        <v>1.64</v>
      </c>
      <c r="P328" s="99" t="inlineStr">
        <is>
          <t>N</t>
        </is>
      </c>
      <c r="Q328" s="99" t="inlineStr">
        <is>
          <t>N/A</t>
        </is>
      </c>
      <c r="R328" s="99" t="inlineStr">
        <is>
          <t>N</t>
        </is>
      </c>
      <c r="S328" s="99" t="n">
        <v>-9.300000000000001</v>
      </c>
      <c r="T328" s="99" t="n">
        <v>-5.6</v>
      </c>
      <c r="U328" s="99" t="inlineStr">
        <is>
          <t>N</t>
        </is>
      </c>
      <c r="V328" s="99" t="n">
        <v>23.8</v>
      </c>
      <c r="W328" s="99" t="n">
        <v>20.3</v>
      </c>
      <c r="X328" s="99" t="n">
        <v>0.11</v>
      </c>
      <c r="Y328" s="99" t="n">
        <v>172.4</v>
      </c>
      <c r="Z328" s="99" t="n">
        <v>3</v>
      </c>
      <c r="AA328" s="94" t="inlineStr">
        <is>
          <t>AVOID</t>
        </is>
      </c>
    </row>
    <row r="329">
      <c r="A329" s="97" t="inlineStr">
        <is>
          <t>MUTHOOTFIN</t>
        </is>
      </c>
      <c r="B329" s="97" t="inlineStr">
        <is>
          <t>Muthoot Finance Ltd.</t>
        </is>
      </c>
      <c r="C329" s="97" t="inlineStr">
        <is>
          <t>Financial Services</t>
        </is>
      </c>
      <c r="D329" s="97" t="inlineStr">
        <is>
          <t>Large/Midcap</t>
        </is>
      </c>
      <c r="E329" s="97" t="n">
        <v>2986.7</v>
      </c>
      <c r="F329" s="97" t="n">
        <v>-0.79</v>
      </c>
      <c r="G329" s="97" t="n">
        <v>1056004</v>
      </c>
      <c r="H329" s="97" t="n">
        <v>1.78</v>
      </c>
      <c r="I329" s="97" t="n">
        <v>119907</v>
      </c>
      <c r="J329" s="97" t="inlineStr">
        <is>
          <t>Y</t>
        </is>
      </c>
      <c r="K329" s="97" t="inlineStr">
        <is>
          <t>N</t>
        </is>
      </c>
      <c r="L329" s="97" t="inlineStr">
        <is>
          <t>N</t>
        </is>
      </c>
      <c r="M329" s="97" t="n">
        <v>34.5</v>
      </c>
      <c r="N329" s="97" t="inlineStr">
        <is>
          <t>N</t>
        </is>
      </c>
      <c r="O329" s="97" t="n">
        <v>82.11</v>
      </c>
      <c r="P329" s="97" t="inlineStr">
        <is>
          <t>N</t>
        </is>
      </c>
      <c r="Q329" s="97" t="inlineStr">
        <is>
          <t>N/A</t>
        </is>
      </c>
      <c r="R329" s="97" t="inlineStr">
        <is>
          <t>N</t>
        </is>
      </c>
      <c r="S329" s="97" t="n">
        <v>-0.2</v>
      </c>
      <c r="T329" s="97" t="n">
        <v>-13.2</v>
      </c>
      <c r="U329" s="97" t="inlineStr">
        <is>
          <t>N</t>
        </is>
      </c>
      <c r="V329" s="97" t="n">
        <v>11.3</v>
      </c>
      <c r="W329" s="97" t="n">
        <v>30.4</v>
      </c>
      <c r="X329" s="97" t="n">
        <v>379.71</v>
      </c>
      <c r="Y329" s="97" t="n">
        <v>19.5</v>
      </c>
      <c r="Z329" s="97" t="n">
        <v>3</v>
      </c>
      <c r="AA329" s="92" t="inlineStr">
        <is>
          <t>AVOID</t>
        </is>
      </c>
    </row>
    <row r="330">
      <c r="A330" s="99" t="inlineStr">
        <is>
          <t>NATCOPHARM</t>
        </is>
      </c>
      <c r="B330" s="99" t="inlineStr">
        <is>
          <t>NATCO Pharma Ltd.</t>
        </is>
      </c>
      <c r="C330" s="99" t="inlineStr">
        <is>
          <t>Healthcare</t>
        </is>
      </c>
      <c r="D330" s="99" t="inlineStr">
        <is>
          <t>Smallcap</t>
        </is>
      </c>
      <c r="E330" s="99" t="n">
        <v>921.45</v>
      </c>
      <c r="F330" s="99" t="n">
        <v>0.32</v>
      </c>
      <c r="G330" s="99" t="n">
        <v>211503</v>
      </c>
      <c r="H330" s="99" t="n">
        <v>0.63</v>
      </c>
      <c r="I330" s="99" t="n">
        <v>16504</v>
      </c>
      <c r="J330" s="99" t="inlineStr">
        <is>
          <t>Y</t>
        </is>
      </c>
      <c r="K330" s="99" t="inlineStr">
        <is>
          <t>N</t>
        </is>
      </c>
      <c r="L330" s="99" t="inlineStr">
        <is>
          <t>N</t>
        </is>
      </c>
      <c r="M330" s="99" t="n">
        <v>47.4</v>
      </c>
      <c r="N330" s="99" t="inlineStr">
        <is>
          <t>N</t>
        </is>
      </c>
      <c r="O330" s="99" t="n">
        <v>29.9</v>
      </c>
      <c r="P330" s="99" t="inlineStr">
        <is>
          <t>N</t>
        </is>
      </c>
      <c r="Q330" s="99" t="inlineStr">
        <is>
          <t>N/A</t>
        </is>
      </c>
      <c r="R330" s="99" t="inlineStr">
        <is>
          <t>N</t>
        </is>
      </c>
      <c r="S330" s="99" t="n">
        <v>3</v>
      </c>
      <c r="T330" s="99" t="n">
        <v>-15.2</v>
      </c>
      <c r="U330" s="99" t="inlineStr">
        <is>
          <t>N</t>
        </is>
      </c>
      <c r="V330" s="99" t="n">
        <v>11.6</v>
      </c>
      <c r="W330" s="99" t="n">
        <v>16.9</v>
      </c>
      <c r="X330" s="99" t="n">
        <v>7.74</v>
      </c>
      <c r="Y330" s="99" t="n">
        <v>76.8</v>
      </c>
      <c r="Z330" s="99" t="n">
        <v>3</v>
      </c>
      <c r="AA330" s="94" t="inlineStr">
        <is>
          <t>AVOID</t>
        </is>
      </c>
    </row>
    <row r="331">
      <c r="A331" s="97" t="inlineStr">
        <is>
          <t>NSLNISP</t>
        </is>
      </c>
      <c r="B331" s="97" t="inlineStr">
        <is>
          <t>NMDC Steel Ltd.</t>
        </is>
      </c>
      <c r="C331" s="97" t="inlineStr">
        <is>
          <t>Metals &amp; Mining</t>
        </is>
      </c>
      <c r="D331" s="97" t="inlineStr">
        <is>
          <t>Smallcap</t>
        </is>
      </c>
      <c r="E331" s="97" t="n">
        <v>41.41</v>
      </c>
      <c r="F331" s="97" t="n">
        <v>-0.58</v>
      </c>
      <c r="G331" s="97" t="n">
        <v>4399097</v>
      </c>
      <c r="H331" s="97" t="n">
        <v>2.06</v>
      </c>
      <c r="I331" s="97" t="n">
        <v>12136</v>
      </c>
      <c r="J331" s="97" t="inlineStr">
        <is>
          <t>Y</t>
        </is>
      </c>
      <c r="K331" s="97" t="inlineStr">
        <is>
          <t>N</t>
        </is>
      </c>
      <c r="L331" s="97" t="inlineStr">
        <is>
          <t>N</t>
        </is>
      </c>
      <c r="M331" s="97" t="n">
        <v>23.7</v>
      </c>
      <c r="N331" s="97" t="inlineStr">
        <is>
          <t>N</t>
        </is>
      </c>
      <c r="O331" s="97" t="n">
        <v>0.92</v>
      </c>
      <c r="P331" s="97" t="inlineStr">
        <is>
          <t>Y</t>
        </is>
      </c>
      <c r="Q331" s="97" t="inlineStr">
        <is>
          <t>N/A</t>
        </is>
      </c>
      <c r="R331" s="97" t="inlineStr">
        <is>
          <t>N</t>
        </is>
      </c>
      <c r="S331" s="97" t="n">
        <v>-4.1</v>
      </c>
      <c r="T331" s="97" t="n">
        <v>-2</v>
      </c>
      <c r="U331" s="97" t="inlineStr">
        <is>
          <t>N</t>
        </is>
      </c>
      <c r="V331" s="97" t="n">
        <v>207.1</v>
      </c>
      <c r="W331" s="97" t="n">
        <v>0.4</v>
      </c>
      <c r="X331" s="97" t="n">
        <v>35.02</v>
      </c>
      <c r="Y331" s="97" t="n">
        <v>260.6</v>
      </c>
      <c r="Z331" s="97" t="n">
        <v>3</v>
      </c>
      <c r="AA331" s="92" t="inlineStr">
        <is>
          <t>AVOID</t>
        </is>
      </c>
    </row>
    <row r="332">
      <c r="A332" s="99" t="inlineStr">
        <is>
          <t>NESTLEIND</t>
        </is>
      </c>
      <c r="B332" s="99" t="inlineStr">
        <is>
          <t>Nestle India Ltd.</t>
        </is>
      </c>
      <c r="C332" s="99" t="inlineStr">
        <is>
          <t>Fast Moving Consumer Goods</t>
        </is>
      </c>
      <c r="D332" s="99" t="inlineStr">
        <is>
          <t>Large/Midcap</t>
        </is>
      </c>
      <c r="E332" s="99" t="n">
        <v>1443.5</v>
      </c>
      <c r="F332" s="99" t="n">
        <v>-0.3</v>
      </c>
      <c r="G332" s="99" t="n">
        <v>3041475</v>
      </c>
      <c r="H332" s="99" t="n">
        <v>0.85</v>
      </c>
      <c r="I332" s="99" t="n">
        <v>278352</v>
      </c>
      <c r="J332" s="99" t="inlineStr">
        <is>
          <t>Y</t>
        </is>
      </c>
      <c r="K332" s="99" t="inlineStr">
        <is>
          <t>Y</t>
        </is>
      </c>
      <c r="L332" s="99" t="inlineStr">
        <is>
          <t>Y</t>
        </is>
      </c>
      <c r="M332" s="99" t="n">
        <v>43.9</v>
      </c>
      <c r="N332" s="99" t="inlineStr">
        <is>
          <t>N</t>
        </is>
      </c>
      <c r="O332" s="99" t="n">
        <v>32.31</v>
      </c>
      <c r="P332" s="99" t="inlineStr">
        <is>
          <t>N</t>
        </is>
      </c>
      <c r="Q332" s="99" t="inlineStr">
        <is>
          <t>N/A</t>
        </is>
      </c>
      <c r="R332" s="99" t="inlineStr">
        <is>
          <t>N</t>
        </is>
      </c>
      <c r="S332" s="99" t="n">
        <v>4.5</v>
      </c>
      <c r="T332" s="99" t="n">
        <v>-0.5</v>
      </c>
      <c r="U332" s="99" t="inlineStr">
        <is>
          <t>N</t>
        </is>
      </c>
      <c r="V332" s="99" t="n">
        <v>73</v>
      </c>
      <c r="W332" s="99" t="inlineStr">
        <is>
          <t>N/A</t>
        </is>
      </c>
      <c r="X332" s="99" t="n">
        <v>8.619999999999999</v>
      </c>
      <c r="Y332" s="99" t="n">
        <v>-4</v>
      </c>
      <c r="Z332" s="99" t="n">
        <v>3</v>
      </c>
      <c r="AA332" s="94" t="inlineStr">
        <is>
          <t>AVOID</t>
        </is>
      </c>
    </row>
    <row r="333">
      <c r="A333" s="97" t="inlineStr">
        <is>
          <t>ONGC</t>
        </is>
      </c>
      <c r="B333" s="97" t="inlineStr">
        <is>
          <t>Oil &amp; Natural Gas Corporation Ltd.</t>
        </is>
      </c>
      <c r="C333" s="97" t="inlineStr">
        <is>
          <t>Oil Gas &amp; Consumable Fuels</t>
        </is>
      </c>
      <c r="D333" s="97" t="inlineStr">
        <is>
          <t>Large/Midcap</t>
        </is>
      </c>
      <c r="E333" s="97" t="n">
        <v>248.76</v>
      </c>
      <c r="F333" s="97" t="n">
        <v>-1.43</v>
      </c>
      <c r="G333" s="97" t="n">
        <v>7645869</v>
      </c>
      <c r="H333" s="97" t="n">
        <v>0.71</v>
      </c>
      <c r="I333" s="97" t="n">
        <v>312947</v>
      </c>
      <c r="J333" s="97" t="inlineStr">
        <is>
          <t>Y</t>
        </is>
      </c>
      <c r="K333" s="97" t="inlineStr">
        <is>
          <t>N</t>
        </is>
      </c>
      <c r="L333" s="97" t="inlineStr">
        <is>
          <t>N</t>
        </is>
      </c>
      <c r="M333" s="97" t="n">
        <v>60.5</v>
      </c>
      <c r="N333" s="97" t="inlineStr">
        <is>
          <t>Y</t>
        </is>
      </c>
      <c r="O333" s="97" t="n">
        <v>3.83</v>
      </c>
      <c r="P333" s="97" t="inlineStr">
        <is>
          <t>N</t>
        </is>
      </c>
      <c r="Q333" s="97" t="inlineStr">
        <is>
          <t>N/A</t>
        </is>
      </c>
      <c r="R333" s="97" t="inlineStr">
        <is>
          <t>N</t>
        </is>
      </c>
      <c r="S333" s="97" t="n">
        <v>7.8</v>
      </c>
      <c r="T333" s="97" t="n">
        <v>-16.9</v>
      </c>
      <c r="U333" s="97" t="inlineStr">
        <is>
          <t>N</t>
        </is>
      </c>
      <c r="V333" s="97" t="n">
        <v>7.6</v>
      </c>
      <c r="W333" s="97" t="n">
        <v>12.7</v>
      </c>
      <c r="X333" s="97" t="n">
        <v>42.55</v>
      </c>
      <c r="Y333" s="97" t="n">
        <v>8</v>
      </c>
      <c r="Z333" s="97" t="n">
        <v>3</v>
      </c>
      <c r="AA333" s="92" t="inlineStr">
        <is>
          <t>AVOID</t>
        </is>
      </c>
    </row>
    <row r="334">
      <c r="A334" s="99" t="inlineStr">
        <is>
          <t>ONESOURCE</t>
        </is>
      </c>
      <c r="B334" s="99" t="inlineStr">
        <is>
          <t>Onesource Specialty Pharma Ltd.</t>
        </is>
      </c>
      <c r="C334" s="99" t="inlineStr">
        <is>
          <t>Healthcare</t>
        </is>
      </c>
      <c r="D334" s="99" t="inlineStr">
        <is>
          <t>Smallcap</t>
        </is>
      </c>
      <c r="E334" s="99" t="n">
        <v>1653.9</v>
      </c>
      <c r="F334" s="99" t="n">
        <v>-0.02</v>
      </c>
      <c r="G334" s="99" t="n">
        <v>87251</v>
      </c>
      <c r="H334" s="99" t="n">
        <v>0.38</v>
      </c>
      <c r="I334" s="99" t="n">
        <v>18965</v>
      </c>
      <c r="J334" s="99" t="inlineStr">
        <is>
          <t>Y</t>
        </is>
      </c>
      <c r="K334" s="99" t="inlineStr">
        <is>
          <t>N</t>
        </is>
      </c>
      <c r="L334" s="99" t="inlineStr">
        <is>
          <t>Y</t>
        </is>
      </c>
      <c r="M334" s="99" t="n">
        <v>48.4</v>
      </c>
      <c r="N334" s="99" t="inlineStr">
        <is>
          <t>N</t>
        </is>
      </c>
      <c r="O334" s="99" t="n">
        <v>72.11</v>
      </c>
      <c r="P334" s="99" t="inlineStr">
        <is>
          <t>N</t>
        </is>
      </c>
      <c r="Q334" s="99" t="inlineStr">
        <is>
          <t>N/A</t>
        </is>
      </c>
      <c r="R334" s="99" t="inlineStr">
        <is>
          <t>N</t>
        </is>
      </c>
      <c r="S334" s="99" t="n">
        <v>7.3</v>
      </c>
      <c r="T334" s="99" t="n">
        <v>-5.6</v>
      </c>
      <c r="U334" s="99" t="inlineStr">
        <is>
          <t>N</t>
        </is>
      </c>
      <c r="V334" s="99" t="inlineStr">
        <is>
          <t>N/A</t>
        </is>
      </c>
      <c r="W334" s="99" t="inlineStr">
        <is>
          <t>N/A</t>
        </is>
      </c>
      <c r="X334" s="99" t="n">
        <v>25.79</v>
      </c>
      <c r="Y334" s="99" t="n">
        <v>105.2</v>
      </c>
      <c r="Z334" s="99" t="n">
        <v>3</v>
      </c>
      <c r="AA334" s="94" t="inlineStr">
        <is>
          <t>AVOID</t>
        </is>
      </c>
    </row>
    <row r="335">
      <c r="A335" s="97" t="inlineStr">
        <is>
          <t>PETRONET</t>
        </is>
      </c>
      <c r="B335" s="97" t="inlineStr">
        <is>
          <t>Petronet LNG Ltd.</t>
        </is>
      </c>
      <c r="C335" s="97" t="inlineStr">
        <is>
          <t>Oil Gas &amp; Consumable Fuels</t>
        </is>
      </c>
      <c r="D335" s="97" t="inlineStr">
        <is>
          <t>Large/Midcap</t>
        </is>
      </c>
      <c r="E335" s="97" t="n">
        <v>274.7</v>
      </c>
      <c r="F335" s="97" t="n">
        <v>1.95</v>
      </c>
      <c r="G335" s="97" t="n">
        <v>2466930</v>
      </c>
      <c r="H335" s="97" t="n">
        <v>0.86</v>
      </c>
      <c r="I335" s="97" t="n">
        <v>41205</v>
      </c>
      <c r="J335" s="97" t="inlineStr">
        <is>
          <t>Y</t>
        </is>
      </c>
      <c r="K335" s="97" t="inlineStr">
        <is>
          <t>N</t>
        </is>
      </c>
      <c r="L335" s="97" t="inlineStr">
        <is>
          <t>N</t>
        </is>
      </c>
      <c r="M335" s="97" t="n">
        <v>49.2</v>
      </c>
      <c r="N335" s="97" t="inlineStr">
        <is>
          <t>N</t>
        </is>
      </c>
      <c r="O335" s="97" t="n">
        <v>6.39</v>
      </c>
      <c r="P335" s="97" t="inlineStr">
        <is>
          <t>N</t>
        </is>
      </c>
      <c r="Q335" s="97" t="inlineStr">
        <is>
          <t>N/A</t>
        </is>
      </c>
      <c r="R335" s="97" t="inlineStr">
        <is>
          <t>N</t>
        </is>
      </c>
      <c r="S335" s="97" t="n">
        <v>-1.6</v>
      </c>
      <c r="T335" s="97" t="n">
        <v>-0.3</v>
      </c>
      <c r="U335" s="97" t="inlineStr">
        <is>
          <t>N</t>
        </is>
      </c>
      <c r="V335" s="97" t="n">
        <v>10.5</v>
      </c>
      <c r="W335" s="97" t="n">
        <v>18.6</v>
      </c>
      <c r="X335" s="97" t="n">
        <v>10.51</v>
      </c>
      <c r="Y335" s="97" t="n">
        <v>57.6</v>
      </c>
      <c r="Z335" s="97" t="n">
        <v>3</v>
      </c>
      <c r="AA335" s="92" t="inlineStr">
        <is>
          <t>AVOID</t>
        </is>
      </c>
    </row>
    <row r="336">
      <c r="A336" s="99" t="inlineStr">
        <is>
          <t>PWL</t>
        </is>
      </c>
      <c r="B336" s="99" t="inlineStr">
        <is>
          <t>Physicswallah Ltd.</t>
        </is>
      </c>
      <c r="C336" s="99" t="inlineStr">
        <is>
          <t>Consumer Services</t>
        </is>
      </c>
      <c r="D336" s="99" t="inlineStr">
        <is>
          <t>Smallcap</t>
        </is>
      </c>
      <c r="E336" s="99" t="n">
        <v>128.05</v>
      </c>
      <c r="F336" s="99" t="n">
        <v>-3.9</v>
      </c>
      <c r="G336" s="99" t="n">
        <v>12191137</v>
      </c>
      <c r="H336" s="99" t="n">
        <v>3.99</v>
      </c>
      <c r="I336" s="99" t="n">
        <v>36618</v>
      </c>
      <c r="J336" s="99" t="inlineStr">
        <is>
          <t>Y</t>
        </is>
      </c>
      <c r="K336" s="99" t="inlineStr">
        <is>
          <t>Y</t>
        </is>
      </c>
      <c r="L336" s="99" t="inlineStr">
        <is>
          <t>N/A</t>
        </is>
      </c>
      <c r="M336" s="99" t="n">
        <v>42.9</v>
      </c>
      <c r="N336" s="99" t="inlineStr">
        <is>
          <t>N</t>
        </is>
      </c>
      <c r="O336" s="99" t="n">
        <v>8.31</v>
      </c>
      <c r="P336" s="99" t="inlineStr">
        <is>
          <t>N</t>
        </is>
      </c>
      <c r="Q336" s="99" t="inlineStr">
        <is>
          <t>N/A</t>
        </is>
      </c>
      <c r="R336" s="99" t="inlineStr">
        <is>
          <t>N</t>
        </is>
      </c>
      <c r="S336" s="99" t="n">
        <v>3.2</v>
      </c>
      <c r="T336" s="99" t="n">
        <v>16.3</v>
      </c>
      <c r="U336" s="99" t="inlineStr">
        <is>
          <t>Y</t>
        </is>
      </c>
      <c r="V336" s="99" t="inlineStr">
        <is>
          <t>N/A</t>
        </is>
      </c>
      <c r="W336" s="99" t="n">
        <v>-0.8</v>
      </c>
      <c r="X336" s="99" t="n">
        <v>23.02</v>
      </c>
      <c r="Y336" s="99" t="n">
        <v>-174.5</v>
      </c>
      <c r="Z336" s="99" t="n">
        <v>3</v>
      </c>
      <c r="AA336" s="94" t="inlineStr">
        <is>
          <t>AVOID</t>
        </is>
      </c>
    </row>
    <row r="337">
      <c r="A337" s="97" t="inlineStr">
        <is>
          <t>PIRAMALFIN</t>
        </is>
      </c>
      <c r="B337" s="97" t="inlineStr">
        <is>
          <t>Piramal Finance Ltd.</t>
        </is>
      </c>
      <c r="C337" s="97" t="inlineStr">
        <is>
          <t>Financial Services</t>
        </is>
      </c>
      <c r="D337" s="97" t="inlineStr">
        <is>
          <t>Smallcap</t>
        </is>
      </c>
      <c r="E337" s="97" t="n">
        <v>2085.4</v>
      </c>
      <c r="F337" s="97" t="n">
        <v>-0.98</v>
      </c>
      <c r="G337" s="97" t="n">
        <v>204392</v>
      </c>
      <c r="H337" s="97" t="n">
        <v>0.8100000000000001</v>
      </c>
      <c r="I337" s="97" t="n">
        <v>47131</v>
      </c>
      <c r="J337" s="97" t="inlineStr">
        <is>
          <t>Y</t>
        </is>
      </c>
      <c r="K337" s="97" t="inlineStr">
        <is>
          <t>Y</t>
        </is>
      </c>
      <c r="L337" s="97" t="inlineStr">
        <is>
          <t>N/A</t>
        </is>
      </c>
      <c r="M337" s="97" t="n">
        <v>37.2</v>
      </c>
      <c r="N337" s="97" t="inlineStr">
        <is>
          <t>N</t>
        </is>
      </c>
      <c r="O337" s="97" t="n">
        <v>67.17</v>
      </c>
      <c r="P337" s="97" t="inlineStr">
        <is>
          <t>N</t>
        </is>
      </c>
      <c r="Q337" s="97" t="inlineStr">
        <is>
          <t>N/A</t>
        </is>
      </c>
      <c r="R337" s="97" t="inlineStr">
        <is>
          <t>N</t>
        </is>
      </c>
      <c r="S337" s="97" t="n">
        <v>-1.1</v>
      </c>
      <c r="T337" s="97" t="n">
        <v>4.7</v>
      </c>
      <c r="U337" s="97" t="inlineStr">
        <is>
          <t>Y</t>
        </is>
      </c>
      <c r="V337" s="97" t="n">
        <v>27.9</v>
      </c>
      <c r="W337" s="97" t="inlineStr">
        <is>
          <t>N/A</t>
        </is>
      </c>
      <c r="X337" s="97" t="n">
        <v>285.78</v>
      </c>
      <c r="Y337" s="97" t="n">
        <v>-8.300000000000001</v>
      </c>
      <c r="Z337" s="97" t="n">
        <v>3</v>
      </c>
      <c r="AA337" s="92" t="inlineStr">
        <is>
          <t>AVOID</t>
        </is>
      </c>
    </row>
    <row r="338">
      <c r="A338" s="99" t="inlineStr">
        <is>
          <t>RBLBANK</t>
        </is>
      </c>
      <c r="B338" s="99" t="inlineStr">
        <is>
          <t>RBL Bank Ltd.</t>
        </is>
      </c>
      <c r="C338" s="99" t="inlineStr">
        <is>
          <t>Financial Services</t>
        </is>
      </c>
      <c r="D338" s="99" t="inlineStr">
        <is>
          <t>Smallcap</t>
        </is>
      </c>
      <c r="E338" s="99" t="n">
        <v>352.9</v>
      </c>
      <c r="F338" s="99" t="n">
        <v>-0.27</v>
      </c>
      <c r="G338" s="99" t="n">
        <v>2705750</v>
      </c>
      <c r="H338" s="99" t="n">
        <v>0.64</v>
      </c>
      <c r="I338" s="99" t="n">
        <v>54649</v>
      </c>
      <c r="J338" s="99" t="inlineStr">
        <is>
          <t>Y</t>
        </is>
      </c>
      <c r="K338" s="99" t="inlineStr">
        <is>
          <t>N</t>
        </is>
      </c>
      <c r="L338" s="99" t="inlineStr">
        <is>
          <t>Y</t>
        </is>
      </c>
      <c r="M338" s="99" t="n">
        <v>40.4</v>
      </c>
      <c r="N338" s="99" t="inlineStr">
        <is>
          <t>N</t>
        </is>
      </c>
      <c r="O338" s="99" t="n">
        <v>10.55</v>
      </c>
      <c r="P338" s="99" t="inlineStr">
        <is>
          <t>N</t>
        </is>
      </c>
      <c r="Q338" s="99" t="inlineStr">
        <is>
          <t>N/A</t>
        </is>
      </c>
      <c r="R338" s="99" t="inlineStr">
        <is>
          <t>N</t>
        </is>
      </c>
      <c r="S338" s="99" t="n">
        <v>-3.8</v>
      </c>
      <c r="T338" s="99" t="n">
        <v>4</v>
      </c>
      <c r="U338" s="99" t="inlineStr">
        <is>
          <t>Y</t>
        </is>
      </c>
      <c r="V338" s="99" t="n">
        <v>29.2</v>
      </c>
      <c r="W338" s="99" t="inlineStr">
        <is>
          <t>N/A</t>
        </is>
      </c>
      <c r="X338" s="99" t="inlineStr">
        <is>
          <t>N/A</t>
        </is>
      </c>
      <c r="Y338" s="99" t="n">
        <v>-4.2</v>
      </c>
      <c r="Z338" s="99" t="n">
        <v>3</v>
      </c>
      <c r="AA338" s="94" t="inlineStr">
        <is>
          <t>AVOID</t>
        </is>
      </c>
    </row>
    <row r="339">
      <c r="A339" s="97" t="inlineStr">
        <is>
          <t>RHIM</t>
        </is>
      </c>
      <c r="B339" s="97" t="inlineStr">
        <is>
          <t>RHI MAGNESITA INDIA LTD.</t>
        </is>
      </c>
      <c r="C339" s="97" t="inlineStr">
        <is>
          <t>Capital Goods</t>
        </is>
      </c>
      <c r="D339" s="97" t="inlineStr">
        <is>
          <t>Smallcap</t>
        </is>
      </c>
      <c r="E339" s="97" t="n">
        <v>398.95</v>
      </c>
      <c r="F339" s="97" t="n">
        <v>0.85</v>
      </c>
      <c r="G339" s="97" t="n">
        <v>745087</v>
      </c>
      <c r="H339" s="97" t="n">
        <v>1.15</v>
      </c>
      <c r="I339" s="97" t="n">
        <v>8238</v>
      </c>
      <c r="J339" s="97" t="inlineStr">
        <is>
          <t>Y</t>
        </is>
      </c>
      <c r="K339" s="97" t="inlineStr">
        <is>
          <t>Y</t>
        </is>
      </c>
      <c r="L339" s="97" t="inlineStr">
        <is>
          <t>N</t>
        </is>
      </c>
      <c r="M339" s="97" t="n">
        <v>59.2</v>
      </c>
      <c r="N339" s="97" t="inlineStr">
        <is>
          <t>Y</t>
        </is>
      </c>
      <c r="O339" s="97" t="n">
        <v>14.36</v>
      </c>
      <c r="P339" s="97" t="inlineStr">
        <is>
          <t>N</t>
        </is>
      </c>
      <c r="Q339" s="97" t="inlineStr">
        <is>
          <t>N/A</t>
        </is>
      </c>
      <c r="R339" s="97" t="inlineStr">
        <is>
          <t>N</t>
        </is>
      </c>
      <c r="S339" s="97" t="n">
        <v>7.1</v>
      </c>
      <c r="T339" s="97" t="n">
        <v>-2.1</v>
      </c>
      <c r="U339" s="97" t="inlineStr">
        <is>
          <t>N</t>
        </is>
      </c>
      <c r="V339" s="97" t="inlineStr">
        <is>
          <t>N/A</t>
        </is>
      </c>
      <c r="W339" s="97" t="n">
        <v>-10.1</v>
      </c>
      <c r="X339" s="97" t="n">
        <v>12.6</v>
      </c>
      <c r="Y339" s="97" t="n">
        <v>-941.7</v>
      </c>
      <c r="Z339" s="97" t="n">
        <v>3</v>
      </c>
      <c r="AA339" s="92" t="inlineStr">
        <is>
          <t>AVOID</t>
        </is>
      </c>
    </row>
    <row r="340">
      <c r="A340" s="99" t="inlineStr">
        <is>
          <t>SBFC</t>
        </is>
      </c>
      <c r="B340" s="99" t="inlineStr">
        <is>
          <t>SBFC Finance Ltd.</t>
        </is>
      </c>
      <c r="C340" s="99" t="inlineStr">
        <is>
          <t>Financial Services</t>
        </is>
      </c>
      <c r="D340" s="99" t="inlineStr">
        <is>
          <t>Smallcap</t>
        </is>
      </c>
      <c r="E340" s="99" t="n">
        <v>92.18000000000001</v>
      </c>
      <c r="F340" s="99" t="n">
        <v>1.83</v>
      </c>
      <c r="G340" s="99" t="n">
        <v>696691</v>
      </c>
      <c r="H340" s="99" t="n">
        <v>1.09</v>
      </c>
      <c r="I340" s="99" t="n">
        <v>10201</v>
      </c>
      <c r="J340" s="99" t="inlineStr">
        <is>
          <t>Y</t>
        </is>
      </c>
      <c r="K340" s="99" t="inlineStr">
        <is>
          <t>Y</t>
        </is>
      </c>
      <c r="L340" s="99" t="inlineStr">
        <is>
          <t>N</t>
        </is>
      </c>
      <c r="M340" s="99" t="n">
        <v>48.7</v>
      </c>
      <c r="N340" s="99" t="inlineStr">
        <is>
          <t>N</t>
        </is>
      </c>
      <c r="O340" s="99" t="n">
        <v>1.97</v>
      </c>
      <c r="P340" s="99" t="inlineStr">
        <is>
          <t>N</t>
        </is>
      </c>
      <c r="Q340" s="99" t="inlineStr">
        <is>
          <t>N/A</t>
        </is>
      </c>
      <c r="R340" s="99" t="inlineStr">
        <is>
          <t>N</t>
        </is>
      </c>
      <c r="S340" s="99" t="n">
        <v>2.6</v>
      </c>
      <c r="T340" s="99" t="n">
        <v>-1.4</v>
      </c>
      <c r="U340" s="99" t="inlineStr">
        <is>
          <t>N</t>
        </is>
      </c>
      <c r="V340" s="99" t="n">
        <v>22.5</v>
      </c>
      <c r="W340" s="99" t="inlineStr">
        <is>
          <t>N/A</t>
        </is>
      </c>
      <c r="X340" s="99" t="n">
        <v>195.69</v>
      </c>
      <c r="Y340" s="99" t="n">
        <v>4</v>
      </c>
      <c r="Z340" s="99" t="n">
        <v>3</v>
      </c>
      <c r="AA340" s="94" t="inlineStr">
        <is>
          <t>AVOID</t>
        </is>
      </c>
    </row>
    <row r="341">
      <c r="A341" s="97" t="inlineStr">
        <is>
          <t>SAMMAANCAP</t>
        </is>
      </c>
      <c r="B341" s="97" t="inlineStr">
        <is>
          <t>Sammaan Capital Ltd.</t>
        </is>
      </c>
      <c r="C341" s="97" t="inlineStr">
        <is>
          <t>Financial Services</t>
        </is>
      </c>
      <c r="D341" s="97" t="inlineStr">
        <is>
          <t>Smallcap</t>
        </is>
      </c>
      <c r="E341" s="97" t="n">
        <v>160.64</v>
      </c>
      <c r="F341" s="97" t="n">
        <v>1.71</v>
      </c>
      <c r="G341" s="97" t="n">
        <v>9791627</v>
      </c>
      <c r="H341" s="97" t="n">
        <v>1.29</v>
      </c>
      <c r="I341" s="97" t="n">
        <v>18453</v>
      </c>
      <c r="J341" s="97" t="inlineStr">
        <is>
          <t>Y</t>
        </is>
      </c>
      <c r="K341" s="97" t="inlineStr">
        <is>
          <t>N</t>
        </is>
      </c>
      <c r="L341" s="97" t="inlineStr">
        <is>
          <t>Y</t>
        </is>
      </c>
      <c r="M341" s="97" t="n">
        <v>29.8</v>
      </c>
      <c r="N341" s="97" t="inlineStr">
        <is>
          <t>N</t>
        </is>
      </c>
      <c r="O341" s="97" t="n">
        <v>5.11</v>
      </c>
      <c r="P341" s="97" t="inlineStr">
        <is>
          <t>N</t>
        </is>
      </c>
      <c r="Q341" s="97" t="inlineStr">
        <is>
          <t>N/A</t>
        </is>
      </c>
      <c r="R341" s="97" t="inlineStr">
        <is>
          <t>N</t>
        </is>
      </c>
      <c r="S341" s="97" t="n">
        <v>-4.3</v>
      </c>
      <c r="T341" s="97" t="n">
        <v>14.4</v>
      </c>
      <c r="U341" s="97" t="inlineStr">
        <is>
          <t>Y</t>
        </is>
      </c>
      <c r="V341" s="97" t="inlineStr">
        <is>
          <t>N/A</t>
        </is>
      </c>
      <c r="W341" s="97" t="n">
        <v>-35</v>
      </c>
      <c r="X341" s="97" t="n">
        <v>273.03</v>
      </c>
      <c r="Y341" s="97" t="n">
        <v>-2679.4</v>
      </c>
      <c r="Z341" s="97" t="n">
        <v>3</v>
      </c>
      <c r="AA341" s="92" t="inlineStr">
        <is>
          <t>AVOID</t>
        </is>
      </c>
    </row>
    <row r="342">
      <c r="A342" s="99" t="inlineStr">
        <is>
          <t>SAPPHIRE</t>
        </is>
      </c>
      <c r="B342" s="99" t="inlineStr">
        <is>
          <t>Sapphire Foods India Ltd.</t>
        </is>
      </c>
      <c r="C342" s="99" t="inlineStr">
        <is>
          <t>Consumer Services</t>
        </is>
      </c>
      <c r="D342" s="99" t="inlineStr">
        <is>
          <t>Smallcap</t>
        </is>
      </c>
      <c r="E342" s="99" t="n">
        <v>179.12</v>
      </c>
      <c r="F342" s="99" t="n">
        <v>-0.47</v>
      </c>
      <c r="G342" s="99" t="n">
        <v>5304468</v>
      </c>
      <c r="H342" s="99" t="n">
        <v>8.140000000000001</v>
      </c>
      <c r="I342" s="99" t="n">
        <v>5763</v>
      </c>
      <c r="J342" s="99" t="inlineStr">
        <is>
          <t>Y</t>
        </is>
      </c>
      <c r="K342" s="99" t="inlineStr">
        <is>
          <t>N</t>
        </is>
      </c>
      <c r="L342" s="99" t="inlineStr">
        <is>
          <t>N</t>
        </is>
      </c>
      <c r="M342" s="99" t="n">
        <v>40.7</v>
      </c>
      <c r="N342" s="99" t="inlineStr">
        <is>
          <t>N</t>
        </is>
      </c>
      <c r="O342" s="99" t="n">
        <v>6.27</v>
      </c>
      <c r="P342" s="99" t="inlineStr">
        <is>
          <t>Y</t>
        </is>
      </c>
      <c r="Q342" s="99" t="inlineStr">
        <is>
          <t>N/A</t>
        </is>
      </c>
      <c r="R342" s="99" t="inlineStr">
        <is>
          <t>N</t>
        </is>
      </c>
      <c r="S342" s="99" t="n">
        <v>0.4</v>
      </c>
      <c r="T342" s="99" t="n">
        <v>-13.1</v>
      </c>
      <c r="U342" s="99" t="inlineStr">
        <is>
          <t>N</t>
        </is>
      </c>
      <c r="V342" s="99" t="inlineStr">
        <is>
          <t>N/A</t>
        </is>
      </c>
      <c r="W342" s="99" t="inlineStr">
        <is>
          <t>N/A</t>
        </is>
      </c>
      <c r="X342" s="99" t="n">
        <v>102.06</v>
      </c>
      <c r="Y342" s="99" t="n">
        <v>211.4</v>
      </c>
      <c r="Z342" s="99" t="n">
        <v>3</v>
      </c>
      <c r="AA342" s="94" t="inlineStr">
        <is>
          <t>AVOID</t>
        </is>
      </c>
    </row>
    <row r="343">
      <c r="A343" s="97" t="inlineStr">
        <is>
          <t>ENRIN</t>
        </is>
      </c>
      <c r="B343" s="97" t="inlineStr">
        <is>
          <t>Siemens Energy India Ltd.</t>
        </is>
      </c>
      <c r="C343" s="97" t="inlineStr">
        <is>
          <t>Capital Goods</t>
        </is>
      </c>
      <c r="D343" s="97" t="inlineStr">
        <is>
          <t>Large/Midcap</t>
        </is>
      </c>
      <c r="E343" s="97" t="n">
        <v>3240.2</v>
      </c>
      <c r="F343" s="97" t="n">
        <v>-2.6</v>
      </c>
      <c r="G343" s="97" t="n">
        <v>338787</v>
      </c>
      <c r="H343" s="97" t="n">
        <v>1.28</v>
      </c>
      <c r="I343" s="97" t="n">
        <v>115390</v>
      </c>
      <c r="J343" s="97" t="inlineStr">
        <is>
          <t>Y</t>
        </is>
      </c>
      <c r="K343" s="97" t="inlineStr">
        <is>
          <t>N</t>
        </is>
      </c>
      <c r="L343" s="97" t="inlineStr">
        <is>
          <t>Y</t>
        </is>
      </c>
      <c r="M343" s="97" t="n">
        <v>38</v>
      </c>
      <c r="N343" s="97" t="inlineStr">
        <is>
          <t>N</t>
        </is>
      </c>
      <c r="O343" s="97" t="n">
        <v>110.68</v>
      </c>
      <c r="P343" s="97" t="inlineStr">
        <is>
          <t>N</t>
        </is>
      </c>
      <c r="Q343" s="97" t="inlineStr">
        <is>
          <t>N/A</t>
        </is>
      </c>
      <c r="R343" s="97" t="inlineStr">
        <is>
          <t>N</t>
        </is>
      </c>
      <c r="S343" s="97" t="n">
        <v>-11</v>
      </c>
      <c r="T343" s="97" t="n">
        <v>-1.6</v>
      </c>
      <c r="U343" s="97" t="inlineStr">
        <is>
          <t>N</t>
        </is>
      </c>
      <c r="V343" s="97" t="n">
        <v>87.7</v>
      </c>
      <c r="W343" s="97" t="inlineStr">
        <is>
          <t>N/A</t>
        </is>
      </c>
      <c r="X343" s="97" t="n">
        <v>4.48</v>
      </c>
      <c r="Y343" s="97" t="n">
        <v>19.7</v>
      </c>
      <c r="Z343" s="97" t="n">
        <v>3</v>
      </c>
      <c r="AA343" s="92" t="inlineStr">
        <is>
          <t>AVOID</t>
        </is>
      </c>
    </row>
    <row r="344">
      <c r="A344" s="99" t="inlineStr">
        <is>
          <t>SIGNATURE</t>
        </is>
      </c>
      <c r="B344" s="99" t="inlineStr">
        <is>
          <t>Signatureglobal (India) Ltd.</t>
        </is>
      </c>
      <c r="C344" s="99" t="inlineStr">
        <is>
          <t>Realty</t>
        </is>
      </c>
      <c r="D344" s="99" t="inlineStr">
        <is>
          <t>Smallcap</t>
        </is>
      </c>
      <c r="E344" s="99" t="n">
        <v>768.35</v>
      </c>
      <c r="F344" s="99" t="n">
        <v>0.14</v>
      </c>
      <c r="G344" s="99" t="n">
        <v>208099</v>
      </c>
      <c r="H344" s="99" t="n">
        <v>0.95</v>
      </c>
      <c r="I344" s="99" t="n">
        <v>10810</v>
      </c>
      <c r="J344" s="99" t="inlineStr">
        <is>
          <t>Y</t>
        </is>
      </c>
      <c r="K344" s="99" t="inlineStr">
        <is>
          <t>N</t>
        </is>
      </c>
      <c r="L344" s="99" t="inlineStr">
        <is>
          <t>N</t>
        </is>
      </c>
      <c r="M344" s="99" t="n">
        <v>46</v>
      </c>
      <c r="N344" s="99" t="inlineStr">
        <is>
          <t>N</t>
        </is>
      </c>
      <c r="O344" s="99" t="n">
        <v>39.48</v>
      </c>
      <c r="P344" s="99" t="inlineStr">
        <is>
          <t>N</t>
        </is>
      </c>
      <c r="Q344" s="99" t="inlineStr">
        <is>
          <t>N/A</t>
        </is>
      </c>
      <c r="R344" s="99" t="inlineStr">
        <is>
          <t>N</t>
        </is>
      </c>
      <c r="S344" s="99" t="n">
        <v>2.6</v>
      </c>
      <c r="T344" s="99" t="n">
        <v>-9.4</v>
      </c>
      <c r="U344" s="99" t="inlineStr">
        <is>
          <t>N</t>
        </is>
      </c>
      <c r="V344" s="99" t="n">
        <v>9.9</v>
      </c>
      <c r="W344" s="99" t="n">
        <v>84.90000000000001</v>
      </c>
      <c r="X344" s="99" t="n">
        <v>161.04</v>
      </c>
      <c r="Y344" s="99" t="n">
        <v>2641.8</v>
      </c>
      <c r="Z344" s="99" t="n">
        <v>3</v>
      </c>
      <c r="AA344" s="94" t="inlineStr">
        <is>
          <t>AVOID</t>
        </is>
      </c>
    </row>
    <row r="345">
      <c r="A345" s="97" t="inlineStr">
        <is>
          <t>SAIL</t>
        </is>
      </c>
      <c r="B345" s="97" t="inlineStr">
        <is>
          <t>Steel Authority of India Ltd.</t>
        </is>
      </c>
      <c r="C345" s="97" t="inlineStr">
        <is>
          <t>Metals &amp; Mining</t>
        </is>
      </c>
      <c r="D345" s="97" t="inlineStr">
        <is>
          <t>Large/Midcap</t>
        </is>
      </c>
      <c r="E345" s="97" t="n">
        <v>161.45</v>
      </c>
      <c r="F345" s="97" t="n">
        <v>0.34</v>
      </c>
      <c r="G345" s="97" t="n">
        <v>8938065</v>
      </c>
      <c r="H345" s="97" t="n">
        <v>0.86</v>
      </c>
      <c r="I345" s="97" t="n">
        <v>66687</v>
      </c>
      <c r="J345" s="97" t="inlineStr">
        <is>
          <t>Y</t>
        </is>
      </c>
      <c r="K345" s="97" t="inlineStr">
        <is>
          <t>N</t>
        </is>
      </c>
      <c r="L345" s="97" t="inlineStr">
        <is>
          <t>Y</t>
        </is>
      </c>
      <c r="M345" s="97" t="n">
        <v>33.5</v>
      </c>
      <c r="N345" s="97" t="inlineStr">
        <is>
          <t>N</t>
        </is>
      </c>
      <c r="O345" s="97" t="n">
        <v>4.24</v>
      </c>
      <c r="P345" s="97" t="inlineStr">
        <is>
          <t>N</t>
        </is>
      </c>
      <c r="Q345" s="97" t="inlineStr">
        <is>
          <t>N/A</t>
        </is>
      </c>
      <c r="R345" s="97" t="inlineStr">
        <is>
          <t>N</t>
        </is>
      </c>
      <c r="S345" s="97" t="n">
        <v>-4.4</v>
      </c>
      <c r="T345" s="97" t="n">
        <v>-12.7</v>
      </c>
      <c r="U345" s="97" t="inlineStr">
        <is>
          <t>N</t>
        </is>
      </c>
      <c r="V345" s="97" t="n">
        <v>15.6</v>
      </c>
      <c r="W345" s="97" t="inlineStr">
        <is>
          <t>N/A</t>
        </is>
      </c>
      <c r="X345" s="97" t="n">
        <v>52.9</v>
      </c>
      <c r="Y345" s="97" t="n">
        <v>390.7</v>
      </c>
      <c r="Z345" s="97" t="n">
        <v>3</v>
      </c>
      <c r="AA345" s="92" t="inlineStr">
        <is>
          <t>AVOID</t>
        </is>
      </c>
    </row>
    <row r="346">
      <c r="A346" s="99" t="inlineStr">
        <is>
          <t>SUNDARMFIN</t>
        </is>
      </c>
      <c r="B346" s="99" t="inlineStr">
        <is>
          <t>Sundaram Finance Ltd.</t>
        </is>
      </c>
      <c r="C346" s="99" t="inlineStr">
        <is>
          <t>Financial Services</t>
        </is>
      </c>
      <c r="D346" s="99" t="inlineStr">
        <is>
          <t>Large/Midcap</t>
        </is>
      </c>
      <c r="E346" s="99" t="n">
        <v>4447.8</v>
      </c>
      <c r="F346" s="99" t="n">
        <v>0.73</v>
      </c>
      <c r="G346" s="99" t="n">
        <v>50414</v>
      </c>
      <c r="H346" s="99" t="n">
        <v>1.06</v>
      </c>
      <c r="I346" s="99" t="n">
        <v>49023</v>
      </c>
      <c r="J346" s="99" t="inlineStr">
        <is>
          <t>Y</t>
        </is>
      </c>
      <c r="K346" s="99" t="inlineStr">
        <is>
          <t>Y</t>
        </is>
      </c>
      <c r="L346" s="99" t="inlineStr">
        <is>
          <t>N</t>
        </is>
      </c>
      <c r="M346" s="99" t="n">
        <v>40</v>
      </c>
      <c r="N346" s="99" t="inlineStr">
        <is>
          <t>N</t>
        </is>
      </c>
      <c r="O346" s="99" t="n">
        <v>106.09</v>
      </c>
      <c r="P346" s="99" t="inlineStr">
        <is>
          <t>N</t>
        </is>
      </c>
      <c r="Q346" s="99" t="inlineStr">
        <is>
          <t>N/A</t>
        </is>
      </c>
      <c r="R346" s="99" t="inlineStr">
        <is>
          <t>N</t>
        </is>
      </c>
      <c r="S346" s="99" t="n">
        <v>-2.3</v>
      </c>
      <c r="T346" s="99" t="n">
        <v>-2.9</v>
      </c>
      <c r="U346" s="99" t="inlineStr">
        <is>
          <t>N</t>
        </is>
      </c>
      <c r="V346" s="99" t="n">
        <v>23.8</v>
      </c>
      <c r="W346" s="99" t="n">
        <v>14.7</v>
      </c>
      <c r="X346" s="99" t="n">
        <v>409.16</v>
      </c>
      <c r="Y346" s="99" t="n">
        <v>2.4</v>
      </c>
      <c r="Z346" s="99" t="n">
        <v>3</v>
      </c>
      <c r="AA346" s="94" t="inlineStr">
        <is>
          <t>AVOID</t>
        </is>
      </c>
    </row>
    <row r="347">
      <c r="A347" s="97" t="inlineStr">
        <is>
          <t>TATACOMM</t>
        </is>
      </c>
      <c r="B347" s="97" t="inlineStr">
        <is>
          <t>Tata Communications Ltd.</t>
        </is>
      </c>
      <c r="C347" s="97" t="inlineStr">
        <is>
          <t>Telecommunication</t>
        </is>
      </c>
      <c r="D347" s="97" t="inlineStr">
        <is>
          <t>Large/Midcap</t>
        </is>
      </c>
      <c r="E347" s="97" t="n">
        <v>1775.3</v>
      </c>
      <c r="F347" s="97" t="n">
        <v>-1.41</v>
      </c>
      <c r="G347" s="97" t="n">
        <v>187353</v>
      </c>
      <c r="H347" s="97" t="n">
        <v>0.23</v>
      </c>
      <c r="I347" s="97" t="n">
        <v>50599</v>
      </c>
      <c r="J347" s="97" t="inlineStr">
        <is>
          <t>Y</t>
        </is>
      </c>
      <c r="K347" s="97" t="inlineStr">
        <is>
          <t>N</t>
        </is>
      </c>
      <c r="L347" s="97" t="inlineStr">
        <is>
          <t>Y</t>
        </is>
      </c>
      <c r="M347" s="97" t="n">
        <v>28.9</v>
      </c>
      <c r="N347" s="97" t="inlineStr">
        <is>
          <t>N</t>
        </is>
      </c>
      <c r="O347" s="97" t="n">
        <v>55.99</v>
      </c>
      <c r="P347" s="97" t="inlineStr">
        <is>
          <t>N</t>
        </is>
      </c>
      <c r="Q347" s="97" t="inlineStr">
        <is>
          <t>N/A</t>
        </is>
      </c>
      <c r="R347" s="97" t="inlineStr">
        <is>
          <t>N</t>
        </is>
      </c>
      <c r="S347" s="97" t="n">
        <v>-9.800000000000001</v>
      </c>
      <c r="T347" s="97" t="n">
        <v>12.4</v>
      </c>
      <c r="U347" s="97" t="inlineStr">
        <is>
          <t>Y</t>
        </is>
      </c>
      <c r="V347" s="97" t="n">
        <v>53.5</v>
      </c>
      <c r="W347" s="97" t="inlineStr">
        <is>
          <t>N/A</t>
        </is>
      </c>
      <c r="X347" s="97" t="n">
        <v>335.85</v>
      </c>
      <c r="Y347" s="97" t="n">
        <v>-49</v>
      </c>
      <c r="Z347" s="97" t="n">
        <v>3</v>
      </c>
      <c r="AA347" s="92" t="inlineStr">
        <is>
          <t>AVOID</t>
        </is>
      </c>
    </row>
    <row r="348">
      <c r="A348" s="99" t="inlineStr">
        <is>
          <t>TCS</t>
        </is>
      </c>
      <c r="B348" s="99" t="inlineStr">
        <is>
          <t>Tata Consultancy Services Ltd.</t>
        </is>
      </c>
      <c r="C348" s="99" t="inlineStr">
        <is>
          <t>Information Technology</t>
        </is>
      </c>
      <c r="D348" s="99" t="inlineStr">
        <is>
          <t>Large/Midcap</t>
        </is>
      </c>
      <c r="E348" s="99" t="n">
        <v>2254.3</v>
      </c>
      <c r="F348" s="99" t="n">
        <v>0.51</v>
      </c>
      <c r="G348" s="99" t="n">
        <v>3211699</v>
      </c>
      <c r="H348" s="99" t="n">
        <v>1.49</v>
      </c>
      <c r="I348" s="99" t="n">
        <v>815625</v>
      </c>
      <c r="J348" s="99" t="inlineStr">
        <is>
          <t>Y</t>
        </is>
      </c>
      <c r="K348" s="99" t="inlineStr">
        <is>
          <t>Y</t>
        </is>
      </c>
      <c r="L348" s="99" t="inlineStr">
        <is>
          <t>N</t>
        </is>
      </c>
      <c r="M348" s="99" t="n">
        <v>74.59999999999999</v>
      </c>
      <c r="N348" s="99" t="inlineStr">
        <is>
          <t>N</t>
        </is>
      </c>
      <c r="O348" s="99" t="n">
        <v>60.71</v>
      </c>
      <c r="P348" s="99" t="inlineStr">
        <is>
          <t>N</t>
        </is>
      </c>
      <c r="Q348" s="99" t="inlineStr">
        <is>
          <t>N/A</t>
        </is>
      </c>
      <c r="R348" s="99" t="inlineStr">
        <is>
          <t>N</t>
        </is>
      </c>
      <c r="S348" s="99" t="n">
        <v>9.300000000000001</v>
      </c>
      <c r="T348" s="99" t="n">
        <v>-6.6</v>
      </c>
      <c r="U348" s="99" t="inlineStr">
        <is>
          <t>N</t>
        </is>
      </c>
      <c r="V348" s="99" t="n">
        <v>16.4</v>
      </c>
      <c r="W348" s="99" t="n">
        <v>47.7</v>
      </c>
      <c r="X348" s="99" t="n">
        <v>10.21</v>
      </c>
      <c r="Y348" s="99" t="n">
        <v>-2.7</v>
      </c>
      <c r="Z348" s="99" t="n">
        <v>3</v>
      </c>
      <c r="AA348" s="94" t="inlineStr">
        <is>
          <t>AVOID</t>
        </is>
      </c>
    </row>
    <row r="349">
      <c r="A349" s="97" t="inlineStr">
        <is>
          <t>TATATECH</t>
        </is>
      </c>
      <c r="B349" s="97" t="inlineStr">
        <is>
          <t>Tata Technologies Ltd.</t>
        </is>
      </c>
      <c r="C349" s="97" t="inlineStr">
        <is>
          <t>Information Technology</t>
        </is>
      </c>
      <c r="D349" s="97" t="inlineStr">
        <is>
          <t>Smallcap</t>
        </is>
      </c>
      <c r="E349" s="97" t="n">
        <v>711</v>
      </c>
      <c r="F349" s="97" t="n">
        <v>2.12</v>
      </c>
      <c r="G349" s="97" t="n">
        <v>536734</v>
      </c>
      <c r="H349" s="97" t="n">
        <v>1</v>
      </c>
      <c r="I349" s="97" t="n">
        <v>28870</v>
      </c>
      <c r="J349" s="97" t="inlineStr">
        <is>
          <t>Y</t>
        </is>
      </c>
      <c r="K349" s="97" t="inlineStr">
        <is>
          <t>N</t>
        </is>
      </c>
      <c r="L349" s="97" t="inlineStr">
        <is>
          <t>Y</t>
        </is>
      </c>
      <c r="M349" s="97" t="n">
        <v>49.9</v>
      </c>
      <c r="N349" s="97" t="inlineStr">
        <is>
          <t>N</t>
        </is>
      </c>
      <c r="O349" s="97" t="n">
        <v>27.62</v>
      </c>
      <c r="P349" s="97" t="inlineStr">
        <is>
          <t>N</t>
        </is>
      </c>
      <c r="Q349" s="97" t="inlineStr">
        <is>
          <t>N/A</t>
        </is>
      </c>
      <c r="R349" s="97" t="inlineStr">
        <is>
          <t>N</t>
        </is>
      </c>
      <c r="S349" s="97" t="n">
        <v>-3.9</v>
      </c>
      <c r="T349" s="97" t="n">
        <v>26.7</v>
      </c>
      <c r="U349" s="97" t="inlineStr">
        <is>
          <t>Y</t>
        </is>
      </c>
      <c r="V349" s="97" t="n">
        <v>51.8</v>
      </c>
      <c r="W349" s="97" t="n">
        <v>14.6</v>
      </c>
      <c r="X349" s="97" t="n">
        <v>23.91</v>
      </c>
      <c r="Y349" s="97" t="n">
        <v>-11.5</v>
      </c>
      <c r="Z349" s="97" t="n">
        <v>3</v>
      </c>
      <c r="AA349" s="92" t="inlineStr">
        <is>
          <t>AVOID</t>
        </is>
      </c>
    </row>
    <row r="350">
      <c r="A350" s="99" t="inlineStr">
        <is>
          <t>TEJASNET</t>
        </is>
      </c>
      <c r="B350" s="99" t="inlineStr">
        <is>
          <t>Tejas Networks Ltd.</t>
        </is>
      </c>
      <c r="C350" s="99" t="inlineStr">
        <is>
          <t>Telecommunication</t>
        </is>
      </c>
      <c r="D350" s="99" t="inlineStr">
        <is>
          <t>Smallcap</t>
        </is>
      </c>
      <c r="E350" s="99" t="n">
        <v>495.4</v>
      </c>
      <c r="F350" s="99" t="n">
        <v>-0.38</v>
      </c>
      <c r="G350" s="99" t="n">
        <v>1817857</v>
      </c>
      <c r="H350" s="99" t="n">
        <v>1.51</v>
      </c>
      <c r="I350" s="99" t="n">
        <v>8805</v>
      </c>
      <c r="J350" s="99" t="inlineStr">
        <is>
          <t>Y</t>
        </is>
      </c>
      <c r="K350" s="99" t="inlineStr">
        <is>
          <t>N</t>
        </is>
      </c>
      <c r="L350" s="99" t="inlineStr">
        <is>
          <t>Y</t>
        </is>
      </c>
      <c r="M350" s="99" t="n">
        <v>26.1</v>
      </c>
      <c r="N350" s="99" t="inlineStr">
        <is>
          <t>N</t>
        </is>
      </c>
      <c r="O350" s="99" t="n">
        <v>20.3</v>
      </c>
      <c r="P350" s="99" t="inlineStr">
        <is>
          <t>N</t>
        </is>
      </c>
      <c r="Q350" s="99" t="inlineStr">
        <is>
          <t>N/A</t>
        </is>
      </c>
      <c r="R350" s="99" t="inlineStr">
        <is>
          <t>N</t>
        </is>
      </c>
      <c r="S350" s="99" t="n">
        <v>-19.4</v>
      </c>
      <c r="T350" s="99" t="n">
        <v>19.4</v>
      </c>
      <c r="U350" s="99" t="inlineStr">
        <is>
          <t>Y</t>
        </is>
      </c>
      <c r="V350" s="99" t="inlineStr">
        <is>
          <t>N/A</t>
        </is>
      </c>
      <c r="W350" s="99" t="n">
        <v>-26.8</v>
      </c>
      <c r="X350" s="99" t="n">
        <v>142.52</v>
      </c>
      <c r="Y350" s="99" t="n">
        <v>-7.5</v>
      </c>
      <c r="Z350" s="99" t="n">
        <v>3</v>
      </c>
      <c r="AA350" s="94" t="inlineStr">
        <is>
          <t>AVOID</t>
        </is>
      </c>
    </row>
    <row r="351">
      <c r="A351" s="97" t="inlineStr">
        <is>
          <t>TENNIND</t>
        </is>
      </c>
      <c r="B351" s="97" t="inlineStr">
        <is>
          <t>Tenneco Clean Air India Ltd.</t>
        </is>
      </c>
      <c r="C351" s="97" t="inlineStr">
        <is>
          <t>Automobile and Auto Components</t>
        </is>
      </c>
      <c r="D351" s="97" t="inlineStr">
        <is>
          <t>Smallcap</t>
        </is>
      </c>
      <c r="E351" s="97" t="n">
        <v>539.95</v>
      </c>
      <c r="F351" s="97" t="n">
        <v>-0.63</v>
      </c>
      <c r="G351" s="97" t="n">
        <v>243226</v>
      </c>
      <c r="H351" s="97" t="n">
        <v>0.41</v>
      </c>
      <c r="I351" s="97" t="inlineStr">
        <is>
          <t>N/A</t>
        </is>
      </c>
      <c r="J351" s="97" t="inlineStr">
        <is>
          <t>Y</t>
        </is>
      </c>
      <c r="K351" s="97" t="inlineStr">
        <is>
          <t>N</t>
        </is>
      </c>
      <c r="L351" s="97" t="inlineStr">
        <is>
          <t>N/A</t>
        </is>
      </c>
      <c r="M351" s="97" t="n">
        <v>26</v>
      </c>
      <c r="N351" s="97" t="inlineStr">
        <is>
          <t>N</t>
        </is>
      </c>
      <c r="O351" s="97" t="n">
        <v>15.15</v>
      </c>
      <c r="P351" s="97" t="inlineStr">
        <is>
          <t>N</t>
        </is>
      </c>
      <c r="Q351" s="97" t="inlineStr">
        <is>
          <t>N/A</t>
        </is>
      </c>
      <c r="R351" s="97" t="inlineStr">
        <is>
          <t>N</t>
        </is>
      </c>
      <c r="S351" s="97" t="n">
        <v>-5.7</v>
      </c>
      <c r="T351" s="97" t="n">
        <v>-8.699999999999999</v>
      </c>
      <c r="U351" s="97" t="inlineStr">
        <is>
          <t>N</t>
        </is>
      </c>
      <c r="V351" s="97" t="n">
        <v>36.1</v>
      </c>
      <c r="W351" s="97" t="n">
        <v>43</v>
      </c>
      <c r="X351" s="97" t="n">
        <v>4.29</v>
      </c>
      <c r="Y351" s="97" t="n">
        <v>40.3</v>
      </c>
      <c r="Z351" s="97" t="n">
        <v>3</v>
      </c>
      <c r="AA351" s="92" t="inlineStr">
        <is>
          <t>AVOID</t>
        </is>
      </c>
    </row>
    <row r="352">
      <c r="A352" s="99" t="inlineStr">
        <is>
          <t>TRENT</t>
        </is>
      </c>
      <c r="B352" s="99" t="inlineStr">
        <is>
          <t>Trent Ltd.</t>
        </is>
      </c>
      <c r="C352" s="99" t="inlineStr">
        <is>
          <t>Consumer Services</t>
        </is>
      </c>
      <c r="D352" s="99" t="inlineStr">
        <is>
          <t>Large/Midcap</t>
        </is>
      </c>
      <c r="E352" s="99" t="n">
        <v>2890.5</v>
      </c>
      <c r="F352" s="99" t="n">
        <v>0.55</v>
      </c>
      <c r="G352" s="99" t="n">
        <v>654165</v>
      </c>
      <c r="H352" s="99" t="n">
        <v>1.08</v>
      </c>
      <c r="I352" s="99" t="n">
        <v>154131</v>
      </c>
      <c r="J352" s="99" t="inlineStr">
        <is>
          <t>Y</t>
        </is>
      </c>
      <c r="K352" s="99" t="inlineStr">
        <is>
          <t>N</t>
        </is>
      </c>
      <c r="L352" s="99" t="inlineStr">
        <is>
          <t>N</t>
        </is>
      </c>
      <c r="M352" s="99" t="n">
        <v>15.2</v>
      </c>
      <c r="N352" s="99" t="inlineStr">
        <is>
          <t>N</t>
        </is>
      </c>
      <c r="O352" s="99" t="n">
        <v>85.26000000000001</v>
      </c>
      <c r="P352" s="99" t="inlineStr">
        <is>
          <t>N</t>
        </is>
      </c>
      <c r="Q352" s="99" t="inlineStr">
        <is>
          <t>N/A</t>
        </is>
      </c>
      <c r="R352" s="99" t="inlineStr">
        <is>
          <t>N</t>
        </is>
      </c>
      <c r="S352" s="99" t="n">
        <v>-9.1</v>
      </c>
      <c r="T352" s="99" t="n">
        <v>3.2</v>
      </c>
      <c r="U352" s="99" t="inlineStr">
        <is>
          <t>Y</t>
        </is>
      </c>
      <c r="V352" s="99" t="n">
        <v>89.3</v>
      </c>
      <c r="W352" s="99" t="n">
        <v>27.1</v>
      </c>
      <c r="X352" s="99" t="n">
        <v>36.03</v>
      </c>
      <c r="Y352" s="99" t="n">
        <v>-21.9</v>
      </c>
      <c r="Z352" s="99" t="n">
        <v>3</v>
      </c>
      <c r="AA352" s="94" t="inlineStr">
        <is>
          <t>AVOID</t>
        </is>
      </c>
    </row>
    <row r="353">
      <c r="A353" s="97" t="inlineStr">
        <is>
          <t>TRIDENT</t>
        </is>
      </c>
      <c r="B353" s="97" t="inlineStr">
        <is>
          <t>Trident Ltd.</t>
        </is>
      </c>
      <c r="C353" s="97" t="inlineStr">
        <is>
          <t>Textiles</t>
        </is>
      </c>
      <c r="D353" s="97" t="inlineStr">
        <is>
          <t>Smallcap</t>
        </is>
      </c>
      <c r="E353" s="97" t="n">
        <v>25.12</v>
      </c>
      <c r="F353" s="97" t="n">
        <v>-0.28</v>
      </c>
      <c r="G353" s="97" t="n">
        <v>4673170</v>
      </c>
      <c r="H353" s="97" t="n">
        <v>0.21</v>
      </c>
      <c r="I353" s="97" t="n">
        <v>12800</v>
      </c>
      <c r="J353" s="97" t="inlineStr">
        <is>
          <t>Y</t>
        </is>
      </c>
      <c r="K353" s="97" t="inlineStr">
        <is>
          <t>Y</t>
        </is>
      </c>
      <c r="L353" s="97" t="inlineStr">
        <is>
          <t>N</t>
        </is>
      </c>
      <c r="M353" s="97" t="n">
        <v>32.9</v>
      </c>
      <c r="N353" s="97" t="inlineStr">
        <is>
          <t>N</t>
        </is>
      </c>
      <c r="O353" s="97" t="n">
        <v>0.66</v>
      </c>
      <c r="P353" s="97" t="inlineStr">
        <is>
          <t>N</t>
        </is>
      </c>
      <c r="Q353" s="97" t="inlineStr">
        <is>
          <t>N/A</t>
        </is>
      </c>
      <c r="R353" s="97" t="inlineStr">
        <is>
          <t>N</t>
        </is>
      </c>
      <c r="S353" s="97" t="n">
        <v>-4</v>
      </c>
      <c r="T353" s="97" t="n">
        <v>-0.5</v>
      </c>
      <c r="U353" s="97" t="inlineStr">
        <is>
          <t>N</t>
        </is>
      </c>
      <c r="V353" s="97" t="n">
        <v>32.2</v>
      </c>
      <c r="W353" s="97" t="inlineStr">
        <is>
          <t>N/A</t>
        </is>
      </c>
      <c r="X353" s="97" t="n">
        <v>38.32</v>
      </c>
      <c r="Y353" s="97" t="n">
        <v>55</v>
      </c>
      <c r="Z353" s="97" t="n">
        <v>3</v>
      </c>
      <c r="AA353" s="92" t="inlineStr">
        <is>
          <t>AVOID</t>
        </is>
      </c>
    </row>
    <row r="354">
      <c r="A354" s="99" t="inlineStr">
        <is>
          <t>UTIAMC</t>
        </is>
      </c>
      <c r="B354" s="99" t="inlineStr">
        <is>
          <t>UTI Asset Management Company Ltd.</t>
        </is>
      </c>
      <c r="C354" s="99" t="inlineStr">
        <is>
          <t>Financial Services</t>
        </is>
      </c>
      <c r="D354" s="99" t="inlineStr">
        <is>
          <t>Smallcap</t>
        </is>
      </c>
      <c r="E354" s="99" t="n">
        <v>881.4</v>
      </c>
      <c r="F354" s="99" t="n">
        <v>-2.51</v>
      </c>
      <c r="G354" s="99" t="n">
        <v>1009475</v>
      </c>
      <c r="H354" s="99" t="n">
        <v>2.65</v>
      </c>
      <c r="I354" s="99" t="n">
        <v>11329</v>
      </c>
      <c r="J354" s="99" t="inlineStr">
        <is>
          <t>Y</t>
        </is>
      </c>
      <c r="K354" s="99" t="inlineStr">
        <is>
          <t>N</t>
        </is>
      </c>
      <c r="L354" s="99" t="inlineStr">
        <is>
          <t>N</t>
        </is>
      </c>
      <c r="M354" s="99" t="n">
        <v>30.9</v>
      </c>
      <c r="N354" s="99" t="inlineStr">
        <is>
          <t>N</t>
        </is>
      </c>
      <c r="O354" s="99" t="n">
        <v>25.52</v>
      </c>
      <c r="P354" s="99" t="inlineStr">
        <is>
          <t>Y</t>
        </is>
      </c>
      <c r="Q354" s="99" t="inlineStr">
        <is>
          <t>N/A</t>
        </is>
      </c>
      <c r="R354" s="99" t="inlineStr">
        <is>
          <t>N</t>
        </is>
      </c>
      <c r="S354" s="99" t="n">
        <v>-1.2</v>
      </c>
      <c r="T354" s="99" t="n">
        <v>-3.4</v>
      </c>
      <c r="U354" s="99" t="inlineStr">
        <is>
          <t>N</t>
        </is>
      </c>
      <c r="V354" s="99" t="n">
        <v>24.6</v>
      </c>
      <c r="W354" s="99" t="inlineStr">
        <is>
          <t>N/A</t>
        </is>
      </c>
      <c r="X354" s="99" t="n">
        <v>3.13</v>
      </c>
      <c r="Y354" s="99" t="n">
        <v>540.5</v>
      </c>
      <c r="Z354" s="99" t="n">
        <v>3</v>
      </c>
      <c r="AA354" s="94" t="inlineStr">
        <is>
          <t>AVOID</t>
        </is>
      </c>
    </row>
    <row r="355">
      <c r="A355" s="97" t="inlineStr">
        <is>
          <t>VEDL</t>
        </is>
      </c>
      <c r="B355" s="97" t="inlineStr">
        <is>
          <t>Vedanta Ltd.</t>
        </is>
      </c>
      <c r="C355" s="97" t="inlineStr">
        <is>
          <t>Metals &amp; Mining</t>
        </is>
      </c>
      <c r="D355" s="97" t="inlineStr">
        <is>
          <t>Large/Midcap</t>
        </is>
      </c>
      <c r="E355" s="97" t="n">
        <v>264.65</v>
      </c>
      <c r="F355" s="97" t="n">
        <v>0.02</v>
      </c>
      <c r="G355" s="97" t="n">
        <v>6744189</v>
      </c>
      <c r="H355" s="97" t="n">
        <v>0.73</v>
      </c>
      <c r="I355" s="97" t="n">
        <v>103341</v>
      </c>
      <c r="J355" s="97" t="inlineStr">
        <is>
          <t>Y</t>
        </is>
      </c>
      <c r="K355" s="97" t="inlineStr">
        <is>
          <t>N</t>
        </is>
      </c>
      <c r="L355" s="97" t="inlineStr">
        <is>
          <t>N</t>
        </is>
      </c>
      <c r="M355" s="97" t="n">
        <v>31.9</v>
      </c>
      <c r="N355" s="97" t="inlineStr">
        <is>
          <t>N</t>
        </is>
      </c>
      <c r="O355" s="97" t="n">
        <v>6.89</v>
      </c>
      <c r="P355" s="97" t="inlineStr">
        <is>
          <t>N</t>
        </is>
      </c>
      <c r="Q355" s="97" t="inlineStr">
        <is>
          <t>N/A</t>
        </is>
      </c>
      <c r="R355" s="97" t="inlineStr">
        <is>
          <t>N</t>
        </is>
      </c>
      <c r="S355" s="97" t="n">
        <v>-2.2</v>
      </c>
      <c r="T355" s="97" t="n">
        <v>-65.2</v>
      </c>
      <c r="U355" s="97" t="inlineStr">
        <is>
          <t>N</t>
        </is>
      </c>
      <c r="V355" s="97" t="n">
        <v>14.8</v>
      </c>
      <c r="W355" s="97" t="n">
        <v>20.4</v>
      </c>
      <c r="X355" s="97" t="n">
        <v>48.04</v>
      </c>
      <c r="Y355" s="97" t="n">
        <v>17.3</v>
      </c>
      <c r="Z355" s="97" t="n">
        <v>3</v>
      </c>
      <c r="AA355" s="92" t="inlineStr">
        <is>
          <t>AVOID</t>
        </is>
      </c>
    </row>
    <row r="356">
      <c r="A356" s="99" t="inlineStr">
        <is>
          <t>WIPRO</t>
        </is>
      </c>
      <c r="B356" s="99" t="inlineStr">
        <is>
          <t>Wipro Ltd.</t>
        </is>
      </c>
      <c r="C356" s="99" t="inlineStr">
        <is>
          <t>Information Technology</t>
        </is>
      </c>
      <c r="D356" s="99" t="inlineStr">
        <is>
          <t>Large/Midcap</t>
        </is>
      </c>
      <c r="E356" s="99" t="n">
        <v>177.12</v>
      </c>
      <c r="F356" s="99" t="n">
        <v>1.32</v>
      </c>
      <c r="G356" s="99" t="n">
        <v>13282944</v>
      </c>
      <c r="H356" s="99" t="n">
        <v>1.56</v>
      </c>
      <c r="I356" s="99" t="n">
        <v>175211</v>
      </c>
      <c r="J356" s="99" t="inlineStr">
        <is>
          <t>Y</t>
        </is>
      </c>
      <c r="K356" s="99" t="inlineStr">
        <is>
          <t>N</t>
        </is>
      </c>
      <c r="L356" s="99" t="inlineStr">
        <is>
          <t>N</t>
        </is>
      </c>
      <c r="M356" s="99" t="n">
        <v>56.7</v>
      </c>
      <c r="N356" s="99" t="inlineStr">
        <is>
          <t>Y</t>
        </is>
      </c>
      <c r="O356" s="99" t="n">
        <v>3.36</v>
      </c>
      <c r="P356" s="99" t="inlineStr">
        <is>
          <t>N</t>
        </is>
      </c>
      <c r="Q356" s="99" t="inlineStr">
        <is>
          <t>N/A</t>
        </is>
      </c>
      <c r="R356" s="99" t="inlineStr">
        <is>
          <t>N</t>
        </is>
      </c>
      <c r="S356" s="99" t="n">
        <v>2.3</v>
      </c>
      <c r="T356" s="99" t="n">
        <v>-11.2</v>
      </c>
      <c r="U356" s="99" t="inlineStr">
        <is>
          <t>N</t>
        </is>
      </c>
      <c r="V356" s="99" t="n">
        <v>14.1</v>
      </c>
      <c r="W356" s="99" t="n">
        <v>16.1</v>
      </c>
      <c r="X356" s="99" t="n">
        <v>27.4</v>
      </c>
      <c r="Y356" s="99" t="n">
        <v>-4.3</v>
      </c>
      <c r="Z356" s="99" t="n">
        <v>3</v>
      </c>
      <c r="AA356" s="94" t="inlineStr">
        <is>
          <t>AVOID</t>
        </is>
      </c>
    </row>
    <row r="357">
      <c r="A357" s="97" t="inlineStr">
        <is>
          <t>YESBANK</t>
        </is>
      </c>
      <c r="B357" s="97" t="inlineStr">
        <is>
          <t>Yes Bank Ltd.</t>
        </is>
      </c>
      <c r="C357" s="97" t="inlineStr">
        <is>
          <t>Financial Services</t>
        </is>
      </c>
      <c r="D357" s="97" t="inlineStr">
        <is>
          <t>Large/Midcap</t>
        </is>
      </c>
      <c r="E357" s="97" t="n">
        <v>22.95</v>
      </c>
      <c r="F357" s="97" t="n">
        <v>0.09</v>
      </c>
      <c r="G357" s="97" t="n">
        <v>53804519</v>
      </c>
      <c r="H357" s="97" t="n">
        <v>0.53</v>
      </c>
      <c r="I357" s="97" t="n">
        <v>72035</v>
      </c>
      <c r="J357" s="97" t="inlineStr">
        <is>
          <t>Y</t>
        </is>
      </c>
      <c r="K357" s="97" t="inlineStr">
        <is>
          <t>N</t>
        </is>
      </c>
      <c r="L357" s="97" t="inlineStr">
        <is>
          <t>Y</t>
        </is>
      </c>
      <c r="M357" s="97" t="n">
        <v>30.2</v>
      </c>
      <c r="N357" s="97" t="inlineStr">
        <is>
          <t>N</t>
        </is>
      </c>
      <c r="O357" s="97" t="n">
        <v>0.47</v>
      </c>
      <c r="P357" s="97" t="inlineStr">
        <is>
          <t>N</t>
        </is>
      </c>
      <c r="Q357" s="97" t="inlineStr">
        <is>
          <t>N/A</t>
        </is>
      </c>
      <c r="R357" s="97" t="inlineStr">
        <is>
          <t>N</t>
        </is>
      </c>
      <c r="S357" s="97" t="n">
        <v>-6.7</v>
      </c>
      <c r="T357" s="97" t="n">
        <v>13.8</v>
      </c>
      <c r="U357" s="97" t="inlineStr">
        <is>
          <t>Y</t>
        </is>
      </c>
      <c r="V357" s="97" t="n">
        <v>19.1</v>
      </c>
      <c r="W357" s="97" t="n">
        <v>7.5</v>
      </c>
      <c r="X357" s="97" t="inlineStr">
        <is>
          <t>N/A</t>
        </is>
      </c>
      <c r="Y357" s="97" t="n">
        <v>-1</v>
      </c>
      <c r="Z357" s="97" t="n">
        <v>3</v>
      </c>
      <c r="AA357" s="92" t="inlineStr">
        <is>
          <t>AVOID</t>
        </is>
      </c>
    </row>
    <row r="358">
      <c r="A358" s="99" t="inlineStr">
        <is>
          <t>ACC</t>
        </is>
      </c>
      <c r="B358" s="99" t="inlineStr">
        <is>
          <t>ACC Ltd.</t>
        </is>
      </c>
      <c r="C358" s="99" t="inlineStr">
        <is>
          <t>Construction Materials</t>
        </is>
      </c>
      <c r="D358" s="99" t="inlineStr">
        <is>
          <t>Large/Midcap</t>
        </is>
      </c>
      <c r="E358" s="99" t="n">
        <v>1340.9</v>
      </c>
      <c r="F358" s="99" t="n">
        <v>0.52</v>
      </c>
      <c r="G358" s="99" t="n">
        <v>470047</v>
      </c>
      <c r="H358" s="99" t="n">
        <v>2.99</v>
      </c>
      <c r="I358" s="99" t="n">
        <v>25180</v>
      </c>
      <c r="J358" s="99" t="inlineStr">
        <is>
          <t>Y</t>
        </is>
      </c>
      <c r="K358" s="99" t="inlineStr">
        <is>
          <t>N</t>
        </is>
      </c>
      <c r="L358" s="99" t="inlineStr">
        <is>
          <t>N</t>
        </is>
      </c>
      <c r="M358" s="99" t="n">
        <v>38.3</v>
      </c>
      <c r="N358" s="99" t="inlineStr">
        <is>
          <t>N</t>
        </is>
      </c>
      <c r="O358" s="99" t="n">
        <v>30.56</v>
      </c>
      <c r="P358" s="99" t="inlineStr">
        <is>
          <t>Y</t>
        </is>
      </c>
      <c r="Q358" s="99" t="inlineStr">
        <is>
          <t>N/A</t>
        </is>
      </c>
      <c r="R358" s="99" t="inlineStr">
        <is>
          <t>N</t>
        </is>
      </c>
      <c r="S358" s="99" t="n">
        <v>1.3</v>
      </c>
      <c r="T358" s="99" t="n">
        <v>-5.6</v>
      </c>
      <c r="U358" s="99" t="inlineStr">
        <is>
          <t>N</t>
        </is>
      </c>
      <c r="V358" s="99" t="n">
        <v>13.2</v>
      </c>
      <c r="W358" s="99" t="inlineStr">
        <is>
          <t>N/A</t>
        </is>
      </c>
      <c r="X358" s="99" t="n">
        <v>2.08</v>
      </c>
      <c r="Y358" s="99" t="n">
        <v>-41.1</v>
      </c>
      <c r="Z358" s="99" t="n">
        <v>2</v>
      </c>
      <c r="AA358" s="94" t="inlineStr">
        <is>
          <t>AVOID</t>
        </is>
      </c>
    </row>
    <row r="359">
      <c r="A359" s="97" t="inlineStr">
        <is>
          <t>AWL</t>
        </is>
      </c>
      <c r="B359" s="97" t="inlineStr">
        <is>
          <t>AWL Agri Business Ltd.</t>
        </is>
      </c>
      <c r="C359" s="97" t="inlineStr">
        <is>
          <t>Fast Moving Consumer Goods</t>
        </is>
      </c>
      <c r="D359" s="97" t="inlineStr">
        <is>
          <t>Large/Midcap</t>
        </is>
      </c>
      <c r="E359" s="97" t="n">
        <v>188.16</v>
      </c>
      <c r="F359" s="97" t="n">
        <v>0.39</v>
      </c>
      <c r="G359" s="97" t="n">
        <v>1118052</v>
      </c>
      <c r="H359" s="97" t="n">
        <v>0.31</v>
      </c>
      <c r="I359" s="97" t="n">
        <v>24336</v>
      </c>
      <c r="J359" s="97" t="inlineStr">
        <is>
          <t>Y</t>
        </is>
      </c>
      <c r="K359" s="97" t="inlineStr">
        <is>
          <t>N</t>
        </is>
      </c>
      <c r="L359" s="97" t="inlineStr">
        <is>
          <t>N</t>
        </is>
      </c>
      <c r="M359" s="97" t="n">
        <v>46.1</v>
      </c>
      <c r="N359" s="97" t="inlineStr">
        <is>
          <t>N</t>
        </is>
      </c>
      <c r="O359" s="97" t="n">
        <v>5.13</v>
      </c>
      <c r="P359" s="97" t="inlineStr">
        <is>
          <t>N</t>
        </is>
      </c>
      <c r="Q359" s="97" t="inlineStr">
        <is>
          <t>N/A</t>
        </is>
      </c>
      <c r="R359" s="97" t="inlineStr">
        <is>
          <t>N</t>
        </is>
      </c>
      <c r="S359" s="97" t="n">
        <v>4.4</v>
      </c>
      <c r="T359" s="97" t="n">
        <v>-5</v>
      </c>
      <c r="U359" s="97" t="inlineStr">
        <is>
          <t>N</t>
        </is>
      </c>
      <c r="V359" s="97" t="n">
        <v>23.4</v>
      </c>
      <c r="W359" s="97" t="n">
        <v>10.5</v>
      </c>
      <c r="X359" s="97" t="n">
        <v>10.62</v>
      </c>
      <c r="Y359" s="97" t="n">
        <v>8.699999999999999</v>
      </c>
      <c r="Z359" s="97" t="n">
        <v>2</v>
      </c>
      <c r="AA359" s="92" t="inlineStr">
        <is>
          <t>AVOID</t>
        </is>
      </c>
    </row>
    <row r="360">
      <c r="A360" s="99" t="inlineStr">
        <is>
          <t>AAVAS</t>
        </is>
      </c>
      <c r="B360" s="99" t="inlineStr">
        <is>
          <t>Aavas Financiers Ltd.</t>
        </is>
      </c>
      <c r="C360" s="99" t="inlineStr">
        <is>
          <t>Financial Services</t>
        </is>
      </c>
      <c r="D360" s="99" t="inlineStr">
        <is>
          <t>Smallcap</t>
        </is>
      </c>
      <c r="E360" s="99" t="n">
        <v>1379</v>
      </c>
      <c r="F360" s="99" t="n">
        <v>-0.5</v>
      </c>
      <c r="G360" s="99" t="n">
        <v>62171</v>
      </c>
      <c r="H360" s="99" t="n">
        <v>0.27</v>
      </c>
      <c r="I360" s="99" t="n">
        <v>10934</v>
      </c>
      <c r="J360" s="99" t="inlineStr">
        <is>
          <t>Y</t>
        </is>
      </c>
      <c r="K360" s="99" t="inlineStr">
        <is>
          <t>N</t>
        </is>
      </c>
      <c r="L360" s="99" t="inlineStr">
        <is>
          <t>N</t>
        </is>
      </c>
      <c r="M360" s="99" t="n">
        <v>32</v>
      </c>
      <c r="N360" s="99" t="inlineStr">
        <is>
          <t>N</t>
        </is>
      </c>
      <c r="O360" s="99" t="n">
        <v>48.74</v>
      </c>
      <c r="P360" s="99" t="inlineStr">
        <is>
          <t>N</t>
        </is>
      </c>
      <c r="Q360" s="99" t="inlineStr">
        <is>
          <t>N/A</t>
        </is>
      </c>
      <c r="R360" s="99" t="inlineStr">
        <is>
          <t>N</t>
        </is>
      </c>
      <c r="S360" s="99" t="n">
        <v>-6.4</v>
      </c>
      <c r="T360" s="99" t="n">
        <v>0.3</v>
      </c>
      <c r="U360" s="99" t="inlineStr">
        <is>
          <t>Y</t>
        </is>
      </c>
      <c r="V360" s="99" t="n">
        <v>16</v>
      </c>
      <c r="W360" s="99" t="inlineStr">
        <is>
          <t>N/A</t>
        </is>
      </c>
      <c r="X360" s="99" t="n">
        <v>310.55</v>
      </c>
      <c r="Y360" s="99" t="n">
        <v>-5.7</v>
      </c>
      <c r="Z360" s="99" t="n">
        <v>2</v>
      </c>
      <c r="AA360" s="94" t="inlineStr">
        <is>
          <t>AVOID</t>
        </is>
      </c>
    </row>
    <row r="361">
      <c r="A361" s="97" t="inlineStr">
        <is>
          <t>ATGL</t>
        </is>
      </c>
      <c r="B361" s="97" t="inlineStr">
        <is>
          <t>Adani Total Gas Ltd.</t>
        </is>
      </c>
      <c r="C361" s="97" t="inlineStr">
        <is>
          <t>Oil Gas &amp; Consumable Fuels</t>
        </is>
      </c>
      <c r="D361" s="97" t="inlineStr">
        <is>
          <t>Large/Midcap</t>
        </is>
      </c>
      <c r="E361" s="97" t="n">
        <v>652.85</v>
      </c>
      <c r="F361" s="97" t="n">
        <v>-1.47</v>
      </c>
      <c r="G361" s="97" t="n">
        <v>1062001</v>
      </c>
      <c r="H361" s="97" t="n">
        <v>0.58</v>
      </c>
      <c r="I361" s="97" t="n">
        <v>71801</v>
      </c>
      <c r="J361" s="97" t="inlineStr">
        <is>
          <t>Y</t>
        </is>
      </c>
      <c r="K361" s="97" t="inlineStr">
        <is>
          <t>N</t>
        </is>
      </c>
      <c r="L361" s="97" t="inlineStr">
        <is>
          <t>Y</t>
        </is>
      </c>
      <c r="M361" s="97" t="n">
        <v>23.7</v>
      </c>
      <c r="N361" s="97" t="inlineStr">
        <is>
          <t>N</t>
        </is>
      </c>
      <c r="O361" s="97" t="n">
        <v>22.8</v>
      </c>
      <c r="P361" s="97" t="inlineStr">
        <is>
          <t>N</t>
        </is>
      </c>
      <c r="Q361" s="97" t="inlineStr">
        <is>
          <t>N/A</t>
        </is>
      </c>
      <c r="R361" s="97" t="inlineStr">
        <is>
          <t>N</t>
        </is>
      </c>
      <c r="S361" s="97" t="n">
        <v>-8.199999999999999</v>
      </c>
      <c r="T361" s="97" t="n">
        <v>0</v>
      </c>
      <c r="U361" s="97" t="inlineStr">
        <is>
          <t>N</t>
        </is>
      </c>
      <c r="V361" s="97" t="n">
        <v>113.5</v>
      </c>
      <c r="W361" s="97" t="inlineStr">
        <is>
          <t>N/A</t>
        </is>
      </c>
      <c r="X361" s="97" t="n">
        <v>58.65</v>
      </c>
      <c r="Y361" s="97" t="n">
        <v>-15.8</v>
      </c>
      <c r="Z361" s="97" t="n">
        <v>2</v>
      </c>
      <c r="AA361" s="92" t="inlineStr">
        <is>
          <t>AVOID</t>
        </is>
      </c>
    </row>
    <row r="362">
      <c r="A362" s="99" t="inlineStr">
        <is>
          <t>ABFRL</t>
        </is>
      </c>
      <c r="B362" s="99" t="inlineStr">
        <is>
          <t>Aditya Birla Fashion and Retail Ltd.</t>
        </is>
      </c>
      <c r="C362" s="99" t="inlineStr">
        <is>
          <t>Consumer Services</t>
        </is>
      </c>
      <c r="D362" s="99" t="inlineStr">
        <is>
          <t>Smallcap</t>
        </is>
      </c>
      <c r="E362" s="99" t="n">
        <v>56.25</v>
      </c>
      <c r="F362" s="99" t="n">
        <v>0.39</v>
      </c>
      <c r="G362" s="99" t="n">
        <v>2288618</v>
      </c>
      <c r="H362" s="99" t="n">
        <v>1.01</v>
      </c>
      <c r="I362" s="99" t="n">
        <v>6844</v>
      </c>
      <c r="J362" s="99" t="inlineStr">
        <is>
          <t>Y</t>
        </is>
      </c>
      <c r="K362" s="99" t="inlineStr">
        <is>
          <t>N</t>
        </is>
      </c>
      <c r="L362" s="99" t="inlineStr">
        <is>
          <t>N</t>
        </is>
      </c>
      <c r="M362" s="99" t="n">
        <v>24.1</v>
      </c>
      <c r="N362" s="99" t="inlineStr">
        <is>
          <t>N</t>
        </is>
      </c>
      <c r="O362" s="99" t="n">
        <v>1.7</v>
      </c>
      <c r="P362" s="99" t="inlineStr">
        <is>
          <t>N</t>
        </is>
      </c>
      <c r="Q362" s="99" t="inlineStr">
        <is>
          <t>N/A</t>
        </is>
      </c>
      <c r="R362" s="99" t="inlineStr">
        <is>
          <t>N</t>
        </is>
      </c>
      <c r="S362" s="99" t="n">
        <v>-5.4</v>
      </c>
      <c r="T362" s="99" t="n">
        <v>-13</v>
      </c>
      <c r="U362" s="99" t="inlineStr">
        <is>
          <t>N</t>
        </is>
      </c>
      <c r="V362" s="99" t="inlineStr">
        <is>
          <t>N/A</t>
        </is>
      </c>
      <c r="W362" s="99" t="n">
        <v>-12.7</v>
      </c>
      <c r="X362" s="99" t="n">
        <v>98.81999999999999</v>
      </c>
      <c r="Y362" s="99" t="n">
        <v>2.5</v>
      </c>
      <c r="Z362" s="99" t="n">
        <v>2</v>
      </c>
      <c r="AA362" s="94" t="inlineStr">
        <is>
          <t>AVOID</t>
        </is>
      </c>
    </row>
    <row r="363">
      <c r="A363" s="97" t="inlineStr">
        <is>
          <t>AMBER</t>
        </is>
      </c>
      <c r="B363" s="97" t="inlineStr">
        <is>
          <t>Amber Enterprises India Ltd.</t>
        </is>
      </c>
      <c r="C363" s="97" t="inlineStr">
        <is>
          <t>Consumer Durables</t>
        </is>
      </c>
      <c r="D363" s="97" t="inlineStr">
        <is>
          <t>Smallcap</t>
        </is>
      </c>
      <c r="E363" s="97" t="n">
        <v>7261.5</v>
      </c>
      <c r="F363" s="97" t="n">
        <v>-2.27</v>
      </c>
      <c r="G363" s="97" t="n">
        <v>351056</v>
      </c>
      <c r="H363" s="97" t="n">
        <v>1.61</v>
      </c>
      <c r="I363" s="97" t="n">
        <v>25610</v>
      </c>
      <c r="J363" s="97" t="inlineStr">
        <is>
          <t>Y</t>
        </is>
      </c>
      <c r="K363" s="97" t="inlineStr">
        <is>
          <t>N</t>
        </is>
      </c>
      <c r="L363" s="97" t="inlineStr">
        <is>
          <t>N</t>
        </is>
      </c>
      <c r="M363" s="97" t="n">
        <v>39.5</v>
      </c>
      <c r="N363" s="97" t="inlineStr">
        <is>
          <t>N</t>
        </is>
      </c>
      <c r="O363" s="97" t="n">
        <v>237.86</v>
      </c>
      <c r="P363" s="97" t="inlineStr">
        <is>
          <t>N</t>
        </is>
      </c>
      <c r="Q363" s="97" t="inlineStr">
        <is>
          <t>N/A</t>
        </is>
      </c>
      <c r="R363" s="97" t="inlineStr">
        <is>
          <t>N</t>
        </is>
      </c>
      <c r="S363" s="97" t="n">
        <v>-4.1</v>
      </c>
      <c r="T363" s="97" t="n">
        <v>-9.6</v>
      </c>
      <c r="U363" s="97" t="inlineStr">
        <is>
          <t>N</t>
        </is>
      </c>
      <c r="V363" s="97" t="n">
        <v>144.9</v>
      </c>
      <c r="W363" s="97" t="n">
        <v>5.6</v>
      </c>
      <c r="X363" s="97" t="n">
        <v>46.57</v>
      </c>
      <c r="Y363" s="97" t="n">
        <v>591.4</v>
      </c>
      <c r="Z363" s="97" t="n">
        <v>2</v>
      </c>
      <c r="AA363" s="92" t="inlineStr">
        <is>
          <t>AVOID</t>
        </is>
      </c>
    </row>
    <row r="364">
      <c r="A364" s="99" t="inlineStr">
        <is>
          <t>AMBUJACEM</t>
        </is>
      </c>
      <c r="B364" s="99" t="inlineStr">
        <is>
          <t>Ambuja Cements Ltd.</t>
        </is>
      </c>
      <c r="C364" s="99" t="inlineStr">
        <is>
          <t>Construction Materials</t>
        </is>
      </c>
      <c r="D364" s="99" t="inlineStr">
        <is>
          <t>Large/Midcap</t>
        </is>
      </c>
      <c r="E364" s="99" t="n">
        <v>425.15</v>
      </c>
      <c r="F364" s="99" t="n">
        <v>0.38</v>
      </c>
      <c r="G364" s="99" t="n">
        <v>1403208</v>
      </c>
      <c r="H364" s="99" t="n">
        <v>0.83</v>
      </c>
      <c r="I364" s="99" t="n">
        <v>105642</v>
      </c>
      <c r="J364" s="99" t="inlineStr">
        <is>
          <t>Y</t>
        </is>
      </c>
      <c r="K364" s="99" t="inlineStr">
        <is>
          <t>N</t>
        </is>
      </c>
      <c r="L364" s="99" t="inlineStr">
        <is>
          <t>N</t>
        </is>
      </c>
      <c r="M364" s="99" t="n">
        <v>39.4</v>
      </c>
      <c r="N364" s="99" t="inlineStr">
        <is>
          <t>N</t>
        </is>
      </c>
      <c r="O364" s="99" t="n">
        <v>10.19</v>
      </c>
      <c r="P364" s="99" t="inlineStr">
        <is>
          <t>N</t>
        </is>
      </c>
      <c r="Q364" s="99" t="inlineStr">
        <is>
          <t>N/A</t>
        </is>
      </c>
      <c r="R364" s="99" t="inlineStr">
        <is>
          <t>N</t>
        </is>
      </c>
      <c r="S364" s="99" t="n">
        <v>1.4</v>
      </c>
      <c r="T364" s="99" t="n">
        <v>-5.5</v>
      </c>
      <c r="U364" s="99" t="inlineStr">
        <is>
          <t>N</t>
        </is>
      </c>
      <c r="V364" s="99" t="n">
        <v>22.3</v>
      </c>
      <c r="W364" s="99" t="n">
        <v>8.300000000000001</v>
      </c>
      <c r="X364" s="99" t="n">
        <v>1.21</v>
      </c>
      <c r="Y364" s="99" t="n">
        <v>798.5</v>
      </c>
      <c r="Z364" s="99" t="n">
        <v>2</v>
      </c>
      <c r="AA364" s="94" t="inlineStr">
        <is>
          <t>AVOID</t>
        </is>
      </c>
    </row>
    <row r="365">
      <c r="A365" s="97" t="inlineStr">
        <is>
          <t>ANGELONE</t>
        </is>
      </c>
      <c r="B365" s="97" t="inlineStr">
        <is>
          <t>Angel One Ltd.</t>
        </is>
      </c>
      <c r="C365" s="97" t="inlineStr">
        <is>
          <t>Financial Services</t>
        </is>
      </c>
      <c r="D365" s="97" t="inlineStr">
        <is>
          <t>Smallcap</t>
        </is>
      </c>
      <c r="E365" s="97" t="n">
        <v>307.95</v>
      </c>
      <c r="F365" s="97" t="n">
        <v>0.62</v>
      </c>
      <c r="G365" s="97" t="n">
        <v>3428982</v>
      </c>
      <c r="H365" s="97" t="n">
        <v>0.57</v>
      </c>
      <c r="I365" s="97" t="n">
        <v>28132</v>
      </c>
      <c r="J365" s="97" t="inlineStr">
        <is>
          <t>Y</t>
        </is>
      </c>
      <c r="K365" s="97" t="inlineStr">
        <is>
          <t>N</t>
        </is>
      </c>
      <c r="L365" s="97" t="inlineStr">
        <is>
          <t>Y</t>
        </is>
      </c>
      <c r="M365" s="97" t="n">
        <v>29.5</v>
      </c>
      <c r="N365" s="97" t="inlineStr">
        <is>
          <t>N</t>
        </is>
      </c>
      <c r="O365" s="97" t="n">
        <v>11.46</v>
      </c>
      <c r="P365" s="97" t="inlineStr">
        <is>
          <t>N</t>
        </is>
      </c>
      <c r="Q365" s="97" t="inlineStr">
        <is>
          <t>N/A</t>
        </is>
      </c>
      <c r="R365" s="97" t="inlineStr">
        <is>
          <t>N</t>
        </is>
      </c>
      <c r="S365" s="97" t="n">
        <v>-6.8</v>
      </c>
      <c r="T365" s="97" t="n">
        <v>-0.8</v>
      </c>
      <c r="U365" s="97" t="inlineStr">
        <is>
          <t>N</t>
        </is>
      </c>
      <c r="V365" s="97" t="n">
        <v>27.8</v>
      </c>
      <c r="W365" s="97" t="inlineStr">
        <is>
          <t>N/A</t>
        </is>
      </c>
      <c r="X365" s="97" t="n">
        <v>129.31</v>
      </c>
      <c r="Y365" s="97" t="n">
        <v>-27.7</v>
      </c>
      <c r="Z365" s="97" t="n">
        <v>2</v>
      </c>
      <c r="AA365" s="92" t="inlineStr">
        <is>
          <t>AVOID</t>
        </is>
      </c>
    </row>
    <row r="366">
      <c r="A366" s="99" t="inlineStr">
        <is>
          <t>ANURAS</t>
        </is>
      </c>
      <c r="B366" s="99" t="inlineStr">
        <is>
          <t>Anupam Rasayan India Ltd.</t>
        </is>
      </c>
      <c r="C366" s="99" t="inlineStr">
        <is>
          <t>Chemicals</t>
        </is>
      </c>
      <c r="D366" s="99" t="inlineStr">
        <is>
          <t>Smallcap</t>
        </is>
      </c>
      <c r="E366" s="99" t="n">
        <v>1249.6</v>
      </c>
      <c r="F366" s="99" t="n">
        <v>0.85</v>
      </c>
      <c r="G366" s="99" t="n">
        <v>281938</v>
      </c>
      <c r="H366" s="99" t="n">
        <v>1.48</v>
      </c>
      <c r="I366" s="99" t="n">
        <v>14226</v>
      </c>
      <c r="J366" s="99" t="inlineStr">
        <is>
          <t>Y</t>
        </is>
      </c>
      <c r="K366" s="99" t="inlineStr">
        <is>
          <t>N</t>
        </is>
      </c>
      <c r="L366" s="99" t="inlineStr">
        <is>
          <t>N</t>
        </is>
      </c>
      <c r="M366" s="99" t="n">
        <v>37.1</v>
      </c>
      <c r="N366" s="99" t="inlineStr">
        <is>
          <t>N</t>
        </is>
      </c>
      <c r="O366" s="99" t="n">
        <v>22.44</v>
      </c>
      <c r="P366" s="99" t="inlineStr">
        <is>
          <t>N</t>
        </is>
      </c>
      <c r="Q366" s="99" t="inlineStr">
        <is>
          <t>N/A</t>
        </is>
      </c>
      <c r="R366" s="99" t="inlineStr">
        <is>
          <t>N</t>
        </is>
      </c>
      <c r="S366" s="99" t="n">
        <v>-0.9</v>
      </c>
      <c r="T366" s="99" t="n">
        <v>-4.1</v>
      </c>
      <c r="U366" s="99" t="inlineStr">
        <is>
          <t>N</t>
        </is>
      </c>
      <c r="V366" s="99" t="n">
        <v>81.3</v>
      </c>
      <c r="W366" s="99" t="n">
        <v>5.8</v>
      </c>
      <c r="X366" s="99" t="n">
        <v>41.32</v>
      </c>
      <c r="Y366" s="99" t="n">
        <v>44.1</v>
      </c>
      <c r="Z366" s="99" t="n">
        <v>2</v>
      </c>
      <c r="AA366" s="94" t="inlineStr">
        <is>
          <t>AVOID</t>
        </is>
      </c>
    </row>
    <row r="367">
      <c r="A367" s="97" t="inlineStr">
        <is>
          <t>DMART</t>
        </is>
      </c>
      <c r="B367" s="97" t="inlineStr">
        <is>
          <t>Avenue Supermarts Ltd.</t>
        </is>
      </c>
      <c r="C367" s="97" t="inlineStr">
        <is>
          <t>Consumer Services</t>
        </is>
      </c>
      <c r="D367" s="97" t="inlineStr">
        <is>
          <t>Large/Midcap</t>
        </is>
      </c>
      <c r="E367" s="97" t="n">
        <v>4018.8</v>
      </c>
      <c r="F367" s="97" t="n">
        <v>-0.4</v>
      </c>
      <c r="G367" s="97" t="n">
        <v>332480</v>
      </c>
      <c r="H367" s="97" t="n">
        <v>0.72</v>
      </c>
      <c r="I367" s="97" t="n">
        <v>262125</v>
      </c>
      <c r="J367" s="97" t="inlineStr">
        <is>
          <t>Y</t>
        </is>
      </c>
      <c r="K367" s="97" t="inlineStr">
        <is>
          <t>N</t>
        </is>
      </c>
      <c r="L367" s="97" t="inlineStr">
        <is>
          <t>N</t>
        </is>
      </c>
      <c r="M367" s="97" t="n">
        <v>44</v>
      </c>
      <c r="N367" s="97" t="inlineStr">
        <is>
          <t>N</t>
        </is>
      </c>
      <c r="O367" s="97" t="n">
        <v>82.34</v>
      </c>
      <c r="P367" s="97" t="inlineStr">
        <is>
          <t>N</t>
        </is>
      </c>
      <c r="Q367" s="97" t="inlineStr">
        <is>
          <t>N/A</t>
        </is>
      </c>
      <c r="R367" s="97" t="inlineStr">
        <is>
          <t>N</t>
        </is>
      </c>
      <c r="S367" s="97" t="n">
        <v>-5.4</v>
      </c>
      <c r="T367" s="97" t="n">
        <v>-12</v>
      </c>
      <c r="U367" s="97" t="inlineStr">
        <is>
          <t>N</t>
        </is>
      </c>
      <c r="V367" s="97" t="n">
        <v>85.5</v>
      </c>
      <c r="W367" s="97" t="inlineStr">
        <is>
          <t>N/A</t>
        </is>
      </c>
      <c r="X367" s="97" t="n">
        <v>9.91</v>
      </c>
      <c r="Y367" s="97" t="n">
        <v>31.1</v>
      </c>
      <c r="Z367" s="97" t="n">
        <v>2</v>
      </c>
      <c r="AA367" s="92" t="inlineStr">
        <is>
          <t>AVOID</t>
        </is>
      </c>
    </row>
    <row r="368">
      <c r="A368" s="99" t="inlineStr">
        <is>
          <t>AXISBANK</t>
        </is>
      </c>
      <c r="B368" s="99" t="inlineStr">
        <is>
          <t>Axis Bank Ltd.</t>
        </is>
      </c>
      <c r="C368" s="99" t="inlineStr">
        <is>
          <t>Financial Services</t>
        </is>
      </c>
      <c r="D368" s="99" t="inlineStr">
        <is>
          <t>Large/Midcap</t>
        </is>
      </c>
      <c r="E368" s="99" t="n">
        <v>1227.3</v>
      </c>
      <c r="F368" s="99" t="n">
        <v>0.35</v>
      </c>
      <c r="G368" s="99" t="n">
        <v>8088828</v>
      </c>
      <c r="H368" s="99" t="n">
        <v>0.77</v>
      </c>
      <c r="I368" s="99" t="n">
        <v>381823</v>
      </c>
      <c r="J368" s="99" t="inlineStr">
        <is>
          <t>Y</t>
        </is>
      </c>
      <c r="K368" s="99" t="inlineStr">
        <is>
          <t>N</t>
        </is>
      </c>
      <c r="L368" s="99" t="inlineStr">
        <is>
          <t>N</t>
        </is>
      </c>
      <c r="M368" s="99" t="n">
        <v>25.1</v>
      </c>
      <c r="N368" s="99" t="inlineStr">
        <is>
          <t>N</t>
        </is>
      </c>
      <c r="O368" s="99" t="n">
        <v>30.3</v>
      </c>
      <c r="P368" s="99" t="inlineStr">
        <is>
          <t>N</t>
        </is>
      </c>
      <c r="Q368" s="99" t="inlineStr">
        <is>
          <t>N/A</t>
        </is>
      </c>
      <c r="R368" s="99" t="inlineStr">
        <is>
          <t>N</t>
        </is>
      </c>
      <c r="S368" s="99" t="n">
        <v>-9.800000000000001</v>
      </c>
      <c r="T368" s="99" t="n">
        <v>-4.7</v>
      </c>
      <c r="U368" s="99" t="inlineStr">
        <is>
          <t>N</t>
        </is>
      </c>
      <c r="V368" s="99" t="n">
        <v>13.8</v>
      </c>
      <c r="W368" s="99" t="n">
        <v>13.4</v>
      </c>
      <c r="X368" s="99" t="inlineStr">
        <is>
          <t>N/A</t>
        </is>
      </c>
      <c r="Y368" s="99" t="n">
        <v>0.4</v>
      </c>
      <c r="Z368" s="99" t="n">
        <v>2</v>
      </c>
      <c r="AA368" s="94" t="inlineStr">
        <is>
          <t>AVOID</t>
        </is>
      </c>
    </row>
    <row r="369">
      <c r="A369" s="97" t="inlineStr">
        <is>
          <t>BEML</t>
        </is>
      </c>
      <c r="B369" s="97" t="inlineStr">
        <is>
          <t>BEML Ltd.</t>
        </is>
      </c>
      <c r="C369" s="97" t="inlineStr">
        <is>
          <t>Capital Goods</t>
        </is>
      </c>
      <c r="D369" s="97" t="inlineStr">
        <is>
          <t>Smallcap</t>
        </is>
      </c>
      <c r="E369" s="97" t="n">
        <v>1713.2</v>
      </c>
      <c r="F369" s="97" t="n">
        <v>-1.01</v>
      </c>
      <c r="G369" s="97" t="n">
        <v>106026</v>
      </c>
      <c r="H369" s="97" t="n">
        <v>0.8100000000000001</v>
      </c>
      <c r="I369" s="97" t="n">
        <v>14269</v>
      </c>
      <c r="J369" s="97" t="inlineStr">
        <is>
          <t>Y</t>
        </is>
      </c>
      <c r="K369" s="97" t="inlineStr">
        <is>
          <t>N</t>
        </is>
      </c>
      <c r="L369" s="97" t="inlineStr">
        <is>
          <t>N</t>
        </is>
      </c>
      <c r="M369" s="97" t="n">
        <v>31.9</v>
      </c>
      <c r="N369" s="97" t="inlineStr">
        <is>
          <t>N</t>
        </is>
      </c>
      <c r="O369" s="97" t="n">
        <v>46.88</v>
      </c>
      <c r="P369" s="97" t="inlineStr">
        <is>
          <t>N</t>
        </is>
      </c>
      <c r="Q369" s="97" t="inlineStr">
        <is>
          <t>N/A</t>
        </is>
      </c>
      <c r="R369" s="97" t="inlineStr">
        <is>
          <t>N</t>
        </is>
      </c>
      <c r="S369" s="97" t="n">
        <v>-1</v>
      </c>
      <c r="T369" s="97" t="n">
        <v>-5.7</v>
      </c>
      <c r="U369" s="97" t="inlineStr">
        <is>
          <t>N</t>
        </is>
      </c>
      <c r="V369" s="97" t="n">
        <v>101</v>
      </c>
      <c r="W369" s="97" t="n">
        <v>4.9</v>
      </c>
      <c r="X369" s="97" t="n">
        <v>10.57</v>
      </c>
      <c r="Y369" s="97" t="n">
        <v>903.5</v>
      </c>
      <c r="Z369" s="97" t="n">
        <v>2</v>
      </c>
      <c r="AA369" s="92" t="inlineStr">
        <is>
          <t>AVOID</t>
        </is>
      </c>
    </row>
    <row r="370">
      <c r="A370" s="99" t="inlineStr">
        <is>
          <t>BAJAJHFL</t>
        </is>
      </c>
      <c r="B370" s="99" t="inlineStr">
        <is>
          <t>Bajaj Housing Finance Ltd.</t>
        </is>
      </c>
      <c r="C370" s="99" t="inlineStr">
        <is>
          <t>Financial Services</t>
        </is>
      </c>
      <c r="D370" s="99" t="inlineStr">
        <is>
          <t>Large/Midcap</t>
        </is>
      </c>
      <c r="E370" s="99" t="n">
        <v>84.19</v>
      </c>
      <c r="F370" s="99" t="n">
        <v>-0.73</v>
      </c>
      <c r="G370" s="99" t="n">
        <v>3387116</v>
      </c>
      <c r="H370" s="99" t="n">
        <v>1.76</v>
      </c>
      <c r="I370" s="99" t="n">
        <v>70119</v>
      </c>
      <c r="J370" s="99" t="inlineStr">
        <is>
          <t>Y</t>
        </is>
      </c>
      <c r="K370" s="99" t="inlineStr">
        <is>
          <t>N</t>
        </is>
      </c>
      <c r="L370" s="99" t="inlineStr">
        <is>
          <t>N</t>
        </is>
      </c>
      <c r="M370" s="99" t="n">
        <v>24.6</v>
      </c>
      <c r="N370" s="99" t="inlineStr">
        <is>
          <t>N</t>
        </is>
      </c>
      <c r="O370" s="99" t="n">
        <v>1.62</v>
      </c>
      <c r="P370" s="99" t="inlineStr">
        <is>
          <t>N</t>
        </is>
      </c>
      <c r="Q370" s="99" t="inlineStr">
        <is>
          <t>N/A</t>
        </is>
      </c>
      <c r="R370" s="99" t="inlineStr">
        <is>
          <t>N</t>
        </is>
      </c>
      <c r="S370" s="99" t="n">
        <v>-2.7</v>
      </c>
      <c r="T370" s="99" t="n">
        <v>-3.8</v>
      </c>
      <c r="U370" s="99" t="inlineStr">
        <is>
          <t>N</t>
        </is>
      </c>
      <c r="V370" s="99" t="n">
        <v>27.4</v>
      </c>
      <c r="W370" s="99" t="n">
        <v>12.1</v>
      </c>
      <c r="X370" s="99" t="n">
        <v>460.74</v>
      </c>
      <c r="Y370" s="99" t="n">
        <v>0.6</v>
      </c>
      <c r="Z370" s="99" t="n">
        <v>2</v>
      </c>
      <c r="AA370" s="94" t="inlineStr">
        <is>
          <t>AVOID</t>
        </is>
      </c>
    </row>
    <row r="371">
      <c r="A371" s="97" t="inlineStr">
        <is>
          <t>BANKBARODA</t>
        </is>
      </c>
      <c r="B371" s="97" t="inlineStr">
        <is>
          <t>Bank of Baroda</t>
        </is>
      </c>
      <c r="C371" s="97" t="inlineStr">
        <is>
          <t>Financial Services</t>
        </is>
      </c>
      <c r="D371" s="97" t="inlineStr">
        <is>
          <t>Large/Midcap</t>
        </is>
      </c>
      <c r="E371" s="97" t="n">
        <v>246.45</v>
      </c>
      <c r="F371" s="97" t="n">
        <v>1.36</v>
      </c>
      <c r="G371" s="97" t="n">
        <v>8475748</v>
      </c>
      <c r="H371" s="97" t="n">
        <v>0.92</v>
      </c>
      <c r="I371" s="97" t="n">
        <v>127448</v>
      </c>
      <c r="J371" s="97" t="inlineStr">
        <is>
          <t>Y</t>
        </is>
      </c>
      <c r="K371" s="97" t="inlineStr">
        <is>
          <t>N</t>
        </is>
      </c>
      <c r="L371" s="97" t="inlineStr">
        <is>
          <t>N</t>
        </is>
      </c>
      <c r="M371" s="97" t="n">
        <v>46.5</v>
      </c>
      <c r="N371" s="97" t="inlineStr">
        <is>
          <t>N</t>
        </is>
      </c>
      <c r="O371" s="97" t="n">
        <v>6.14</v>
      </c>
      <c r="P371" s="97" t="inlineStr">
        <is>
          <t>N</t>
        </is>
      </c>
      <c r="Q371" s="97" t="inlineStr">
        <is>
          <t>N/A</t>
        </is>
      </c>
      <c r="R371" s="97" t="inlineStr">
        <is>
          <t>N</t>
        </is>
      </c>
      <c r="S371" s="97" t="n">
        <v>-10.7</v>
      </c>
      <c r="T371" s="97" t="n">
        <v>-4.6</v>
      </c>
      <c r="U371" s="97" t="inlineStr">
        <is>
          <t>N</t>
        </is>
      </c>
      <c r="V371" s="97" t="n">
        <v>7</v>
      </c>
      <c r="W371" s="97" t="n">
        <v>11.3</v>
      </c>
      <c r="X371" s="97" t="inlineStr">
        <is>
          <t>N/A</t>
        </is>
      </c>
      <c r="Y371" s="97" t="n">
        <v>6.6</v>
      </c>
      <c r="Z371" s="97" t="n">
        <v>2</v>
      </c>
      <c r="AA371" s="92" t="inlineStr">
        <is>
          <t>AVOID</t>
        </is>
      </c>
    </row>
    <row r="372">
      <c r="A372" s="99" t="inlineStr">
        <is>
          <t>BDL</t>
        </is>
      </c>
      <c r="B372" s="99" t="inlineStr">
        <is>
          <t>Bharat Dynamics Ltd.</t>
        </is>
      </c>
      <c r="C372" s="99" t="inlineStr">
        <is>
          <t>Capital Goods</t>
        </is>
      </c>
      <c r="D372" s="99" t="inlineStr">
        <is>
          <t>Large/Midcap</t>
        </is>
      </c>
      <c r="E372" s="99" t="n">
        <v>1243</v>
      </c>
      <c r="F372" s="99" t="n">
        <v>0.26</v>
      </c>
      <c r="G372" s="99" t="n">
        <v>550236</v>
      </c>
      <c r="H372" s="99" t="n">
        <v>1.14</v>
      </c>
      <c r="I372" s="99" t="n">
        <v>45564</v>
      </c>
      <c r="J372" s="99" t="inlineStr">
        <is>
          <t>Y</t>
        </is>
      </c>
      <c r="K372" s="99" t="inlineStr">
        <is>
          <t>N</t>
        </is>
      </c>
      <c r="L372" s="99" t="inlineStr">
        <is>
          <t>N</t>
        </is>
      </c>
      <c r="M372" s="99" t="n">
        <v>16.2</v>
      </c>
      <c r="N372" s="99" t="inlineStr">
        <is>
          <t>N</t>
        </is>
      </c>
      <c r="O372" s="99" t="n">
        <v>32.95</v>
      </c>
      <c r="P372" s="99" t="inlineStr">
        <is>
          <t>N</t>
        </is>
      </c>
      <c r="Q372" s="99" t="inlineStr">
        <is>
          <t>N/A</t>
        </is>
      </c>
      <c r="R372" s="99" t="inlineStr">
        <is>
          <t>N</t>
        </is>
      </c>
      <c r="S372" s="99" t="n">
        <v>-8.1</v>
      </c>
      <c r="T372" s="99" t="n">
        <v>-10.3</v>
      </c>
      <c r="U372" s="99" t="inlineStr">
        <is>
          <t>N</t>
        </is>
      </c>
      <c r="V372" s="99" t="n">
        <v>108.7</v>
      </c>
      <c r="W372" s="99" t="n">
        <v>10.2</v>
      </c>
      <c r="X372" s="99" t="n">
        <v>0.01</v>
      </c>
      <c r="Y372" s="99" t="n">
        <v>55.2</v>
      </c>
      <c r="Z372" s="99" t="n">
        <v>2</v>
      </c>
      <c r="AA372" s="94" t="inlineStr">
        <is>
          <t>AVOID</t>
        </is>
      </c>
    </row>
    <row r="373">
      <c r="A373" s="97" t="inlineStr">
        <is>
          <t>BIKAJI</t>
        </is>
      </c>
      <c r="B373" s="97" t="inlineStr">
        <is>
          <t>Bikaji Foods International Ltd.</t>
        </is>
      </c>
      <c r="C373" s="97" t="inlineStr">
        <is>
          <t>Fast Moving Consumer Goods</t>
        </is>
      </c>
      <c r="D373" s="97" t="inlineStr">
        <is>
          <t>Smallcap</t>
        </is>
      </c>
      <c r="E373" s="97" t="n">
        <v>630.7</v>
      </c>
      <c r="F373" s="97" t="n">
        <v>-0.02</v>
      </c>
      <c r="G373" s="97" t="n">
        <v>54522</v>
      </c>
      <c r="H373" s="97" t="n">
        <v>0.86</v>
      </c>
      <c r="I373" s="97" t="n">
        <v>15814</v>
      </c>
      <c r="J373" s="97" t="inlineStr">
        <is>
          <t>Y</t>
        </is>
      </c>
      <c r="K373" s="97" t="inlineStr">
        <is>
          <t>N</t>
        </is>
      </c>
      <c r="L373" s="97" t="inlineStr">
        <is>
          <t>N</t>
        </is>
      </c>
      <c r="M373" s="97" t="n">
        <v>26.5</v>
      </c>
      <c r="N373" s="97" t="inlineStr">
        <is>
          <t>N</t>
        </is>
      </c>
      <c r="O373" s="97" t="n">
        <v>12.17</v>
      </c>
      <c r="P373" s="97" t="inlineStr">
        <is>
          <t>N</t>
        </is>
      </c>
      <c r="Q373" s="97" t="inlineStr">
        <is>
          <t>N/A</t>
        </is>
      </c>
      <c r="R373" s="97" t="inlineStr">
        <is>
          <t>N</t>
        </is>
      </c>
      <c r="S373" s="97" t="n">
        <v>-0.3</v>
      </c>
      <c r="T373" s="97" t="n">
        <v>-5.5</v>
      </c>
      <c r="U373" s="97" t="inlineStr">
        <is>
          <t>N</t>
        </is>
      </c>
      <c r="V373" s="97" t="n">
        <v>61.4</v>
      </c>
      <c r="W373" s="97" t="n">
        <v>16</v>
      </c>
      <c r="X373" s="97" t="n">
        <v>17.53</v>
      </c>
      <c r="Y373" s="97" t="n">
        <v>-9.300000000000001</v>
      </c>
      <c r="Z373" s="97" t="n">
        <v>2</v>
      </c>
      <c r="AA373" s="92" t="inlineStr">
        <is>
          <t>AVOID</t>
        </is>
      </c>
    </row>
    <row r="374">
      <c r="A374" s="99" t="inlineStr">
        <is>
          <t>BRIGADE</t>
        </is>
      </c>
      <c r="B374" s="99" t="inlineStr">
        <is>
          <t>Brigade Enterprises Ltd.</t>
        </is>
      </c>
      <c r="C374" s="99" t="inlineStr">
        <is>
          <t>Realty</t>
        </is>
      </c>
      <c r="D374" s="99" t="inlineStr">
        <is>
          <t>Smallcap</t>
        </is>
      </c>
      <c r="E374" s="99" t="n">
        <v>525.45</v>
      </c>
      <c r="F374" s="99" t="n">
        <v>-0.26</v>
      </c>
      <c r="G374" s="99" t="n">
        <v>221965</v>
      </c>
      <c r="H374" s="99" t="n">
        <v>0.8100000000000001</v>
      </c>
      <c r="I374" s="99" t="n">
        <v>17138</v>
      </c>
      <c r="J374" s="99" t="inlineStr">
        <is>
          <t>Y</t>
        </is>
      </c>
      <c r="K374" s="99" t="inlineStr">
        <is>
          <t>Y</t>
        </is>
      </c>
      <c r="L374" s="99" t="inlineStr">
        <is>
          <t>N</t>
        </is>
      </c>
      <c r="M374" s="99" t="n">
        <v>47</v>
      </c>
      <c r="N374" s="99" t="inlineStr">
        <is>
          <t>N</t>
        </is>
      </c>
      <c r="O374" s="99" t="n">
        <v>22.35</v>
      </c>
      <c r="P374" s="99" t="inlineStr">
        <is>
          <t>N</t>
        </is>
      </c>
      <c r="Q374" s="99" t="inlineStr">
        <is>
          <t>N/A</t>
        </is>
      </c>
      <c r="R374" s="99" t="inlineStr">
        <is>
          <t>N</t>
        </is>
      </c>
      <c r="S374" s="99" t="n">
        <v>1.1</v>
      </c>
      <c r="T374" s="99" t="n">
        <v>-11.6</v>
      </c>
      <c r="U374" s="99" t="inlineStr">
        <is>
          <t>N</t>
        </is>
      </c>
      <c r="V374" s="99" t="n">
        <v>26.6</v>
      </c>
      <c r="W374" s="99" t="n">
        <v>10.8</v>
      </c>
      <c r="X374" s="99" t="n">
        <v>84.31999999999999</v>
      </c>
      <c r="Y374" s="99" t="n">
        <v>-22</v>
      </c>
      <c r="Z374" s="99" t="n">
        <v>2</v>
      </c>
      <c r="AA374" s="94" t="inlineStr">
        <is>
          <t>AVOID</t>
        </is>
      </c>
    </row>
    <row r="375">
      <c r="A375" s="97" t="inlineStr">
        <is>
          <t>CESC</t>
        </is>
      </c>
      <c r="B375" s="97" t="inlineStr">
        <is>
          <t>CESC Ltd.</t>
        </is>
      </c>
      <c r="C375" s="97" t="inlineStr">
        <is>
          <t>Power</t>
        </is>
      </c>
      <c r="D375" s="97" t="inlineStr">
        <is>
          <t>Smallcap</t>
        </is>
      </c>
      <c r="E375" s="97" t="n">
        <v>163.18</v>
      </c>
      <c r="F375" s="97" t="n">
        <v>0.31</v>
      </c>
      <c r="G375" s="97" t="n">
        <v>551918</v>
      </c>
      <c r="H375" s="97" t="n">
        <v>0.6899999999999999</v>
      </c>
      <c r="I375" s="97" t="n">
        <v>21631</v>
      </c>
      <c r="J375" s="97" t="inlineStr">
        <is>
          <t>Y</t>
        </is>
      </c>
      <c r="K375" s="97" t="inlineStr">
        <is>
          <t>N</t>
        </is>
      </c>
      <c r="L375" s="97" t="inlineStr">
        <is>
          <t>N</t>
        </is>
      </c>
      <c r="M375" s="97" t="n">
        <v>37.3</v>
      </c>
      <c r="N375" s="97" t="inlineStr">
        <is>
          <t>N</t>
        </is>
      </c>
      <c r="O375" s="97" t="n">
        <v>3.4</v>
      </c>
      <c r="P375" s="97" t="inlineStr">
        <is>
          <t>N</t>
        </is>
      </c>
      <c r="Q375" s="97" t="inlineStr">
        <is>
          <t>N/A</t>
        </is>
      </c>
      <c r="R375" s="97" t="inlineStr">
        <is>
          <t>N</t>
        </is>
      </c>
      <c r="S375" s="97" t="n">
        <v>-1.8</v>
      </c>
      <c r="T375" s="97" t="n">
        <v>-12.1</v>
      </c>
      <c r="U375" s="97" t="inlineStr">
        <is>
          <t>N</t>
        </is>
      </c>
      <c r="V375" s="97" t="n">
        <v>14</v>
      </c>
      <c r="W375" s="97" t="n">
        <v>12.5</v>
      </c>
      <c r="X375" s="97" t="n">
        <v>164.31</v>
      </c>
      <c r="Y375" s="97" t="n">
        <v>54</v>
      </c>
      <c r="Z375" s="97" t="n">
        <v>2</v>
      </c>
      <c r="AA375" s="92" t="inlineStr">
        <is>
          <t>AVOID</t>
        </is>
      </c>
    </row>
    <row r="376">
      <c r="A376" s="99" t="inlineStr">
        <is>
          <t>CIEINDIA</t>
        </is>
      </c>
      <c r="B376" s="99" t="inlineStr">
        <is>
          <t>CIE Automotive India Ltd.</t>
        </is>
      </c>
      <c r="C376" s="99" t="inlineStr">
        <is>
          <t>Automobile and Auto Components</t>
        </is>
      </c>
      <c r="D376" s="99" t="inlineStr">
        <is>
          <t>Smallcap</t>
        </is>
      </c>
      <c r="E376" s="99" t="n">
        <v>413.75</v>
      </c>
      <c r="F376" s="99" t="n">
        <v>-1.25</v>
      </c>
      <c r="G376" s="99" t="n">
        <v>1114765</v>
      </c>
      <c r="H376" s="99" t="n">
        <v>0.5</v>
      </c>
      <c r="I376" s="99" t="n">
        <v>15696</v>
      </c>
      <c r="J376" s="99" t="inlineStr">
        <is>
          <t>Y</t>
        </is>
      </c>
      <c r="K376" s="99" t="inlineStr">
        <is>
          <t>N</t>
        </is>
      </c>
      <c r="L376" s="99" t="inlineStr">
        <is>
          <t>N</t>
        </is>
      </c>
      <c r="M376" s="99" t="n">
        <v>27.3</v>
      </c>
      <c r="N376" s="99" t="inlineStr">
        <is>
          <t>N</t>
        </is>
      </c>
      <c r="O376" s="99" t="n">
        <v>15.95</v>
      </c>
      <c r="P376" s="99" t="inlineStr">
        <is>
          <t>Y</t>
        </is>
      </c>
      <c r="Q376" s="99" t="inlineStr">
        <is>
          <t>N/A</t>
        </is>
      </c>
      <c r="R376" s="99" t="inlineStr">
        <is>
          <t>N</t>
        </is>
      </c>
      <c r="S376" s="99" t="n">
        <v>-11.2</v>
      </c>
      <c r="T376" s="99" t="n">
        <v>-11.3</v>
      </c>
      <c r="U376" s="99" t="inlineStr">
        <is>
          <t>N</t>
        </is>
      </c>
      <c r="V376" s="99" t="n">
        <v>17.5</v>
      </c>
      <c r="W376" s="99" t="inlineStr">
        <is>
          <t>N/A</t>
        </is>
      </c>
      <c r="X376" s="99" t="n">
        <v>6.63</v>
      </c>
      <c r="Y376" s="99" t="n">
        <v>-5.5</v>
      </c>
      <c r="Z376" s="99" t="n">
        <v>2</v>
      </c>
      <c r="AA376" s="94" t="inlineStr">
        <is>
          <t>AVOID</t>
        </is>
      </c>
    </row>
    <row r="377">
      <c r="A377" s="97" t="inlineStr">
        <is>
          <t>CANBK</t>
        </is>
      </c>
      <c r="B377" s="97" t="inlineStr">
        <is>
          <t>Canara Bank</t>
        </is>
      </c>
      <c r="C377" s="97" t="inlineStr">
        <is>
          <t>Financial Services</t>
        </is>
      </c>
      <c r="D377" s="97" t="inlineStr">
        <is>
          <t>Large/Midcap</t>
        </is>
      </c>
      <c r="E377" s="97" t="n">
        <v>125.65</v>
      </c>
      <c r="F377" s="97" t="n">
        <v>0.34</v>
      </c>
      <c r="G377" s="97" t="n">
        <v>36714624</v>
      </c>
      <c r="H377" s="97" t="n">
        <v>2.12</v>
      </c>
      <c r="I377" s="97" t="n">
        <v>113973</v>
      </c>
      <c r="J377" s="97" t="inlineStr">
        <is>
          <t>Y</t>
        </is>
      </c>
      <c r="K377" s="97" t="inlineStr">
        <is>
          <t>N</t>
        </is>
      </c>
      <c r="L377" s="97" t="inlineStr">
        <is>
          <t>N</t>
        </is>
      </c>
      <c r="M377" s="97" t="n">
        <v>48.5</v>
      </c>
      <c r="N377" s="97" t="inlineStr">
        <is>
          <t>N</t>
        </is>
      </c>
      <c r="O377" s="97" t="n">
        <v>3.43</v>
      </c>
      <c r="P377" s="97" t="inlineStr">
        <is>
          <t>N</t>
        </is>
      </c>
      <c r="Q377" s="97" t="inlineStr">
        <is>
          <t>N/A</t>
        </is>
      </c>
      <c r="R377" s="97" t="inlineStr">
        <is>
          <t>N</t>
        </is>
      </c>
      <c r="S377" s="97" t="n">
        <v>-1.5</v>
      </c>
      <c r="T377" s="97" t="n">
        <v>-4.8</v>
      </c>
      <c r="U377" s="97" t="inlineStr">
        <is>
          <t>N</t>
        </is>
      </c>
      <c r="V377" s="97" t="n">
        <v>5.8</v>
      </c>
      <c r="W377" s="97" t="n">
        <v>15.9</v>
      </c>
      <c r="X377" s="97" t="inlineStr">
        <is>
          <t>N/A</t>
        </is>
      </c>
      <c r="Y377" s="97" t="n">
        <v>-12.9</v>
      </c>
      <c r="Z377" s="97" t="n">
        <v>2</v>
      </c>
      <c r="AA377" s="92" t="inlineStr">
        <is>
          <t>AVOID</t>
        </is>
      </c>
    </row>
    <row r="378">
      <c r="A378" s="99" t="inlineStr">
        <is>
          <t>CENTRALBK</t>
        </is>
      </c>
      <c r="B378" s="99" t="inlineStr">
        <is>
          <t>Central Bank of India</t>
        </is>
      </c>
      <c r="C378" s="99" t="inlineStr">
        <is>
          <t>Financial Services</t>
        </is>
      </c>
      <c r="D378" s="99" t="inlineStr">
        <is>
          <t>Smallcap</t>
        </is>
      </c>
      <c r="E378" s="99" t="n">
        <v>31.03</v>
      </c>
      <c r="F378" s="99" t="n">
        <v>0.26</v>
      </c>
      <c r="G378" s="99" t="n">
        <v>7107736</v>
      </c>
      <c r="H378" s="99" t="n">
        <v>0.78</v>
      </c>
      <c r="I378" s="99" t="n">
        <v>28086</v>
      </c>
      <c r="J378" s="99" t="inlineStr">
        <is>
          <t>Y</t>
        </is>
      </c>
      <c r="K378" s="99" t="inlineStr">
        <is>
          <t>N</t>
        </is>
      </c>
      <c r="L378" s="99" t="inlineStr">
        <is>
          <t>N</t>
        </is>
      </c>
      <c r="M378" s="99" t="n">
        <v>37.7</v>
      </c>
      <c r="N378" s="99" t="inlineStr">
        <is>
          <t>N</t>
        </is>
      </c>
      <c r="O378" s="99" t="n">
        <v>0.83</v>
      </c>
      <c r="P378" s="99" t="inlineStr">
        <is>
          <t>N</t>
        </is>
      </c>
      <c r="Q378" s="99" t="inlineStr">
        <is>
          <t>N/A</t>
        </is>
      </c>
      <c r="R378" s="99" t="inlineStr">
        <is>
          <t>N</t>
        </is>
      </c>
      <c r="S378" s="99" t="n">
        <v>-2.6</v>
      </c>
      <c r="T378" s="99" t="n">
        <v>-12.4</v>
      </c>
      <c r="U378" s="99" t="inlineStr">
        <is>
          <t>N</t>
        </is>
      </c>
      <c r="V378" s="99" t="n">
        <v>6.2</v>
      </c>
      <c r="W378" s="99" t="n">
        <v>11.6</v>
      </c>
      <c r="X378" s="99" t="inlineStr">
        <is>
          <t>N/A</t>
        </is>
      </c>
      <c r="Y378" s="99" t="n">
        <v>77.40000000000001</v>
      </c>
      <c r="Z378" s="99" t="n">
        <v>2</v>
      </c>
      <c r="AA378" s="94" t="inlineStr">
        <is>
          <t>AVOID</t>
        </is>
      </c>
    </row>
    <row r="379">
      <c r="A379" s="97" t="inlineStr">
        <is>
          <t>CHAMBLFERT</t>
        </is>
      </c>
      <c r="B379" s="97" t="inlineStr">
        <is>
          <t>Chambal Fertilizers &amp; Chemicals Ltd.</t>
        </is>
      </c>
      <c r="C379" s="97" t="inlineStr">
        <is>
          <t>Chemicals</t>
        </is>
      </c>
      <c r="D379" s="97" t="inlineStr">
        <is>
          <t>Smallcap</t>
        </is>
      </c>
      <c r="E379" s="97" t="n">
        <v>431</v>
      </c>
      <c r="F379" s="97" t="n">
        <v>-0.2</v>
      </c>
      <c r="G379" s="97" t="n">
        <v>431603</v>
      </c>
      <c r="H379" s="97" t="n">
        <v>1.62</v>
      </c>
      <c r="I379" s="97" t="n">
        <v>17268</v>
      </c>
      <c r="J379" s="97" t="inlineStr">
        <is>
          <t>Y</t>
        </is>
      </c>
      <c r="K379" s="97" t="inlineStr">
        <is>
          <t>N</t>
        </is>
      </c>
      <c r="L379" s="97" t="inlineStr">
        <is>
          <t>N</t>
        </is>
      </c>
      <c r="M379" s="97" t="n">
        <v>13.1</v>
      </c>
      <c r="N379" s="97" t="inlineStr">
        <is>
          <t>N</t>
        </is>
      </c>
      <c r="O379" s="97" t="n">
        <v>9.359999999999999</v>
      </c>
      <c r="P379" s="97" t="inlineStr">
        <is>
          <t>N</t>
        </is>
      </c>
      <c r="Q379" s="97" t="inlineStr">
        <is>
          <t>N/A</t>
        </is>
      </c>
      <c r="R379" s="97" t="inlineStr">
        <is>
          <t>N</t>
        </is>
      </c>
      <c r="S379" s="97" t="n">
        <v>-7.1</v>
      </c>
      <c r="T379" s="97" t="n">
        <v>-3.8</v>
      </c>
      <c r="U379" s="97" t="inlineStr">
        <is>
          <t>N</t>
        </is>
      </c>
      <c r="V379" s="97" t="n">
        <v>8.800000000000001</v>
      </c>
      <c r="W379" s="97" t="n">
        <v>20.5</v>
      </c>
      <c r="X379" s="97" t="n">
        <v>10.27</v>
      </c>
      <c r="Y379" s="97" t="n">
        <v>-71.09999999999999</v>
      </c>
      <c r="Z379" s="97" t="n">
        <v>2</v>
      </c>
      <c r="AA379" s="92" t="inlineStr">
        <is>
          <t>AVOID</t>
        </is>
      </c>
    </row>
    <row r="380">
      <c r="A380" s="99" t="inlineStr">
        <is>
          <t>COCHINSHIP</t>
        </is>
      </c>
      <c r="B380" s="99" t="inlineStr">
        <is>
          <t>Cochin Shipyard Ltd.</t>
        </is>
      </c>
      <c r="C380" s="99" t="inlineStr">
        <is>
          <t>Capital Goods</t>
        </is>
      </c>
      <c r="D380" s="99" t="inlineStr">
        <is>
          <t>Large/Midcap</t>
        </is>
      </c>
      <c r="E380" s="99" t="n">
        <v>1392.4</v>
      </c>
      <c r="F380" s="99" t="n">
        <v>-0.24</v>
      </c>
      <c r="G380" s="99" t="n">
        <v>543772</v>
      </c>
      <c r="H380" s="99" t="n">
        <v>0.62</v>
      </c>
      <c r="I380" s="99" t="n">
        <v>36631</v>
      </c>
      <c r="J380" s="99" t="inlineStr">
        <is>
          <t>Y</t>
        </is>
      </c>
      <c r="K380" s="99" t="inlineStr">
        <is>
          <t>N</t>
        </is>
      </c>
      <c r="L380" s="99" t="inlineStr">
        <is>
          <t>N</t>
        </is>
      </c>
      <c r="M380" s="99" t="n">
        <v>27.1</v>
      </c>
      <c r="N380" s="99" t="inlineStr">
        <is>
          <t>N</t>
        </is>
      </c>
      <c r="O380" s="99" t="n">
        <v>32.98</v>
      </c>
      <c r="P380" s="99" t="inlineStr">
        <is>
          <t>N</t>
        </is>
      </c>
      <c r="Q380" s="99" t="inlineStr">
        <is>
          <t>N/A</t>
        </is>
      </c>
      <c r="R380" s="99" t="inlineStr">
        <is>
          <t>N</t>
        </is>
      </c>
      <c r="S380" s="99" t="n">
        <v>-3.5</v>
      </c>
      <c r="T380" s="99" t="n">
        <v>-21</v>
      </c>
      <c r="U380" s="99" t="inlineStr">
        <is>
          <t>N</t>
        </is>
      </c>
      <c r="V380" s="99" t="n">
        <v>51</v>
      </c>
      <c r="W380" s="99" t="n">
        <v>12.5</v>
      </c>
      <c r="X380" s="99" t="n">
        <v>28.47</v>
      </c>
      <c r="Y380" s="99" t="n">
        <v>91.09999999999999</v>
      </c>
      <c r="Z380" s="99" t="n">
        <v>2</v>
      </c>
      <c r="AA380" s="94" t="inlineStr">
        <is>
          <t>AVOID</t>
        </is>
      </c>
    </row>
    <row r="381">
      <c r="A381" s="97" t="inlineStr">
        <is>
          <t>CONCOR</t>
        </is>
      </c>
      <c r="B381" s="97" t="inlineStr">
        <is>
          <t>Container Corporation of India Ltd.</t>
        </is>
      </c>
      <c r="C381" s="97" t="inlineStr">
        <is>
          <t>Services</t>
        </is>
      </c>
      <c r="D381" s="97" t="inlineStr">
        <is>
          <t>Large/Midcap</t>
        </is>
      </c>
      <c r="E381" s="97" t="n">
        <v>477.55</v>
      </c>
      <c r="F381" s="97" t="n">
        <v>-0.61</v>
      </c>
      <c r="G381" s="97" t="n">
        <v>579577</v>
      </c>
      <c r="H381" s="97" t="n">
        <v>0.65</v>
      </c>
      <c r="I381" s="97" t="n">
        <v>36371</v>
      </c>
      <c r="J381" s="97" t="inlineStr">
        <is>
          <t>Y</t>
        </is>
      </c>
      <c r="K381" s="97" t="inlineStr">
        <is>
          <t>Y</t>
        </is>
      </c>
      <c r="L381" s="97" t="inlineStr">
        <is>
          <t>N</t>
        </is>
      </c>
      <c r="M381" s="97" t="n">
        <v>48.3</v>
      </c>
      <c r="N381" s="97" t="inlineStr">
        <is>
          <t>N</t>
        </is>
      </c>
      <c r="O381" s="97" t="n">
        <v>13.51</v>
      </c>
      <c r="P381" s="97" t="inlineStr">
        <is>
          <t>N</t>
        </is>
      </c>
      <c r="Q381" s="97" t="inlineStr">
        <is>
          <t>N/A</t>
        </is>
      </c>
      <c r="R381" s="97" t="inlineStr">
        <is>
          <t>N</t>
        </is>
      </c>
      <c r="S381" s="97" t="n">
        <v>2.7</v>
      </c>
      <c r="T381" s="97" t="n">
        <v>-6.7</v>
      </c>
      <c r="U381" s="97" t="inlineStr">
        <is>
          <t>N</t>
        </is>
      </c>
      <c r="V381" s="97" t="n">
        <v>29.2</v>
      </c>
      <c r="W381" s="97" t="inlineStr">
        <is>
          <t>N/A</t>
        </is>
      </c>
      <c r="X381" s="97" t="n">
        <v>7.39</v>
      </c>
      <c r="Y381" s="97" t="n">
        <v>-21.3</v>
      </c>
      <c r="Z381" s="97" t="n">
        <v>2</v>
      </c>
      <c r="AA381" s="92" t="inlineStr">
        <is>
          <t>AVOID</t>
        </is>
      </c>
    </row>
    <row r="382">
      <c r="A382" s="99" t="inlineStr">
        <is>
          <t>CROMPTON</t>
        </is>
      </c>
      <c r="B382" s="99" t="inlineStr">
        <is>
          <t>Crompton Greaves Consumer Electricals Ltd.</t>
        </is>
      </c>
      <c r="C382" s="99" t="inlineStr">
        <is>
          <t>Consumer Durables</t>
        </is>
      </c>
      <c r="D382" s="99" t="inlineStr">
        <is>
          <t>Smallcap</t>
        </is>
      </c>
      <c r="E382" s="99" t="n">
        <v>250.15</v>
      </c>
      <c r="F382" s="99" t="n">
        <v>0.28</v>
      </c>
      <c r="G382" s="99" t="n">
        <v>4490954</v>
      </c>
      <c r="H382" s="99" t="n">
        <v>1.58</v>
      </c>
      <c r="I382" s="99" t="n">
        <v>16108</v>
      </c>
      <c r="J382" s="99" t="inlineStr">
        <is>
          <t>Y</t>
        </is>
      </c>
      <c r="K382" s="99" t="inlineStr">
        <is>
          <t>N</t>
        </is>
      </c>
      <c r="L382" s="99" t="inlineStr">
        <is>
          <t>N</t>
        </is>
      </c>
      <c r="M382" s="99" t="n">
        <v>25.5</v>
      </c>
      <c r="N382" s="99" t="inlineStr">
        <is>
          <t>N</t>
        </is>
      </c>
      <c r="O382" s="99" t="n">
        <v>6.89</v>
      </c>
      <c r="P382" s="99" t="inlineStr">
        <is>
          <t>Y</t>
        </is>
      </c>
      <c r="Q382" s="99" t="inlineStr">
        <is>
          <t>N/A</t>
        </is>
      </c>
      <c r="R382" s="99" t="inlineStr">
        <is>
          <t>N</t>
        </is>
      </c>
      <c r="S382" s="99" t="n">
        <v>-7</v>
      </c>
      <c r="T382" s="99" t="n">
        <v>-7.7</v>
      </c>
      <c r="U382" s="99" t="inlineStr">
        <is>
          <t>N</t>
        </is>
      </c>
      <c r="V382" s="99" t="inlineStr">
        <is>
          <t>N/A</t>
        </is>
      </c>
      <c r="W382" s="99" t="n">
        <v>-6.3</v>
      </c>
      <c r="X382" s="99" t="n">
        <v>5.8</v>
      </c>
      <c r="Y382" s="99" t="n">
        <v>-643.1</v>
      </c>
      <c r="Z382" s="99" t="n">
        <v>2</v>
      </c>
      <c r="AA382" s="94" t="inlineStr">
        <is>
          <t>AVOID</t>
        </is>
      </c>
    </row>
    <row r="383">
      <c r="A383" s="97" t="inlineStr">
        <is>
          <t>DABUR</t>
        </is>
      </c>
      <c r="B383" s="97" t="inlineStr">
        <is>
          <t>Dabur India Ltd.</t>
        </is>
      </c>
      <c r="C383" s="97" t="inlineStr">
        <is>
          <t>Fast Moving Consumer Goods</t>
        </is>
      </c>
      <c r="D383" s="97" t="inlineStr">
        <is>
          <t>Large/Midcap</t>
        </is>
      </c>
      <c r="E383" s="97" t="n">
        <v>423.2</v>
      </c>
      <c r="F383" s="97" t="n">
        <v>0.01</v>
      </c>
      <c r="G383" s="97" t="n">
        <v>641619</v>
      </c>
      <c r="H383" s="97" t="n">
        <v>0.43</v>
      </c>
      <c r="I383" s="97" t="n">
        <v>75074</v>
      </c>
      <c r="J383" s="97" t="inlineStr">
        <is>
          <t>Y</t>
        </is>
      </c>
      <c r="K383" s="97" t="inlineStr">
        <is>
          <t>N</t>
        </is>
      </c>
      <c r="L383" s="97" t="inlineStr">
        <is>
          <t>N</t>
        </is>
      </c>
      <c r="M383" s="97" t="n">
        <v>28.9</v>
      </c>
      <c r="N383" s="97" t="inlineStr">
        <is>
          <t>N</t>
        </is>
      </c>
      <c r="O383" s="97" t="n">
        <v>7.71</v>
      </c>
      <c r="P383" s="97" t="inlineStr">
        <is>
          <t>N</t>
        </is>
      </c>
      <c r="Q383" s="97" t="inlineStr">
        <is>
          <t>N/A</t>
        </is>
      </c>
      <c r="R383" s="97" t="inlineStr">
        <is>
          <t>N</t>
        </is>
      </c>
      <c r="S383" s="97" t="n">
        <v>2.2</v>
      </c>
      <c r="T383" s="97" t="n">
        <v>-5.4</v>
      </c>
      <c r="U383" s="97" t="inlineStr">
        <is>
          <t>N</t>
        </is>
      </c>
      <c r="V383" s="97" t="n">
        <v>39.7</v>
      </c>
      <c r="W383" s="97" t="n">
        <v>16.2</v>
      </c>
      <c r="X383" s="97" t="n">
        <v>10.91</v>
      </c>
      <c r="Y383" s="97" t="n">
        <v>-34.2</v>
      </c>
      <c r="Z383" s="97" t="n">
        <v>2</v>
      </c>
      <c r="AA383" s="92" t="inlineStr">
        <is>
          <t>AVOID</t>
        </is>
      </c>
    </row>
    <row r="384">
      <c r="A384" s="99" t="inlineStr">
        <is>
          <t>EIDPARRY</t>
        </is>
      </c>
      <c r="B384" s="99" t="inlineStr">
        <is>
          <t>E.I.D. Parry (India) Ltd.</t>
        </is>
      </c>
      <c r="C384" s="99" t="inlineStr">
        <is>
          <t>Fast Moving Consumer Goods</t>
        </is>
      </c>
      <c r="D384" s="99" t="inlineStr">
        <is>
          <t>Smallcap</t>
        </is>
      </c>
      <c r="E384" s="99" t="n">
        <v>758</v>
      </c>
      <c r="F384" s="99" t="n">
        <v>-0.15</v>
      </c>
      <c r="G384" s="99" t="n">
        <v>128554</v>
      </c>
      <c r="H384" s="99" t="n">
        <v>0.62</v>
      </c>
      <c r="I384" s="99" t="n">
        <v>13489</v>
      </c>
      <c r="J384" s="99" t="inlineStr">
        <is>
          <t>Y</t>
        </is>
      </c>
      <c r="K384" s="99" t="inlineStr">
        <is>
          <t>Y</t>
        </is>
      </c>
      <c r="L384" s="99" t="inlineStr">
        <is>
          <t>N</t>
        </is>
      </c>
      <c r="M384" s="99" t="n">
        <v>47.3</v>
      </c>
      <c r="N384" s="99" t="inlineStr">
        <is>
          <t>N</t>
        </is>
      </c>
      <c r="O384" s="99" t="n">
        <v>22.17</v>
      </c>
      <c r="P384" s="99" t="inlineStr">
        <is>
          <t>N</t>
        </is>
      </c>
      <c r="Q384" s="99" t="inlineStr">
        <is>
          <t>N/A</t>
        </is>
      </c>
      <c r="R384" s="99" t="inlineStr">
        <is>
          <t>N</t>
        </is>
      </c>
      <c r="S384" s="99" t="n">
        <v>7.9</v>
      </c>
      <c r="T384" s="99" t="n">
        <v>-9.800000000000001</v>
      </c>
      <c r="U384" s="99" t="inlineStr">
        <is>
          <t>N</t>
        </is>
      </c>
      <c r="V384" s="99" t="n">
        <v>23.8</v>
      </c>
      <c r="W384" s="99" t="n">
        <v>9.9</v>
      </c>
      <c r="X384" s="99" t="n">
        <v>23.65</v>
      </c>
      <c r="Y384" s="99" t="n">
        <v>-243.6</v>
      </c>
      <c r="Z384" s="99" t="n">
        <v>2</v>
      </c>
      <c r="AA384" s="94" t="inlineStr">
        <is>
          <t>AVOID</t>
        </is>
      </c>
    </row>
    <row r="385">
      <c r="A385" s="97" t="inlineStr">
        <is>
          <t>ELECON</t>
        </is>
      </c>
      <c r="B385" s="97" t="inlineStr">
        <is>
          <t>Elecon Engineering Co. Ltd.</t>
        </is>
      </c>
      <c r="C385" s="97" t="inlineStr">
        <is>
          <t>Capital Goods</t>
        </is>
      </c>
      <c r="D385" s="97" t="inlineStr">
        <is>
          <t>Smallcap</t>
        </is>
      </c>
      <c r="E385" s="97" t="n">
        <v>421.65</v>
      </c>
      <c r="F385" s="97" t="n">
        <v>-2.62</v>
      </c>
      <c r="G385" s="97" t="n">
        <v>859460</v>
      </c>
      <c r="H385" s="97" t="n">
        <v>2.93</v>
      </c>
      <c r="I385" s="97" t="n">
        <v>9462</v>
      </c>
      <c r="J385" s="97" t="inlineStr">
        <is>
          <t>Y</t>
        </is>
      </c>
      <c r="K385" s="97" t="inlineStr">
        <is>
          <t>N</t>
        </is>
      </c>
      <c r="L385" s="97" t="inlineStr">
        <is>
          <t>N</t>
        </is>
      </c>
      <c r="M385" s="97" t="n">
        <v>12.2</v>
      </c>
      <c r="N385" s="97" t="inlineStr">
        <is>
          <t>N</t>
        </is>
      </c>
      <c r="O385" s="97" t="n">
        <v>20.26</v>
      </c>
      <c r="P385" s="97" t="inlineStr">
        <is>
          <t>N</t>
        </is>
      </c>
      <c r="Q385" s="97" t="inlineStr">
        <is>
          <t>N/A</t>
        </is>
      </c>
      <c r="R385" s="97" t="inlineStr">
        <is>
          <t>N</t>
        </is>
      </c>
      <c r="S385" s="97" t="n">
        <v>-18.2</v>
      </c>
      <c r="T385" s="97" t="n">
        <v>-12.8</v>
      </c>
      <c r="U385" s="97" t="inlineStr">
        <is>
          <t>N</t>
        </is>
      </c>
      <c r="V385" s="97" t="n">
        <v>40.2</v>
      </c>
      <c r="W385" s="97" t="inlineStr">
        <is>
          <t>N/A</t>
        </is>
      </c>
      <c r="X385" s="97" t="n">
        <v>11.82</v>
      </c>
      <c r="Y385" s="97" t="n">
        <v>1072.5</v>
      </c>
      <c r="Z385" s="97" t="n">
        <v>2</v>
      </c>
      <c r="AA385" s="92" t="inlineStr">
        <is>
          <t>AVOID</t>
        </is>
      </c>
    </row>
    <row r="386">
      <c r="A386" s="99" t="inlineStr">
        <is>
          <t>ESCORTS</t>
        </is>
      </c>
      <c r="B386" s="99" t="inlineStr">
        <is>
          <t>Escorts Kubota Ltd.</t>
        </is>
      </c>
      <c r="C386" s="99" t="inlineStr">
        <is>
          <t>Capital Goods</t>
        </is>
      </c>
      <c r="D386" s="99" t="inlineStr">
        <is>
          <t>Large/Midcap</t>
        </is>
      </c>
      <c r="E386" s="99" t="n">
        <v>2905.1</v>
      </c>
      <c r="F386" s="99" t="n">
        <v>-0.07000000000000001</v>
      </c>
      <c r="G386" s="99" t="n">
        <v>100725</v>
      </c>
      <c r="H386" s="99" t="n">
        <v>1.65</v>
      </c>
      <c r="I386" s="99" t="n">
        <v>31964</v>
      </c>
      <c r="J386" s="99" t="inlineStr">
        <is>
          <t>Y</t>
        </is>
      </c>
      <c r="K386" s="99" t="inlineStr">
        <is>
          <t>Y</t>
        </is>
      </c>
      <c r="L386" s="99" t="inlineStr">
        <is>
          <t>N</t>
        </is>
      </c>
      <c r="M386" s="99" t="n">
        <v>38.6</v>
      </c>
      <c r="N386" s="99" t="inlineStr">
        <is>
          <t>N</t>
        </is>
      </c>
      <c r="O386" s="99" t="n">
        <v>60.96</v>
      </c>
      <c r="P386" s="99" t="inlineStr">
        <is>
          <t>N</t>
        </is>
      </c>
      <c r="Q386" s="99" t="inlineStr">
        <is>
          <t>N/A</t>
        </is>
      </c>
      <c r="R386" s="99" t="inlineStr">
        <is>
          <t>N</t>
        </is>
      </c>
      <c r="S386" s="99" t="n">
        <v>0.7</v>
      </c>
      <c r="T386" s="99" t="n">
        <v>-10.5</v>
      </c>
      <c r="U386" s="99" t="inlineStr">
        <is>
          <t>N</t>
        </is>
      </c>
      <c r="V386" s="99" t="n">
        <v>23.4</v>
      </c>
      <c r="W386" s="99" t="n">
        <v>12</v>
      </c>
      <c r="X386" s="99" t="n">
        <v>1.31</v>
      </c>
      <c r="Y386" s="99" t="n">
        <v>-10.5</v>
      </c>
      <c r="Z386" s="99" t="n">
        <v>2</v>
      </c>
      <c r="AA386" s="94" t="inlineStr">
        <is>
          <t>AVOID</t>
        </is>
      </c>
    </row>
    <row r="387">
      <c r="A387" s="97" t="inlineStr">
        <is>
          <t>FACT</t>
        </is>
      </c>
      <c r="B387" s="97" t="inlineStr">
        <is>
          <t>Fertilisers and Chemicals Travancore Ltd.</t>
        </is>
      </c>
      <c r="C387" s="97" t="inlineStr">
        <is>
          <t>Chemicals</t>
        </is>
      </c>
      <c r="D387" s="97" t="inlineStr">
        <is>
          <t>Smallcap</t>
        </is>
      </c>
      <c r="E387" s="97" t="n">
        <v>809.3</v>
      </c>
      <c r="F387" s="97" t="n">
        <v>0.44</v>
      </c>
      <c r="G387" s="97" t="n">
        <v>109204</v>
      </c>
      <c r="H387" s="97" t="n">
        <v>1.38</v>
      </c>
      <c r="I387" s="97" t="n">
        <v>52368</v>
      </c>
      <c r="J387" s="97" t="inlineStr">
        <is>
          <t>Y</t>
        </is>
      </c>
      <c r="K387" s="97" t="inlineStr">
        <is>
          <t>N</t>
        </is>
      </c>
      <c r="L387" s="97" t="inlineStr">
        <is>
          <t>N</t>
        </is>
      </c>
      <c r="M387" s="97" t="n">
        <v>18.3</v>
      </c>
      <c r="N387" s="97" t="inlineStr">
        <is>
          <t>N</t>
        </is>
      </c>
      <c r="O387" s="97" t="n">
        <v>21.54</v>
      </c>
      <c r="P387" s="97" t="inlineStr">
        <is>
          <t>N</t>
        </is>
      </c>
      <c r="Q387" s="97" t="inlineStr">
        <is>
          <t>N/A</t>
        </is>
      </c>
      <c r="R387" s="97" t="inlineStr">
        <is>
          <t>N</t>
        </is>
      </c>
      <c r="S387" s="97" t="n">
        <v>-8</v>
      </c>
      <c r="T387" s="97" t="n">
        <v>-10.4</v>
      </c>
      <c r="U387" s="97" t="inlineStr">
        <is>
          <t>N</t>
        </is>
      </c>
      <c r="V387" s="97" t="inlineStr">
        <is>
          <t>N/A</t>
        </is>
      </c>
      <c r="W387" s="97" t="inlineStr">
        <is>
          <t>N/A</t>
        </is>
      </c>
      <c r="X387" s="97" t="n">
        <v>295.15</v>
      </c>
      <c r="Y387" s="97" t="n">
        <v>104.7</v>
      </c>
      <c r="Z387" s="97" t="n">
        <v>2</v>
      </c>
      <c r="AA387" s="92" t="inlineStr">
        <is>
          <t>AVOID</t>
        </is>
      </c>
    </row>
    <row r="388">
      <c r="A388" s="99" t="inlineStr">
        <is>
          <t>FORCEMOT</t>
        </is>
      </c>
      <c r="B388" s="99" t="inlineStr">
        <is>
          <t>Force Motors Ltd.</t>
        </is>
      </c>
      <c r="C388" s="99" t="inlineStr">
        <is>
          <t>Automobile and Auto Components</t>
        </is>
      </c>
      <c r="D388" s="99" t="inlineStr">
        <is>
          <t>Smallcap</t>
        </is>
      </c>
      <c r="E388" s="99" t="n">
        <v>17620</v>
      </c>
      <c r="F388" s="99" t="n">
        <v>1.21</v>
      </c>
      <c r="G388" s="99" t="n">
        <v>112140</v>
      </c>
      <c r="H388" s="99" t="n">
        <v>1.1</v>
      </c>
      <c r="I388" s="99" t="n">
        <v>23217</v>
      </c>
      <c r="J388" s="99" t="inlineStr">
        <is>
          <t>Y</t>
        </is>
      </c>
      <c r="K388" s="99" t="inlineStr">
        <is>
          <t>N</t>
        </is>
      </c>
      <c r="L388" s="99" t="inlineStr">
        <is>
          <t>N</t>
        </is>
      </c>
      <c r="M388" s="99" t="n">
        <v>35.6</v>
      </c>
      <c r="N388" s="99" t="inlineStr">
        <is>
          <t>N</t>
        </is>
      </c>
      <c r="O388" s="99" t="n">
        <v>542.71</v>
      </c>
      <c r="P388" s="99" t="inlineStr">
        <is>
          <t>N</t>
        </is>
      </c>
      <c r="Q388" s="99" t="inlineStr">
        <is>
          <t>N/A</t>
        </is>
      </c>
      <c r="R388" s="99" t="inlineStr">
        <is>
          <t>N</t>
        </is>
      </c>
      <c r="S388" s="99" t="n">
        <v>-3.1</v>
      </c>
      <c r="T388" s="99" t="n">
        <v>-15.5</v>
      </c>
      <c r="U388" s="99" t="inlineStr">
        <is>
          <t>N</t>
        </is>
      </c>
      <c r="V388" s="99" t="n">
        <v>19.2</v>
      </c>
      <c r="W388" s="99" t="n">
        <v>33.5</v>
      </c>
      <c r="X388" s="99" t="inlineStr">
        <is>
          <t>N/A</t>
        </is>
      </c>
      <c r="Y388" s="99" t="n">
        <v>-31.4</v>
      </c>
      <c r="Z388" s="99" t="n">
        <v>2</v>
      </c>
      <c r="AA388" s="94" t="inlineStr">
        <is>
          <t>AVOID</t>
        </is>
      </c>
    </row>
    <row r="389">
      <c r="A389" s="97" t="inlineStr">
        <is>
          <t>GICRE</t>
        </is>
      </c>
      <c r="B389" s="97" t="inlineStr">
        <is>
          <t>General Insurance Corporation of India</t>
        </is>
      </c>
      <c r="C389" s="97" t="inlineStr">
        <is>
          <t>Financial Services</t>
        </is>
      </c>
      <c r="D389" s="97" t="inlineStr">
        <is>
          <t>Large/Midcap</t>
        </is>
      </c>
      <c r="E389" s="97" t="n">
        <v>357.5</v>
      </c>
      <c r="F389" s="97" t="n">
        <v>-0.65</v>
      </c>
      <c r="G389" s="97" t="n">
        <v>188457</v>
      </c>
      <c r="H389" s="97" t="n">
        <v>0.58</v>
      </c>
      <c r="I389" s="97" t="n">
        <v>62720</v>
      </c>
      <c r="J389" s="97" t="inlineStr">
        <is>
          <t>Y</t>
        </is>
      </c>
      <c r="K389" s="97" t="inlineStr">
        <is>
          <t>N</t>
        </is>
      </c>
      <c r="L389" s="97" t="inlineStr">
        <is>
          <t>N</t>
        </is>
      </c>
      <c r="M389" s="97" t="n">
        <v>45.9</v>
      </c>
      <c r="N389" s="97" t="inlineStr">
        <is>
          <t>N</t>
        </is>
      </c>
      <c r="O389" s="97" t="n">
        <v>5.91</v>
      </c>
      <c r="P389" s="97" t="inlineStr">
        <is>
          <t>N</t>
        </is>
      </c>
      <c r="Q389" s="97" t="inlineStr">
        <is>
          <t>N/A</t>
        </is>
      </c>
      <c r="R389" s="97" t="inlineStr">
        <is>
          <t>N</t>
        </is>
      </c>
      <c r="S389" s="97" t="n">
        <v>0.1</v>
      </c>
      <c r="T389" s="97" t="n">
        <v>-10.1</v>
      </c>
      <c r="U389" s="97" t="inlineStr">
        <is>
          <t>N</t>
        </is>
      </c>
      <c r="V389" s="97" t="n">
        <v>6.5</v>
      </c>
      <c r="W389" s="97" t="n">
        <v>10.7</v>
      </c>
      <c r="X389" s="97" t="inlineStr">
        <is>
          <t>N/A</t>
        </is>
      </c>
      <c r="Y389" s="97" t="n">
        <v>46.8</v>
      </c>
      <c r="Z389" s="97" t="n">
        <v>2</v>
      </c>
      <c r="AA389" s="92" t="inlineStr">
        <is>
          <t>AVOID</t>
        </is>
      </c>
    </row>
    <row r="390">
      <c r="A390" s="99" t="inlineStr">
        <is>
          <t>GLENMARK</t>
        </is>
      </c>
      <c r="B390" s="99" t="inlineStr">
        <is>
          <t>Glenmark Pharmaceuticals Ltd.</t>
        </is>
      </c>
      <c r="C390" s="99" t="inlineStr">
        <is>
          <t>Healthcare</t>
        </is>
      </c>
      <c r="D390" s="99" t="inlineStr">
        <is>
          <t>Large/Midcap</t>
        </is>
      </c>
      <c r="E390" s="99" t="n">
        <v>2192</v>
      </c>
      <c r="F390" s="99" t="n">
        <v>-0.59</v>
      </c>
      <c r="G390" s="99" t="n">
        <v>429562</v>
      </c>
      <c r="H390" s="99" t="n">
        <v>0.72</v>
      </c>
      <c r="I390" s="99" t="n">
        <v>61858</v>
      </c>
      <c r="J390" s="99" t="inlineStr">
        <is>
          <t>Y</t>
        </is>
      </c>
      <c r="K390" s="99" t="inlineStr">
        <is>
          <t>N</t>
        </is>
      </c>
      <c r="L390" s="99" t="inlineStr">
        <is>
          <t>Y</t>
        </is>
      </c>
      <c r="M390" s="99" t="n">
        <v>35.1</v>
      </c>
      <c r="N390" s="99" t="inlineStr">
        <is>
          <t>N</t>
        </is>
      </c>
      <c r="O390" s="99" t="n">
        <v>52.89</v>
      </c>
      <c r="P390" s="99" t="inlineStr">
        <is>
          <t>N</t>
        </is>
      </c>
      <c r="Q390" s="99" t="inlineStr">
        <is>
          <t>N/A</t>
        </is>
      </c>
      <c r="R390" s="99" t="inlineStr">
        <is>
          <t>N</t>
        </is>
      </c>
      <c r="S390" s="99" t="n">
        <v>2.8</v>
      </c>
      <c r="T390" s="99" t="n">
        <v>-8.6</v>
      </c>
      <c r="U390" s="99" t="inlineStr">
        <is>
          <t>N</t>
        </is>
      </c>
      <c r="V390" s="99" t="n">
        <v>45.5</v>
      </c>
      <c r="W390" s="99" t="n">
        <v>14.1</v>
      </c>
      <c r="X390" s="99" t="n">
        <v>5.65</v>
      </c>
      <c r="Y390" s="99" t="n">
        <v>-25.2</v>
      </c>
      <c r="Z390" s="99" t="n">
        <v>2</v>
      </c>
      <c r="AA390" s="94" t="inlineStr">
        <is>
          <t>AVOID</t>
        </is>
      </c>
    </row>
    <row r="391">
      <c r="A391" s="97" t="inlineStr">
        <is>
          <t>GODIGIT</t>
        </is>
      </c>
      <c r="B391" s="97" t="inlineStr">
        <is>
          <t>Go Digit General Insurance Ltd.</t>
        </is>
      </c>
      <c r="C391" s="97" t="inlineStr">
        <is>
          <t>Financial Services</t>
        </is>
      </c>
      <c r="D391" s="97" t="inlineStr">
        <is>
          <t>Smallcap</t>
        </is>
      </c>
      <c r="E391" s="97" t="n">
        <v>256.2</v>
      </c>
      <c r="F391" s="97" t="n">
        <v>-8.779999999999999</v>
      </c>
      <c r="G391" s="97" t="n">
        <v>4579160</v>
      </c>
      <c r="H391" s="97" t="n">
        <v>10</v>
      </c>
      <c r="I391" s="97" t="n">
        <v>23686</v>
      </c>
      <c r="J391" s="97" t="inlineStr">
        <is>
          <t>Y</t>
        </is>
      </c>
      <c r="K391" s="97" t="inlineStr">
        <is>
          <t>N</t>
        </is>
      </c>
      <c r="L391" s="97" t="inlineStr">
        <is>
          <t>N</t>
        </is>
      </c>
      <c r="M391" s="97" t="n">
        <v>20.1</v>
      </c>
      <c r="N391" s="97" t="inlineStr">
        <is>
          <t>N</t>
        </is>
      </c>
      <c r="O391" s="97" t="n">
        <v>10.75</v>
      </c>
      <c r="P391" s="97" t="inlineStr">
        <is>
          <t>Y</t>
        </is>
      </c>
      <c r="Q391" s="97" t="inlineStr">
        <is>
          <t>N/A</t>
        </is>
      </c>
      <c r="R391" s="97" t="inlineStr">
        <is>
          <t>N</t>
        </is>
      </c>
      <c r="S391" s="97" t="n">
        <v>-17</v>
      </c>
      <c r="T391" s="97" t="n">
        <v>-18.1</v>
      </c>
      <c r="U391" s="97" t="inlineStr">
        <is>
          <t>N</t>
        </is>
      </c>
      <c r="V391" s="97" t="n">
        <v>48.1</v>
      </c>
      <c r="W391" s="97" t="inlineStr">
        <is>
          <t>N/A</t>
        </is>
      </c>
      <c r="X391" s="97" t="n">
        <v>7.47</v>
      </c>
      <c r="Y391" s="97" t="n">
        <v>-42.2</v>
      </c>
      <c r="Z391" s="97" t="n">
        <v>2</v>
      </c>
      <c r="AA391" s="92" t="inlineStr">
        <is>
          <t>AVOID</t>
        </is>
      </c>
    </row>
    <row r="392">
      <c r="A392" s="99" t="inlineStr">
        <is>
          <t>GPIL</t>
        </is>
      </c>
      <c r="B392" s="99" t="inlineStr">
        <is>
          <t>Godawari Power &amp; Ispat Ltd.</t>
        </is>
      </c>
      <c r="C392" s="99" t="inlineStr">
        <is>
          <t>Capital Goods</t>
        </is>
      </c>
      <c r="D392" s="99" t="inlineStr">
        <is>
          <t>Smallcap</t>
        </is>
      </c>
      <c r="E392" s="99" t="n">
        <v>240.15</v>
      </c>
      <c r="F392" s="99" t="n">
        <v>-0.46</v>
      </c>
      <c r="G392" s="99" t="n">
        <v>574648</v>
      </c>
      <c r="H392" s="99" t="n">
        <v>0.84</v>
      </c>
      <c r="I392" s="99" t="n">
        <v>15624</v>
      </c>
      <c r="J392" s="99" t="inlineStr">
        <is>
          <t>Y</t>
        </is>
      </c>
      <c r="K392" s="99" t="inlineStr">
        <is>
          <t>N</t>
        </is>
      </c>
      <c r="L392" s="99" t="inlineStr">
        <is>
          <t>N</t>
        </is>
      </c>
      <c r="M392" s="99" t="n">
        <v>30.6</v>
      </c>
      <c r="N392" s="99" t="inlineStr">
        <is>
          <t>N</t>
        </is>
      </c>
      <c r="O392" s="99" t="n">
        <v>6.71</v>
      </c>
      <c r="P392" s="99" t="inlineStr">
        <is>
          <t>N</t>
        </is>
      </c>
      <c r="Q392" s="99" t="inlineStr">
        <is>
          <t>N/A</t>
        </is>
      </c>
      <c r="R392" s="99" t="inlineStr">
        <is>
          <t>N</t>
        </is>
      </c>
      <c r="S392" s="99" t="n">
        <v>-8.5</v>
      </c>
      <c r="T392" s="99" t="n">
        <v>-20.2</v>
      </c>
      <c r="U392" s="99" t="inlineStr">
        <is>
          <t>N</t>
        </is>
      </c>
      <c r="V392" s="99" t="n">
        <v>19.1</v>
      </c>
      <c r="W392" s="99" t="n">
        <v>14.9</v>
      </c>
      <c r="X392" s="99" t="n">
        <v>7.58</v>
      </c>
      <c r="Y392" s="99" t="n">
        <v>95.5</v>
      </c>
      <c r="Z392" s="99" t="n">
        <v>2</v>
      </c>
      <c r="AA392" s="94" t="inlineStr">
        <is>
          <t>AVOID</t>
        </is>
      </c>
    </row>
    <row r="393">
      <c r="A393" s="97" t="inlineStr">
        <is>
          <t>GMDCLTD</t>
        </is>
      </c>
      <c r="B393" s="97" t="inlineStr">
        <is>
          <t>Gujarat Mineral Development Corporation Ltd.</t>
        </is>
      </c>
      <c r="C393" s="97" t="inlineStr">
        <is>
          <t>Metals &amp; Mining</t>
        </is>
      </c>
      <c r="D393" s="97" t="inlineStr">
        <is>
          <t>Smallcap</t>
        </is>
      </c>
      <c r="E393" s="97" t="n">
        <v>562.55</v>
      </c>
      <c r="F393" s="97" t="n">
        <v>-0.07000000000000001</v>
      </c>
      <c r="G393" s="97" t="n">
        <v>664245</v>
      </c>
      <c r="H393" s="97" t="n">
        <v>0.87</v>
      </c>
      <c r="I393" s="97" t="n">
        <v>17889</v>
      </c>
      <c r="J393" s="97" t="inlineStr">
        <is>
          <t>Y</t>
        </is>
      </c>
      <c r="K393" s="97" t="inlineStr">
        <is>
          <t>N</t>
        </is>
      </c>
      <c r="L393" s="97" t="inlineStr">
        <is>
          <t>N</t>
        </is>
      </c>
      <c r="M393" s="97" t="n">
        <v>27.6</v>
      </c>
      <c r="N393" s="97" t="inlineStr">
        <is>
          <t>N</t>
        </is>
      </c>
      <c r="O393" s="97" t="n">
        <v>16.43</v>
      </c>
      <c r="P393" s="97" t="inlineStr">
        <is>
          <t>N</t>
        </is>
      </c>
      <c r="Q393" s="97" t="inlineStr">
        <is>
          <t>N/A</t>
        </is>
      </c>
      <c r="R393" s="97" t="inlineStr">
        <is>
          <t>N</t>
        </is>
      </c>
      <c r="S393" s="97" t="n">
        <v>-3</v>
      </c>
      <c r="T393" s="97" t="n">
        <v>-23.4</v>
      </c>
      <c r="U393" s="97" t="inlineStr">
        <is>
          <t>N</t>
        </is>
      </c>
      <c r="V393" s="97" t="n">
        <v>18.7</v>
      </c>
      <c r="W393" s="97" t="n">
        <v>14.2</v>
      </c>
      <c r="X393" s="97" t="n">
        <v>4.47</v>
      </c>
      <c r="Y393" s="97" t="n">
        <v>45.9</v>
      </c>
      <c r="Z393" s="97" t="n">
        <v>2</v>
      </c>
      <c r="AA393" s="92" t="inlineStr">
        <is>
          <t>AVOID</t>
        </is>
      </c>
    </row>
    <row r="394">
      <c r="A394" s="99" t="inlineStr">
        <is>
          <t>HBLENGINE</t>
        </is>
      </c>
      <c r="B394" s="99" t="inlineStr">
        <is>
          <t>HBL Engineering Ltd.</t>
        </is>
      </c>
      <c r="C394" s="99" t="inlineStr">
        <is>
          <t>Capital Goods</t>
        </is>
      </c>
      <c r="D394" s="99" t="inlineStr">
        <is>
          <t>Smallcap</t>
        </is>
      </c>
      <c r="E394" s="99" t="n">
        <v>698.6</v>
      </c>
      <c r="F394" s="99" t="n">
        <v>-0.9</v>
      </c>
      <c r="G394" s="99" t="n">
        <v>1005133</v>
      </c>
      <c r="H394" s="99" t="n">
        <v>1.68</v>
      </c>
      <c r="I394" s="99" t="n">
        <v>19365</v>
      </c>
      <c r="J394" s="99" t="inlineStr">
        <is>
          <t>Y</t>
        </is>
      </c>
      <c r="K394" s="99" t="inlineStr">
        <is>
          <t>N</t>
        </is>
      </c>
      <c r="L394" s="99" t="inlineStr">
        <is>
          <t>N</t>
        </is>
      </c>
      <c r="M394" s="99" t="n">
        <v>14.1</v>
      </c>
      <c r="N394" s="99" t="inlineStr">
        <is>
          <t>N</t>
        </is>
      </c>
      <c r="O394" s="99" t="n">
        <v>20.56</v>
      </c>
      <c r="P394" s="99" t="inlineStr">
        <is>
          <t>N</t>
        </is>
      </c>
      <c r="Q394" s="99" t="inlineStr">
        <is>
          <t>N/A</t>
        </is>
      </c>
      <c r="R394" s="99" t="inlineStr">
        <is>
          <t>N</t>
        </is>
      </c>
      <c r="S394" s="99" t="n">
        <v>-14.5</v>
      </c>
      <c r="T394" s="99" t="n">
        <v>-13.3</v>
      </c>
      <c r="U394" s="99" t="inlineStr">
        <is>
          <t>N</t>
        </is>
      </c>
      <c r="V394" s="99" t="n">
        <v>23.8</v>
      </c>
      <c r="W394" s="99" t="n">
        <v>44.1</v>
      </c>
      <c r="X394" s="99" t="n">
        <v>3.02</v>
      </c>
      <c r="Y394" s="99" t="n">
        <v>-71.09999999999999</v>
      </c>
      <c r="Z394" s="99" t="n">
        <v>2</v>
      </c>
      <c r="AA394" s="94" t="inlineStr">
        <is>
          <t>AVOID</t>
        </is>
      </c>
    </row>
    <row r="395">
      <c r="A395" s="97" t="inlineStr">
        <is>
          <t>HDFCAMC</t>
        </is>
      </c>
      <c r="B395" s="97" t="inlineStr">
        <is>
          <t>HDFC Asset Management Company Ltd.</t>
        </is>
      </c>
      <c r="C395" s="97" t="inlineStr">
        <is>
          <t>Financial Services</t>
        </is>
      </c>
      <c r="D395" s="97" t="inlineStr">
        <is>
          <t>Large/Midcap</t>
        </is>
      </c>
      <c r="E395" s="97" t="n">
        <v>2505.7</v>
      </c>
      <c r="F395" s="97" t="n">
        <v>-0.12</v>
      </c>
      <c r="G395" s="97" t="n">
        <v>717284</v>
      </c>
      <c r="H395" s="97" t="n">
        <v>0.74</v>
      </c>
      <c r="I395" s="97" t="n">
        <v>107441</v>
      </c>
      <c r="J395" s="97" t="inlineStr">
        <is>
          <t>Y</t>
        </is>
      </c>
      <c r="K395" s="97" t="inlineStr">
        <is>
          <t>N</t>
        </is>
      </c>
      <c r="L395" s="97" t="inlineStr">
        <is>
          <t>N</t>
        </is>
      </c>
      <c r="M395" s="97" t="n">
        <v>31.6</v>
      </c>
      <c r="N395" s="97" t="inlineStr">
        <is>
          <t>N</t>
        </is>
      </c>
      <c r="O395" s="97" t="n">
        <v>87.23999999999999</v>
      </c>
      <c r="P395" s="97" t="inlineStr">
        <is>
          <t>N</t>
        </is>
      </c>
      <c r="Q395" s="97" t="inlineStr">
        <is>
          <t>N/A</t>
        </is>
      </c>
      <c r="R395" s="97" t="inlineStr">
        <is>
          <t>N</t>
        </is>
      </c>
      <c r="S395" s="97" t="n">
        <v>-4.4</v>
      </c>
      <c r="T395" s="97" t="n">
        <v>-7.6</v>
      </c>
      <c r="U395" s="97" t="inlineStr">
        <is>
          <t>N</t>
        </is>
      </c>
      <c r="V395" s="97" t="n">
        <v>36.5</v>
      </c>
      <c r="W395" s="97" t="inlineStr">
        <is>
          <t>N/A</t>
        </is>
      </c>
      <c r="X395" s="97" t="n">
        <v>2.36</v>
      </c>
      <c r="Y395" s="97" t="n">
        <v>34.4</v>
      </c>
      <c r="Z395" s="97" t="n">
        <v>2</v>
      </c>
      <c r="AA395" s="92" t="inlineStr">
        <is>
          <t>AVOID</t>
        </is>
      </c>
    </row>
    <row r="396">
      <c r="A396" s="99" t="inlineStr">
        <is>
          <t>HDFCBANK</t>
        </is>
      </c>
      <c r="B396" s="99" t="inlineStr">
        <is>
          <t>HDFC Bank Ltd.</t>
        </is>
      </c>
      <c r="C396" s="99" t="inlineStr">
        <is>
          <t>Financial Services</t>
        </is>
      </c>
      <c r="D396" s="99" t="inlineStr">
        <is>
          <t>Large/Midcap</t>
        </is>
      </c>
      <c r="E396" s="99" t="n">
        <v>742.8</v>
      </c>
      <c r="F396" s="99" t="n">
        <v>-0.6</v>
      </c>
      <c r="G396" s="99" t="n">
        <v>23837859</v>
      </c>
      <c r="H396" s="99" t="n">
        <v>0.73</v>
      </c>
      <c r="I396" s="99" t="n">
        <v>1144285</v>
      </c>
      <c r="J396" s="99" t="inlineStr">
        <is>
          <t>Y</t>
        </is>
      </c>
      <c r="K396" s="99" t="inlineStr">
        <is>
          <t>N</t>
        </is>
      </c>
      <c r="L396" s="99" t="inlineStr">
        <is>
          <t>N</t>
        </is>
      </c>
      <c r="M396" s="99" t="n">
        <v>21.2</v>
      </c>
      <c r="N396" s="99" t="inlineStr">
        <is>
          <t>N</t>
        </is>
      </c>
      <c r="O396" s="99" t="n">
        <v>16.01</v>
      </c>
      <c r="P396" s="99" t="inlineStr">
        <is>
          <t>N</t>
        </is>
      </c>
      <c r="Q396" s="99" t="inlineStr">
        <is>
          <t>N/A</t>
        </is>
      </c>
      <c r="R396" s="99" t="inlineStr">
        <is>
          <t>N</t>
        </is>
      </c>
      <c r="S396" s="99" t="n">
        <v>-5.7</v>
      </c>
      <c r="T396" s="99" t="n">
        <v>-2.5</v>
      </c>
      <c r="U396" s="99" t="inlineStr">
        <is>
          <t>N</t>
        </is>
      </c>
      <c r="V396" s="99" t="n">
        <v>16.6</v>
      </c>
      <c r="W396" s="99" t="n">
        <v>13.8</v>
      </c>
      <c r="X396" s="99" t="inlineStr">
        <is>
          <t>N/A</t>
        </is>
      </c>
      <c r="Y396" s="99" t="n">
        <v>5.6</v>
      </c>
      <c r="Z396" s="99" t="n">
        <v>2</v>
      </c>
      <c r="AA396" s="94" t="inlineStr">
        <is>
          <t>AVOID</t>
        </is>
      </c>
    </row>
    <row r="397">
      <c r="A397" s="97" t="inlineStr">
        <is>
          <t>HDFCLIFE</t>
        </is>
      </c>
      <c r="B397" s="97" t="inlineStr">
        <is>
          <t>HDFC Life Insurance Company Ltd.</t>
        </is>
      </c>
      <c r="C397" s="97" t="inlineStr">
        <is>
          <t>Financial Services</t>
        </is>
      </c>
      <c r="D397" s="97" t="inlineStr">
        <is>
          <t>Large/Midcap</t>
        </is>
      </c>
      <c r="E397" s="97" t="n">
        <v>555.05</v>
      </c>
      <c r="F397" s="97" t="n">
        <v>0.74</v>
      </c>
      <c r="G397" s="97" t="n">
        <v>1354038</v>
      </c>
      <c r="H397" s="97" t="n">
        <v>0.62</v>
      </c>
      <c r="I397" s="97" t="n">
        <v>120553</v>
      </c>
      <c r="J397" s="97" t="inlineStr">
        <is>
          <t>Y</t>
        </is>
      </c>
      <c r="K397" s="97" t="inlineStr">
        <is>
          <t>N</t>
        </is>
      </c>
      <c r="L397" s="97" t="inlineStr">
        <is>
          <t>N</t>
        </is>
      </c>
      <c r="M397" s="97" t="n">
        <v>45.7</v>
      </c>
      <c r="N397" s="97" t="inlineStr">
        <is>
          <t>N</t>
        </is>
      </c>
      <c r="O397" s="97" t="n">
        <v>14.26</v>
      </c>
      <c r="P397" s="97" t="inlineStr">
        <is>
          <t>N</t>
        </is>
      </c>
      <c r="Q397" s="97" t="inlineStr">
        <is>
          <t>N/A</t>
        </is>
      </c>
      <c r="R397" s="97" t="inlineStr">
        <is>
          <t>N</t>
        </is>
      </c>
      <c r="S397" s="97" t="n">
        <v>-4.1</v>
      </c>
      <c r="T397" s="97" t="n">
        <v>-5.7</v>
      </c>
      <c r="U397" s="97" t="inlineStr">
        <is>
          <t>N</t>
        </is>
      </c>
      <c r="V397" s="97" t="n">
        <v>60.6</v>
      </c>
      <c r="W397" s="97" t="n">
        <v>10.8</v>
      </c>
      <c r="X397" s="97" t="n">
        <v>15.84</v>
      </c>
      <c r="Y397" s="97" t="n">
        <v>22.9</v>
      </c>
      <c r="Z397" s="97" t="n">
        <v>2</v>
      </c>
      <c r="AA397" s="92" t="inlineStr">
        <is>
          <t>AVOID</t>
        </is>
      </c>
    </row>
    <row r="398">
      <c r="A398" s="99" t="inlineStr">
        <is>
          <t>HINDPETRO</t>
        </is>
      </c>
      <c r="B398" s="99" t="inlineStr">
        <is>
          <t>Hindustan Petroleum Corporation Ltd.</t>
        </is>
      </c>
      <c r="C398" s="99" t="inlineStr">
        <is>
          <t>Oil Gas &amp; Consumable Fuels</t>
        </is>
      </c>
      <c r="D398" s="99" t="inlineStr">
        <is>
          <t>Large/Midcap</t>
        </is>
      </c>
      <c r="E398" s="99" t="n">
        <v>381.1</v>
      </c>
      <c r="F398" s="99" t="n">
        <v>-1.05</v>
      </c>
      <c r="G398" s="99" t="n">
        <v>8650504</v>
      </c>
      <c r="H398" s="99" t="n">
        <v>1.02</v>
      </c>
      <c r="I398" s="99" t="n">
        <v>81091</v>
      </c>
      <c r="J398" s="99" t="inlineStr">
        <is>
          <t>Y</t>
        </is>
      </c>
      <c r="K398" s="99" t="inlineStr">
        <is>
          <t>N</t>
        </is>
      </c>
      <c r="L398" s="99" t="inlineStr">
        <is>
          <t>N</t>
        </is>
      </c>
      <c r="M398" s="99" t="n">
        <v>39.2</v>
      </c>
      <c r="N398" s="99" t="inlineStr">
        <is>
          <t>N</t>
        </is>
      </c>
      <c r="O398" s="99" t="n">
        <v>11.51</v>
      </c>
      <c r="P398" s="99" t="inlineStr">
        <is>
          <t>N</t>
        </is>
      </c>
      <c r="Q398" s="99" t="inlineStr">
        <is>
          <t>N/A</t>
        </is>
      </c>
      <c r="R398" s="99" t="inlineStr">
        <is>
          <t>N</t>
        </is>
      </c>
      <c r="S398" s="99" t="n">
        <v>-5.8</v>
      </c>
      <c r="T398" s="99" t="n">
        <v>0.7</v>
      </c>
      <c r="U398" s="99" t="inlineStr">
        <is>
          <t>Y</t>
        </is>
      </c>
      <c r="V398" s="99" t="n">
        <v>48.5</v>
      </c>
      <c r="W398" s="99" t="inlineStr">
        <is>
          <t>N/A</t>
        </is>
      </c>
      <c r="X398" s="99" t="n">
        <v>85.37</v>
      </c>
      <c r="Y398" s="99" t="n">
        <v>-302.2</v>
      </c>
      <c r="Z398" s="99" t="n">
        <v>2</v>
      </c>
      <c r="AA398" s="94" t="inlineStr">
        <is>
          <t>AVOID</t>
        </is>
      </c>
    </row>
    <row r="399">
      <c r="A399" s="97" t="inlineStr">
        <is>
          <t>HINDUNILVR</t>
        </is>
      </c>
      <c r="B399" s="97" t="inlineStr">
        <is>
          <t>Hindustan Unilever Ltd.</t>
        </is>
      </c>
      <c r="C399" s="97" t="inlineStr">
        <is>
          <t>Fast Moving Consumer Goods</t>
        </is>
      </c>
      <c r="D399" s="97" t="inlineStr">
        <is>
          <t>Large/Midcap</t>
        </is>
      </c>
      <c r="E399" s="97" t="n">
        <v>2145</v>
      </c>
      <c r="F399" s="97" t="n">
        <v>-0.78</v>
      </c>
      <c r="G399" s="97" t="n">
        <v>1603494</v>
      </c>
      <c r="H399" s="97" t="n">
        <v>1.79</v>
      </c>
      <c r="I399" s="97" t="n">
        <v>503987</v>
      </c>
      <c r="J399" s="97" t="inlineStr">
        <is>
          <t>Y</t>
        </is>
      </c>
      <c r="K399" s="97" t="inlineStr">
        <is>
          <t>N</t>
        </is>
      </c>
      <c r="L399" s="97" t="inlineStr">
        <is>
          <t>N</t>
        </is>
      </c>
      <c r="M399" s="97" t="n">
        <v>37.9</v>
      </c>
      <c r="N399" s="97" t="inlineStr">
        <is>
          <t>N</t>
        </is>
      </c>
      <c r="O399" s="97" t="n">
        <v>34.36</v>
      </c>
      <c r="P399" s="97" t="inlineStr">
        <is>
          <t>N</t>
        </is>
      </c>
      <c r="Q399" s="97" t="inlineStr">
        <is>
          <t>N/A</t>
        </is>
      </c>
      <c r="R399" s="97" t="inlineStr">
        <is>
          <t>N</t>
        </is>
      </c>
      <c r="S399" s="97" t="n">
        <v>-0.3</v>
      </c>
      <c r="T399" s="97" t="n">
        <v>-5.8</v>
      </c>
      <c r="U399" s="97" t="inlineStr">
        <is>
          <t>N</t>
        </is>
      </c>
      <c r="V399" s="97" t="n">
        <v>47.4</v>
      </c>
      <c r="W399" s="97" t="n">
        <v>21.6</v>
      </c>
      <c r="X399" s="97" t="n">
        <v>3.02</v>
      </c>
      <c r="Y399" s="97" t="n">
        <v>-54.7</v>
      </c>
      <c r="Z399" s="97" t="n">
        <v>2</v>
      </c>
      <c r="AA399" s="92" t="inlineStr">
        <is>
          <t>AVOID</t>
        </is>
      </c>
    </row>
    <row r="400">
      <c r="A400" s="99" t="inlineStr">
        <is>
          <t>ICICIAMC</t>
        </is>
      </c>
      <c r="B400" s="99" t="inlineStr">
        <is>
          <t>ICICI Prudential Asset Management Company Ltd.</t>
        </is>
      </c>
      <c r="C400" s="99" t="inlineStr">
        <is>
          <t>Financial Services</t>
        </is>
      </c>
      <c r="D400" s="99" t="inlineStr">
        <is>
          <t>Large/Midcap</t>
        </is>
      </c>
      <c r="E400" s="99" t="n">
        <v>3125.6</v>
      </c>
      <c r="F400" s="99" t="n">
        <v>-0.2</v>
      </c>
      <c r="G400" s="99" t="n">
        <v>94889</v>
      </c>
      <c r="H400" s="99" t="n">
        <v>0.32</v>
      </c>
      <c r="I400" s="99" t="n">
        <v>154485</v>
      </c>
      <c r="J400" s="99" t="inlineStr">
        <is>
          <t>Y</t>
        </is>
      </c>
      <c r="K400" s="99" t="inlineStr">
        <is>
          <t>N</t>
        </is>
      </c>
      <c r="L400" s="99" t="inlineStr">
        <is>
          <t>N/A</t>
        </is>
      </c>
      <c r="M400" s="99" t="n">
        <v>34.9</v>
      </c>
      <c r="N400" s="99" t="inlineStr">
        <is>
          <t>N</t>
        </is>
      </c>
      <c r="O400" s="99" t="n">
        <v>90.64</v>
      </c>
      <c r="P400" s="99" t="inlineStr">
        <is>
          <t>N</t>
        </is>
      </c>
      <c r="Q400" s="99" t="inlineStr">
        <is>
          <t>N/A</t>
        </is>
      </c>
      <c r="R400" s="99" t="inlineStr">
        <is>
          <t>N</t>
        </is>
      </c>
      <c r="S400" s="99" t="n">
        <v>-5</v>
      </c>
      <c r="T400" s="99" t="n">
        <v>-4.4</v>
      </c>
      <c r="U400" s="99" t="inlineStr">
        <is>
          <t>N</t>
        </is>
      </c>
      <c r="V400" s="99" t="n">
        <v>44.4</v>
      </c>
      <c r="W400" s="99" t="inlineStr">
        <is>
          <t>N/A</t>
        </is>
      </c>
      <c r="X400" s="99" t="n">
        <v>4.07</v>
      </c>
      <c r="Y400" s="99" t="n">
        <v>26.4</v>
      </c>
      <c r="Z400" s="99" t="n">
        <v>2</v>
      </c>
      <c r="AA400" s="94" t="inlineStr">
        <is>
          <t>AVOID</t>
        </is>
      </c>
    </row>
    <row r="401">
      <c r="A401" s="97" t="inlineStr">
        <is>
          <t>IRB</t>
        </is>
      </c>
      <c r="B401" s="97" t="inlineStr">
        <is>
          <t>IRB Infrastructure Developers Ltd.</t>
        </is>
      </c>
      <c r="C401" s="97" t="inlineStr">
        <is>
          <t>Construction</t>
        </is>
      </c>
      <c r="D401" s="97" t="inlineStr">
        <is>
          <t>Smallcap</t>
        </is>
      </c>
      <c r="E401" s="97" t="n">
        <v>19.61</v>
      </c>
      <c r="F401" s="97" t="n">
        <v>0.67</v>
      </c>
      <c r="G401" s="97" t="n">
        <v>6006254</v>
      </c>
      <c r="H401" s="97" t="n">
        <v>1.02</v>
      </c>
      <c r="I401" s="97" t="n">
        <v>23685</v>
      </c>
      <c r="J401" s="97" t="inlineStr">
        <is>
          <t>Y</t>
        </is>
      </c>
      <c r="K401" s="97" t="inlineStr">
        <is>
          <t>N</t>
        </is>
      </c>
      <c r="L401" s="97" t="inlineStr">
        <is>
          <t>N</t>
        </is>
      </c>
      <c r="M401" s="97" t="n">
        <v>25</v>
      </c>
      <c r="N401" s="97" t="inlineStr">
        <is>
          <t>N</t>
        </is>
      </c>
      <c r="O401" s="97" t="n">
        <v>0.32</v>
      </c>
      <c r="P401" s="97" t="inlineStr">
        <is>
          <t>N</t>
        </is>
      </c>
      <c r="Q401" s="97" t="inlineStr">
        <is>
          <t>N/A</t>
        </is>
      </c>
      <c r="R401" s="97" t="inlineStr">
        <is>
          <t>N</t>
        </is>
      </c>
      <c r="S401" s="97" t="n">
        <v>-6.4</v>
      </c>
      <c r="T401" s="97" t="n">
        <v>-9</v>
      </c>
      <c r="U401" s="97" t="inlineStr">
        <is>
          <t>N</t>
        </is>
      </c>
      <c r="V401" s="97" t="n">
        <v>28</v>
      </c>
      <c r="W401" s="97" t="n">
        <v>4.2</v>
      </c>
      <c r="X401" s="97" t="n">
        <v>95.59999999999999</v>
      </c>
      <c r="Y401" s="97" t="n">
        <v>40.5</v>
      </c>
      <c r="Z401" s="97" t="n">
        <v>2</v>
      </c>
      <c r="AA401" s="92" t="inlineStr">
        <is>
          <t>AVOID</t>
        </is>
      </c>
    </row>
    <row r="402">
      <c r="A402" s="99" t="inlineStr">
        <is>
          <t>IRCON</t>
        </is>
      </c>
      <c r="B402" s="99" t="inlineStr">
        <is>
          <t>IRCON International Ltd.</t>
        </is>
      </c>
      <c r="C402" s="99" t="inlineStr">
        <is>
          <t>Construction</t>
        </is>
      </c>
      <c r="D402" s="99" t="inlineStr">
        <is>
          <t>Smallcap</t>
        </is>
      </c>
      <c r="E402" s="99" t="n">
        <v>126.07</v>
      </c>
      <c r="F402" s="99" t="n">
        <v>0.5</v>
      </c>
      <c r="G402" s="99" t="n">
        <v>833685</v>
      </c>
      <c r="H402" s="99" t="n">
        <v>1.02</v>
      </c>
      <c r="I402" s="99" t="n">
        <v>11857</v>
      </c>
      <c r="J402" s="99" t="inlineStr">
        <is>
          <t>Y</t>
        </is>
      </c>
      <c r="K402" s="99" t="inlineStr">
        <is>
          <t>N</t>
        </is>
      </c>
      <c r="L402" s="99" t="inlineStr">
        <is>
          <t>N</t>
        </is>
      </c>
      <c r="M402" s="99" t="n">
        <v>26.6</v>
      </c>
      <c r="N402" s="99" t="inlineStr">
        <is>
          <t>N</t>
        </is>
      </c>
      <c r="O402" s="99" t="n">
        <v>2.87</v>
      </c>
      <c r="P402" s="99" t="inlineStr">
        <is>
          <t>N</t>
        </is>
      </c>
      <c r="Q402" s="99" t="inlineStr">
        <is>
          <t>N/A</t>
        </is>
      </c>
      <c r="R402" s="99" t="inlineStr">
        <is>
          <t>N</t>
        </is>
      </c>
      <c r="S402" s="99" t="n">
        <v>-5</v>
      </c>
      <c r="T402" s="99" t="n">
        <v>-17.2</v>
      </c>
      <c r="U402" s="99" t="inlineStr">
        <is>
          <t>N</t>
        </is>
      </c>
      <c r="V402" s="99" t="n">
        <v>19.9</v>
      </c>
      <c r="W402" s="99" t="n">
        <v>9.1</v>
      </c>
      <c r="X402" s="99" t="n">
        <v>85.83</v>
      </c>
      <c r="Y402" s="99" t="n">
        <v>90.3</v>
      </c>
      <c r="Z402" s="99" t="n">
        <v>2</v>
      </c>
      <c r="AA402" s="94" t="inlineStr">
        <is>
          <t>AVOID</t>
        </is>
      </c>
    </row>
    <row r="403">
      <c r="A403" s="97" t="inlineStr">
        <is>
          <t>ITCHOTELS</t>
        </is>
      </c>
      <c r="B403" s="97" t="inlineStr">
        <is>
          <t>ITC Hotels Ltd.</t>
        </is>
      </c>
      <c r="C403" s="97" t="inlineStr">
        <is>
          <t>Consumer Services</t>
        </is>
      </c>
      <c r="D403" s="97" t="inlineStr">
        <is>
          <t>Large/Midcap</t>
        </is>
      </c>
      <c r="E403" s="97" t="n">
        <v>159.92</v>
      </c>
      <c r="F403" s="97" t="n">
        <v>-1.24</v>
      </c>
      <c r="G403" s="97" t="n">
        <v>2484261</v>
      </c>
      <c r="H403" s="97" t="n">
        <v>0.98</v>
      </c>
      <c r="I403" s="97" t="n">
        <v>33311</v>
      </c>
      <c r="J403" s="97" t="inlineStr">
        <is>
          <t>Y</t>
        </is>
      </c>
      <c r="K403" s="97" t="inlineStr">
        <is>
          <t>N</t>
        </is>
      </c>
      <c r="L403" s="97" t="inlineStr">
        <is>
          <t>N</t>
        </is>
      </c>
      <c r="M403" s="97" t="n">
        <v>27</v>
      </c>
      <c r="N403" s="97" t="inlineStr">
        <is>
          <t>N</t>
        </is>
      </c>
      <c r="O403" s="97" t="n">
        <v>5.85</v>
      </c>
      <c r="P403" s="97" t="inlineStr">
        <is>
          <t>N</t>
        </is>
      </c>
      <c r="Q403" s="97" t="inlineStr">
        <is>
          <t>N/A</t>
        </is>
      </c>
      <c r="R403" s="97" t="inlineStr">
        <is>
          <t>N</t>
        </is>
      </c>
      <c r="S403" s="97" t="n">
        <v>-6.9</v>
      </c>
      <c r="T403" s="97" t="n">
        <v>1.1</v>
      </c>
      <c r="U403" s="97" t="inlineStr">
        <is>
          <t>Y</t>
        </is>
      </c>
      <c r="V403" s="97" t="n">
        <v>38.4</v>
      </c>
      <c r="W403" s="97" t="inlineStr">
        <is>
          <t>N/A</t>
        </is>
      </c>
      <c r="X403" s="97" t="n">
        <v>0.63</v>
      </c>
      <c r="Y403" s="97" t="n">
        <v>-42.9</v>
      </c>
      <c r="Z403" s="97" t="n">
        <v>2</v>
      </c>
      <c r="AA403" s="92" t="inlineStr">
        <is>
          <t>AVOID</t>
        </is>
      </c>
    </row>
    <row r="404">
      <c r="A404" s="99" t="inlineStr">
        <is>
          <t>IRCTC</t>
        </is>
      </c>
      <c r="B404" s="99" t="inlineStr">
        <is>
          <t>Indian Railway Catering And Tourism Corporation Ltd.</t>
        </is>
      </c>
      <c r="C404" s="99" t="inlineStr">
        <is>
          <t>Consumer Services</t>
        </is>
      </c>
      <c r="D404" s="99" t="inlineStr">
        <is>
          <t>Large/Midcap</t>
        </is>
      </c>
      <c r="E404" s="99" t="n">
        <v>495.05</v>
      </c>
      <c r="F404" s="99" t="n">
        <v>0.2</v>
      </c>
      <c r="G404" s="99" t="n">
        <v>498071</v>
      </c>
      <c r="H404" s="99" t="n">
        <v>0.68</v>
      </c>
      <c r="I404" s="99" t="n">
        <v>39604</v>
      </c>
      <c r="J404" s="99" t="inlineStr">
        <is>
          <t>Y</t>
        </is>
      </c>
      <c r="K404" s="99" t="inlineStr">
        <is>
          <t>N</t>
        </is>
      </c>
      <c r="L404" s="99" t="inlineStr">
        <is>
          <t>N</t>
        </is>
      </c>
      <c r="M404" s="99" t="n">
        <v>37.7</v>
      </c>
      <c r="N404" s="99" t="inlineStr">
        <is>
          <t>N</t>
        </is>
      </c>
      <c r="O404" s="99" t="n">
        <v>8.18</v>
      </c>
      <c r="P404" s="99" t="inlineStr">
        <is>
          <t>N</t>
        </is>
      </c>
      <c r="Q404" s="99" t="inlineStr">
        <is>
          <t>N/A</t>
        </is>
      </c>
      <c r="R404" s="99" t="inlineStr">
        <is>
          <t>N</t>
        </is>
      </c>
      <c r="S404" s="99" t="n">
        <v>-2.6</v>
      </c>
      <c r="T404" s="99" t="n">
        <v>-9.5</v>
      </c>
      <c r="U404" s="99" t="inlineStr">
        <is>
          <t>N</t>
        </is>
      </c>
      <c r="V404" s="99" t="n">
        <v>28.4</v>
      </c>
      <c r="W404" s="99" t="n">
        <v>35</v>
      </c>
      <c r="X404" s="99" t="n">
        <v>1.87</v>
      </c>
      <c r="Y404" s="99" t="n">
        <v>-17.2</v>
      </c>
      <c r="Z404" s="99" t="n">
        <v>2</v>
      </c>
      <c r="AA404" s="94" t="inlineStr">
        <is>
          <t>AVOID</t>
        </is>
      </c>
    </row>
    <row r="405">
      <c r="A405" s="97" t="inlineStr">
        <is>
          <t>JAINREC</t>
        </is>
      </c>
      <c r="B405" s="97" t="inlineStr">
        <is>
          <t>Jain Resource Recycling Ltd.</t>
        </is>
      </c>
      <c r="C405" s="97" t="inlineStr">
        <is>
          <t>Metals &amp; Mining</t>
        </is>
      </c>
      <c r="D405" s="97" t="inlineStr">
        <is>
          <t>Smallcap</t>
        </is>
      </c>
      <c r="E405" s="97" t="n">
        <v>341</v>
      </c>
      <c r="F405" s="97" t="n">
        <v>1.1</v>
      </c>
      <c r="G405" s="97" t="n">
        <v>927914</v>
      </c>
      <c r="H405" s="97" t="n">
        <v>1.09</v>
      </c>
      <c r="I405" s="97" t="n">
        <v>11767</v>
      </c>
      <c r="J405" s="97" t="inlineStr">
        <is>
          <t>Y</t>
        </is>
      </c>
      <c r="K405" s="97" t="inlineStr">
        <is>
          <t>N</t>
        </is>
      </c>
      <c r="L405" s="97" t="inlineStr">
        <is>
          <t>N</t>
        </is>
      </c>
      <c r="M405" s="97" t="n">
        <v>41.5</v>
      </c>
      <c r="N405" s="97" t="inlineStr">
        <is>
          <t>N</t>
        </is>
      </c>
      <c r="O405" s="97" t="n">
        <v>13.55</v>
      </c>
      <c r="P405" s="97" t="inlineStr">
        <is>
          <t>N</t>
        </is>
      </c>
      <c r="Q405" s="97" t="inlineStr">
        <is>
          <t>N/A</t>
        </is>
      </c>
      <c r="R405" s="97" t="inlineStr">
        <is>
          <t>N</t>
        </is>
      </c>
      <c r="S405" s="97" t="n">
        <v>-1.4</v>
      </c>
      <c r="T405" s="97" t="n">
        <v>-25.4</v>
      </c>
      <c r="U405" s="97" t="inlineStr">
        <is>
          <t>N</t>
        </is>
      </c>
      <c r="V405" s="97" t="n">
        <v>32.8</v>
      </c>
      <c r="W405" s="97" t="n">
        <v>28.7</v>
      </c>
      <c r="X405" s="97" t="n">
        <v>81.89</v>
      </c>
      <c r="Y405" s="97" t="n">
        <v>-48.2</v>
      </c>
      <c r="Z405" s="97" t="n">
        <v>2</v>
      </c>
      <c r="AA405" s="92" t="inlineStr">
        <is>
          <t>AVOID</t>
        </is>
      </c>
    </row>
    <row r="406">
      <c r="A406" s="99" t="inlineStr">
        <is>
          <t>JPPOWER</t>
        </is>
      </c>
      <c r="B406" s="99" t="inlineStr">
        <is>
          <t>Jaiprakash Power Ventures Ltd.</t>
        </is>
      </c>
      <c r="C406" s="99" t="inlineStr">
        <is>
          <t>Power</t>
        </is>
      </c>
      <c r="D406" s="99" t="inlineStr">
        <is>
          <t>Smallcap</t>
        </is>
      </c>
      <c r="E406" s="99" t="n">
        <v>16.95</v>
      </c>
      <c r="F406" s="99" t="n">
        <v>-0.64</v>
      </c>
      <c r="G406" s="99" t="n">
        <v>34499622</v>
      </c>
      <c r="H406" s="99" t="n">
        <v>0.34</v>
      </c>
      <c r="I406" s="99" t="n">
        <v>11617</v>
      </c>
      <c r="J406" s="99" t="inlineStr">
        <is>
          <t>Y</t>
        </is>
      </c>
      <c r="K406" s="99" t="inlineStr">
        <is>
          <t>N</t>
        </is>
      </c>
      <c r="L406" s="99" t="inlineStr">
        <is>
          <t>N</t>
        </is>
      </c>
      <c r="M406" s="99" t="n">
        <v>39.1</v>
      </c>
      <c r="N406" s="99" t="inlineStr">
        <is>
          <t>N</t>
        </is>
      </c>
      <c r="O406" s="99" t="n">
        <v>0.54</v>
      </c>
      <c r="P406" s="99" t="inlineStr">
        <is>
          <t>N</t>
        </is>
      </c>
      <c r="Q406" s="99" t="inlineStr">
        <is>
          <t>N/A</t>
        </is>
      </c>
      <c r="R406" s="99" t="inlineStr">
        <is>
          <t>N</t>
        </is>
      </c>
      <c r="S406" s="99" t="n">
        <v>-4.5</v>
      </c>
      <c r="T406" s="99" t="n">
        <v>-15.5</v>
      </c>
      <c r="U406" s="99" t="inlineStr">
        <is>
          <t>N</t>
        </is>
      </c>
      <c r="V406" s="99" t="n">
        <v>24.2</v>
      </c>
      <c r="W406" s="99" t="inlineStr">
        <is>
          <t>N/A</t>
        </is>
      </c>
      <c r="X406" s="99" t="n">
        <v>26.63</v>
      </c>
      <c r="Y406" s="99" t="n">
        <v>3606.7</v>
      </c>
      <c r="Z406" s="99" t="n">
        <v>2</v>
      </c>
      <c r="AA406" s="94" t="inlineStr">
        <is>
          <t>AVOID</t>
        </is>
      </c>
    </row>
    <row r="407">
      <c r="A407" s="97" t="inlineStr">
        <is>
          <t>JINDALSTEL</t>
        </is>
      </c>
      <c r="B407" s="97" t="inlineStr">
        <is>
          <t>Jindal Steel Ltd.</t>
        </is>
      </c>
      <c r="C407" s="97" t="inlineStr">
        <is>
          <t>Metals &amp; Mining</t>
        </is>
      </c>
      <c r="D407" s="97" t="inlineStr">
        <is>
          <t>Large/Midcap</t>
        </is>
      </c>
      <c r="E407" s="97" t="n">
        <v>1035.8</v>
      </c>
      <c r="F407" s="97" t="n">
        <v>-0.59</v>
      </c>
      <c r="G407" s="97" t="n">
        <v>372876</v>
      </c>
      <c r="H407" s="97" t="n">
        <v>0.43</v>
      </c>
      <c r="I407" s="97" t="n">
        <v>105391</v>
      </c>
      <c r="J407" s="97" t="inlineStr">
        <is>
          <t>Y</t>
        </is>
      </c>
      <c r="K407" s="97" t="inlineStr">
        <is>
          <t>N</t>
        </is>
      </c>
      <c r="L407" s="97" t="inlineStr">
        <is>
          <t>N</t>
        </is>
      </c>
      <c r="M407" s="97" t="n">
        <v>42.1</v>
      </c>
      <c r="N407" s="97" t="inlineStr">
        <is>
          <t>N</t>
        </is>
      </c>
      <c r="O407" s="97" t="n">
        <v>23.72</v>
      </c>
      <c r="P407" s="97" t="inlineStr">
        <is>
          <t>N</t>
        </is>
      </c>
      <c r="Q407" s="97" t="inlineStr">
        <is>
          <t>N/A</t>
        </is>
      </c>
      <c r="R407" s="97" t="inlineStr">
        <is>
          <t>N</t>
        </is>
      </c>
      <c r="S407" s="97" t="n">
        <v>-1.2</v>
      </c>
      <c r="T407" s="97" t="n">
        <v>-15.1</v>
      </c>
      <c r="U407" s="97" t="inlineStr">
        <is>
          <t>N</t>
        </is>
      </c>
      <c r="V407" s="97" t="n">
        <v>38.8</v>
      </c>
      <c r="W407" s="97" t="inlineStr">
        <is>
          <t>N/A</t>
        </is>
      </c>
      <c r="X407" s="97" t="n">
        <v>43.61</v>
      </c>
      <c r="Y407" s="97" t="n">
        <v>448.6</v>
      </c>
      <c r="Z407" s="97" t="n">
        <v>2</v>
      </c>
      <c r="AA407" s="92" t="inlineStr">
        <is>
          <t>AVOID</t>
        </is>
      </c>
    </row>
    <row r="408">
      <c r="A408" s="99" t="inlineStr">
        <is>
          <t>JIOFIN</t>
        </is>
      </c>
      <c r="B408" s="99" t="inlineStr">
        <is>
          <t>Jio Financial Services Ltd.</t>
        </is>
      </c>
      <c r="C408" s="99" t="inlineStr">
        <is>
          <t>Financial Services</t>
        </is>
      </c>
      <c r="D408" s="99" t="inlineStr">
        <is>
          <t>Large/Midcap</t>
        </is>
      </c>
      <c r="E408" s="99" t="n">
        <v>234.71</v>
      </c>
      <c r="F408" s="99" t="n">
        <v>0.66</v>
      </c>
      <c r="G408" s="99" t="n">
        <v>10217898</v>
      </c>
      <c r="H408" s="99" t="n">
        <v>0.6899999999999999</v>
      </c>
      <c r="I408" s="99" t="n">
        <v>154982</v>
      </c>
      <c r="J408" s="99" t="inlineStr">
        <is>
          <t>Y</t>
        </is>
      </c>
      <c r="K408" s="99" t="inlineStr">
        <is>
          <t>N</t>
        </is>
      </c>
      <c r="L408" s="99" t="inlineStr">
        <is>
          <t>N</t>
        </is>
      </c>
      <c r="M408" s="99" t="n">
        <v>45.3</v>
      </c>
      <c r="N408" s="99" t="inlineStr">
        <is>
          <t>N</t>
        </is>
      </c>
      <c r="O408" s="99" t="n">
        <v>6.45</v>
      </c>
      <c r="P408" s="99" t="inlineStr">
        <is>
          <t>N</t>
        </is>
      </c>
      <c r="Q408" s="99" t="inlineStr">
        <is>
          <t>N/A</t>
        </is>
      </c>
      <c r="R408" s="99" t="inlineStr">
        <is>
          <t>N</t>
        </is>
      </c>
      <c r="S408" s="99" t="n">
        <v>-0.9</v>
      </c>
      <c r="T408" s="99" t="n">
        <v>-5.8</v>
      </c>
      <c r="U408" s="99" t="inlineStr">
        <is>
          <t>N</t>
        </is>
      </c>
      <c r="V408" s="99" t="n">
        <v>74</v>
      </c>
      <c r="W408" s="99" t="inlineStr">
        <is>
          <t>N/A</t>
        </is>
      </c>
      <c r="X408" s="99" t="n">
        <v>16.29</v>
      </c>
      <c r="Y408" s="99" t="n">
        <v>205</v>
      </c>
      <c r="Z408" s="99" t="n">
        <v>2</v>
      </c>
      <c r="AA408" s="94" t="inlineStr">
        <is>
          <t>AVOID</t>
        </is>
      </c>
    </row>
    <row r="409">
      <c r="A409" s="97" t="inlineStr">
        <is>
          <t>KAYNES</t>
        </is>
      </c>
      <c r="B409" s="97" t="inlineStr">
        <is>
          <t>Kaynes Technology India Ltd.</t>
        </is>
      </c>
      <c r="C409" s="97" t="inlineStr">
        <is>
          <t>Capital Goods</t>
        </is>
      </c>
      <c r="D409" s="97" t="inlineStr">
        <is>
          <t>Smallcap</t>
        </is>
      </c>
      <c r="E409" s="97" t="n">
        <v>3176.2</v>
      </c>
      <c r="F409" s="97" t="n">
        <v>-1.98</v>
      </c>
      <c r="G409" s="97" t="n">
        <v>887346</v>
      </c>
      <c r="H409" s="97" t="n">
        <v>1.67</v>
      </c>
      <c r="I409" s="97" t="n">
        <v>21292</v>
      </c>
      <c r="J409" s="97" t="inlineStr">
        <is>
          <t>Y</t>
        </is>
      </c>
      <c r="K409" s="97" t="inlineStr">
        <is>
          <t>N</t>
        </is>
      </c>
      <c r="L409" s="97" t="inlineStr">
        <is>
          <t>N</t>
        </is>
      </c>
      <c r="M409" s="97" t="n">
        <v>40.1</v>
      </c>
      <c r="N409" s="97" t="inlineStr">
        <is>
          <t>N</t>
        </is>
      </c>
      <c r="O409" s="97" t="n">
        <v>105.98</v>
      </c>
      <c r="P409" s="97" t="inlineStr">
        <is>
          <t>N</t>
        </is>
      </c>
      <c r="Q409" s="97" t="inlineStr">
        <is>
          <t>N/A</t>
        </is>
      </c>
      <c r="R409" s="97" t="inlineStr">
        <is>
          <t>N</t>
        </is>
      </c>
      <c r="S409" s="97" t="n">
        <v>-1.7</v>
      </c>
      <c r="T409" s="97" t="n">
        <v>-22.2</v>
      </c>
      <c r="U409" s="97" t="inlineStr">
        <is>
          <t>N</t>
        </is>
      </c>
      <c r="V409" s="97" t="n">
        <v>58.5</v>
      </c>
      <c r="W409" s="97" t="n">
        <v>9.6</v>
      </c>
      <c r="X409" s="97" t="n">
        <v>19.17</v>
      </c>
      <c r="Y409" s="97" t="n">
        <v>19</v>
      </c>
      <c r="Z409" s="97" t="n">
        <v>2</v>
      </c>
      <c r="AA409" s="92" t="inlineStr">
        <is>
          <t>AVOID</t>
        </is>
      </c>
    </row>
    <row r="410">
      <c r="A410" s="99" t="inlineStr">
        <is>
          <t>KEC</t>
        </is>
      </c>
      <c r="B410" s="99" t="inlineStr">
        <is>
          <t>Kec International Ltd.</t>
        </is>
      </c>
      <c r="C410" s="99" t="inlineStr">
        <is>
          <t>Construction</t>
        </is>
      </c>
      <c r="D410" s="99" t="inlineStr">
        <is>
          <t>Smallcap</t>
        </is>
      </c>
      <c r="E410" s="99" t="n">
        <v>469.9</v>
      </c>
      <c r="F410" s="99" t="n">
        <v>-0.64</v>
      </c>
      <c r="G410" s="99" t="n">
        <v>819658</v>
      </c>
      <c r="H410" s="99" t="n">
        <v>1.67</v>
      </c>
      <c r="I410" s="99" t="n">
        <v>12509</v>
      </c>
      <c r="J410" s="99" t="inlineStr">
        <is>
          <t>Y</t>
        </is>
      </c>
      <c r="K410" s="99" t="inlineStr">
        <is>
          <t>N</t>
        </is>
      </c>
      <c r="L410" s="99" t="inlineStr">
        <is>
          <t>N</t>
        </is>
      </c>
      <c r="M410" s="99" t="n">
        <v>34.2</v>
      </c>
      <c r="N410" s="99" t="inlineStr">
        <is>
          <t>N</t>
        </is>
      </c>
      <c r="O410" s="99" t="n">
        <v>13.3</v>
      </c>
      <c r="P410" s="99" t="inlineStr">
        <is>
          <t>N</t>
        </is>
      </c>
      <c r="Q410" s="99" t="inlineStr">
        <is>
          <t>N/A</t>
        </is>
      </c>
      <c r="R410" s="99" t="inlineStr">
        <is>
          <t>N</t>
        </is>
      </c>
      <c r="S410" s="99" t="n">
        <v>-10</v>
      </c>
      <c r="T410" s="99" t="n">
        <v>-16.4</v>
      </c>
      <c r="U410" s="99" t="inlineStr">
        <is>
          <t>N</t>
        </is>
      </c>
      <c r="V410" s="99" t="n">
        <v>20.7</v>
      </c>
      <c r="W410" s="99" t="n">
        <v>10.5</v>
      </c>
      <c r="X410" s="99" t="n">
        <v>87.31</v>
      </c>
      <c r="Y410" s="99" t="n">
        <v>51.3</v>
      </c>
      <c r="Z410" s="99" t="n">
        <v>2</v>
      </c>
      <c r="AA410" s="94" t="inlineStr">
        <is>
          <t>AVOID</t>
        </is>
      </c>
    </row>
    <row r="411">
      <c r="A411" s="97" t="inlineStr">
        <is>
          <t>KFINTECH</t>
        </is>
      </c>
      <c r="B411" s="97" t="inlineStr">
        <is>
          <t>Kfin Technologies Ltd.</t>
        </is>
      </c>
      <c r="C411" s="97" t="inlineStr">
        <is>
          <t>Financial Services</t>
        </is>
      </c>
      <c r="D411" s="97" t="inlineStr">
        <is>
          <t>Smallcap</t>
        </is>
      </c>
      <c r="E411" s="97" t="n">
        <v>857.75</v>
      </c>
      <c r="F411" s="97" t="n">
        <v>-1.21</v>
      </c>
      <c r="G411" s="97" t="n">
        <v>749479</v>
      </c>
      <c r="H411" s="97" t="n">
        <v>1.88</v>
      </c>
      <c r="I411" s="97" t="n">
        <v>14826</v>
      </c>
      <c r="J411" s="97" t="inlineStr">
        <is>
          <t>Y</t>
        </is>
      </c>
      <c r="K411" s="97" t="inlineStr">
        <is>
          <t>Y</t>
        </is>
      </c>
      <c r="L411" s="97" t="inlineStr">
        <is>
          <t>N</t>
        </is>
      </c>
      <c r="M411" s="97" t="n">
        <v>47.3</v>
      </c>
      <c r="N411" s="97" t="inlineStr">
        <is>
          <t>N</t>
        </is>
      </c>
      <c r="O411" s="97" t="n">
        <v>28.08</v>
      </c>
      <c r="P411" s="97" t="inlineStr">
        <is>
          <t>N</t>
        </is>
      </c>
      <c r="Q411" s="97" t="inlineStr">
        <is>
          <t>N/A</t>
        </is>
      </c>
      <c r="R411" s="97" t="inlineStr">
        <is>
          <t>N</t>
        </is>
      </c>
      <c r="S411" s="97" t="n">
        <v>0.5</v>
      </c>
      <c r="T411" s="97" t="n">
        <v>-10.5</v>
      </c>
      <c r="U411" s="97" t="inlineStr">
        <is>
          <t>N</t>
        </is>
      </c>
      <c r="V411" s="97" t="n">
        <v>43.5</v>
      </c>
      <c r="W411" s="97" t="inlineStr">
        <is>
          <t>N/A</t>
        </is>
      </c>
      <c r="X411" s="97" t="n">
        <v>3.31</v>
      </c>
      <c r="Y411" s="97" t="n">
        <v>-11.8</v>
      </c>
      <c r="Z411" s="97" t="n">
        <v>2</v>
      </c>
      <c r="AA411" s="92" t="inlineStr">
        <is>
          <t>AVOID</t>
        </is>
      </c>
    </row>
    <row r="412">
      <c r="A412" s="99" t="inlineStr">
        <is>
          <t>LICHSGFIN</t>
        </is>
      </c>
      <c r="B412" s="99" t="inlineStr">
        <is>
          <t>LIC Housing Finance Ltd.</t>
        </is>
      </c>
      <c r="C412" s="99" t="inlineStr">
        <is>
          <t>Financial Services</t>
        </is>
      </c>
      <c r="D412" s="99" t="inlineStr">
        <is>
          <t>Large/Midcap</t>
        </is>
      </c>
      <c r="E412" s="99" t="n">
        <v>538.95</v>
      </c>
      <c r="F412" s="99" t="n">
        <v>0.98</v>
      </c>
      <c r="G412" s="99" t="n">
        <v>516519</v>
      </c>
      <c r="H412" s="99" t="n">
        <v>0.99</v>
      </c>
      <c r="I412" s="99" t="n">
        <v>29646</v>
      </c>
      <c r="J412" s="99" t="inlineStr">
        <is>
          <t>Y</t>
        </is>
      </c>
      <c r="K412" s="99" t="inlineStr">
        <is>
          <t>N</t>
        </is>
      </c>
      <c r="L412" s="99" t="inlineStr">
        <is>
          <t>N</t>
        </is>
      </c>
      <c r="M412" s="99" t="n">
        <v>43.4</v>
      </c>
      <c r="N412" s="99" t="inlineStr">
        <is>
          <t>N</t>
        </is>
      </c>
      <c r="O412" s="99" t="n">
        <v>10.75</v>
      </c>
      <c r="P412" s="99" t="inlineStr">
        <is>
          <t>N</t>
        </is>
      </c>
      <c r="Q412" s="99" t="inlineStr">
        <is>
          <t>N/A</t>
        </is>
      </c>
      <c r="R412" s="99" t="inlineStr">
        <is>
          <t>N</t>
        </is>
      </c>
      <c r="S412" s="99" t="n">
        <v>-0.9</v>
      </c>
      <c r="T412" s="99" t="n">
        <v>-3.6</v>
      </c>
      <c r="U412" s="99" t="inlineStr">
        <is>
          <t>N</t>
        </is>
      </c>
      <c r="V412" s="99" t="n">
        <v>5.3</v>
      </c>
      <c r="W412" s="99" t="n">
        <v>14.4</v>
      </c>
      <c r="X412" s="99" t="n">
        <v>642.52</v>
      </c>
      <c r="Y412" s="99" t="n">
        <v>6.8</v>
      </c>
      <c r="Z412" s="99" t="n">
        <v>2</v>
      </c>
      <c r="AA412" s="94" t="inlineStr">
        <is>
          <t>AVOID</t>
        </is>
      </c>
    </row>
    <row r="413">
      <c r="A413" s="97" t="inlineStr">
        <is>
          <t>LEMONTREE</t>
        </is>
      </c>
      <c r="B413" s="97" t="inlineStr">
        <is>
          <t>Lemon Tree Hotels Ltd.</t>
        </is>
      </c>
      <c r="C413" s="97" t="inlineStr">
        <is>
          <t>Consumer Services</t>
        </is>
      </c>
      <c r="D413" s="97" t="inlineStr">
        <is>
          <t>Smallcap</t>
        </is>
      </c>
      <c r="E413" s="97" t="n">
        <v>109.36</v>
      </c>
      <c r="F413" s="97" t="n">
        <v>-0.62</v>
      </c>
      <c r="G413" s="97" t="n">
        <v>2400874</v>
      </c>
      <c r="H413" s="97" t="n">
        <v>0.68</v>
      </c>
      <c r="I413" s="97" t="n">
        <v>8660</v>
      </c>
      <c r="J413" s="97" t="inlineStr">
        <is>
          <t>Y</t>
        </is>
      </c>
      <c r="K413" s="97" t="inlineStr">
        <is>
          <t>N</t>
        </is>
      </c>
      <c r="L413" s="97" t="inlineStr">
        <is>
          <t>N</t>
        </is>
      </c>
      <c r="M413" s="97" t="n">
        <v>19.7</v>
      </c>
      <c r="N413" s="97" t="inlineStr">
        <is>
          <t>N</t>
        </is>
      </c>
      <c r="O413" s="97" t="n">
        <v>2.86</v>
      </c>
      <c r="P413" s="97" t="inlineStr">
        <is>
          <t>N</t>
        </is>
      </c>
      <c r="Q413" s="97" t="inlineStr">
        <is>
          <t>N/A</t>
        </is>
      </c>
      <c r="R413" s="97" t="inlineStr">
        <is>
          <t>N</t>
        </is>
      </c>
      <c r="S413" s="97" t="n">
        <v>-7.6</v>
      </c>
      <c r="T413" s="97" t="n">
        <v>-7.3</v>
      </c>
      <c r="U413" s="97" t="inlineStr">
        <is>
          <t>N</t>
        </is>
      </c>
      <c r="V413" s="97" t="n">
        <v>38.1</v>
      </c>
      <c r="W413" s="97" t="n">
        <v>14.9</v>
      </c>
      <c r="X413" s="97" t="n">
        <v>96.37</v>
      </c>
      <c r="Y413" s="97" t="n">
        <v>46</v>
      </c>
      <c r="Z413" s="97" t="n">
        <v>2</v>
      </c>
      <c r="AA413" s="92" t="inlineStr">
        <is>
          <t>AVOID</t>
        </is>
      </c>
    </row>
    <row r="414">
      <c r="A414" s="99" t="inlineStr">
        <is>
          <t>MARUTI</t>
        </is>
      </c>
      <c r="B414" s="99" t="inlineStr">
        <is>
          <t>Maruti Suzuki India Ltd.</t>
        </is>
      </c>
      <c r="C414" s="99" t="inlineStr">
        <is>
          <t>Automobile and Auto Components</t>
        </is>
      </c>
      <c r="D414" s="99" t="inlineStr">
        <is>
          <t>Large/Midcap</t>
        </is>
      </c>
      <c r="E414" s="99" t="n">
        <v>13442</v>
      </c>
      <c r="F414" s="99" t="n">
        <v>0.29</v>
      </c>
      <c r="G414" s="99" t="n">
        <v>223369</v>
      </c>
      <c r="H414" s="99" t="n">
        <v>0.6899999999999999</v>
      </c>
      <c r="I414" s="99" t="n">
        <v>422620</v>
      </c>
      <c r="J414" s="99" t="inlineStr">
        <is>
          <t>Y</t>
        </is>
      </c>
      <c r="K414" s="99" t="inlineStr">
        <is>
          <t>N</t>
        </is>
      </c>
      <c r="L414" s="99" t="inlineStr">
        <is>
          <t>N</t>
        </is>
      </c>
      <c r="M414" s="99" t="n">
        <v>28</v>
      </c>
      <c r="N414" s="99" t="inlineStr">
        <is>
          <t>N</t>
        </is>
      </c>
      <c r="O414" s="99" t="n">
        <v>291.64</v>
      </c>
      <c r="P414" s="99" t="inlineStr">
        <is>
          <t>N</t>
        </is>
      </c>
      <c r="Q414" s="99" t="inlineStr">
        <is>
          <t>N/A</t>
        </is>
      </c>
      <c r="R414" s="99" t="inlineStr">
        <is>
          <t>N</t>
        </is>
      </c>
      <c r="S414" s="99" t="n">
        <v>-1.1</v>
      </c>
      <c r="T414" s="99" t="n">
        <v>1.9</v>
      </c>
      <c r="U414" s="99" t="inlineStr">
        <is>
          <t>Y</t>
        </is>
      </c>
      <c r="V414" s="99" t="n">
        <v>28.8</v>
      </c>
      <c r="W414" s="99" t="n">
        <v>14.4</v>
      </c>
      <c r="X414" s="99" t="n">
        <v>0.1</v>
      </c>
      <c r="Y414" s="99" t="n">
        <v>-5.7</v>
      </c>
      <c r="Z414" s="99" t="n">
        <v>2</v>
      </c>
      <c r="AA414" s="94" t="inlineStr">
        <is>
          <t>AVOID</t>
        </is>
      </c>
    </row>
    <row r="415">
      <c r="A415" s="97" t="inlineStr">
        <is>
          <t>MAZDOCK</t>
        </is>
      </c>
      <c r="B415" s="97" t="inlineStr">
        <is>
          <t>Mazagoan Dock Shipbuilders Ltd.</t>
        </is>
      </c>
      <c r="C415" s="97" t="inlineStr">
        <is>
          <t>Capital Goods</t>
        </is>
      </c>
      <c r="D415" s="97" t="inlineStr">
        <is>
          <t>Large/Midcap</t>
        </is>
      </c>
      <c r="E415" s="97" t="n">
        <v>2293.8</v>
      </c>
      <c r="F415" s="97" t="n">
        <v>-0.22</v>
      </c>
      <c r="G415" s="97" t="n">
        <v>430126</v>
      </c>
      <c r="H415" s="97" t="n">
        <v>0.92</v>
      </c>
      <c r="I415" s="97" t="n">
        <v>92527</v>
      </c>
      <c r="J415" s="97" t="inlineStr">
        <is>
          <t>Y</t>
        </is>
      </c>
      <c r="K415" s="97" t="inlineStr">
        <is>
          <t>N</t>
        </is>
      </c>
      <c r="L415" s="97" t="inlineStr">
        <is>
          <t>N</t>
        </is>
      </c>
      <c r="M415" s="97" t="n">
        <v>16.4</v>
      </c>
      <c r="N415" s="97" t="inlineStr">
        <is>
          <t>N</t>
        </is>
      </c>
      <c r="O415" s="97" t="n">
        <v>49.34</v>
      </c>
      <c r="P415" s="97" t="inlineStr">
        <is>
          <t>N</t>
        </is>
      </c>
      <c r="Q415" s="97" t="inlineStr">
        <is>
          <t>N/A</t>
        </is>
      </c>
      <c r="R415" s="97" t="inlineStr">
        <is>
          <t>N</t>
        </is>
      </c>
      <c r="S415" s="97" t="n">
        <v>-6.2</v>
      </c>
      <c r="T415" s="97" t="n">
        <v>-16.6</v>
      </c>
      <c r="U415" s="97" t="inlineStr">
        <is>
          <t>N</t>
        </is>
      </c>
      <c r="V415" s="97" t="n">
        <v>35.8</v>
      </c>
      <c r="W415" s="97" t="n">
        <v>28.8</v>
      </c>
      <c r="X415" s="97" t="n">
        <v>4.48</v>
      </c>
      <c r="Y415" s="97" t="n">
        <v>-22.8</v>
      </c>
      <c r="Z415" s="97" t="n">
        <v>2</v>
      </c>
      <c r="AA415" s="92" t="inlineStr">
        <is>
          <t>AVOID</t>
        </is>
      </c>
    </row>
    <row r="416">
      <c r="A416" s="99" t="inlineStr">
        <is>
          <t>NCC</t>
        </is>
      </c>
      <c r="B416" s="99" t="inlineStr">
        <is>
          <t>NCC Ltd.</t>
        </is>
      </c>
      <c r="C416" s="99" t="inlineStr">
        <is>
          <t>Construction</t>
        </is>
      </c>
      <c r="D416" s="99" t="inlineStr">
        <is>
          <t>Smallcap</t>
        </is>
      </c>
      <c r="E416" s="99" t="n">
        <v>137.09</v>
      </c>
      <c r="F416" s="99" t="n">
        <v>0.67</v>
      </c>
      <c r="G416" s="99" t="n">
        <v>932229</v>
      </c>
      <c r="H416" s="99" t="n">
        <v>0.89</v>
      </c>
      <c r="I416" s="99" t="n">
        <v>8607</v>
      </c>
      <c r="J416" s="99" t="inlineStr">
        <is>
          <t>Y</t>
        </is>
      </c>
      <c r="K416" s="99" t="inlineStr">
        <is>
          <t>N</t>
        </is>
      </c>
      <c r="L416" s="99" t="inlineStr">
        <is>
          <t>N</t>
        </is>
      </c>
      <c r="M416" s="99" t="n">
        <v>19.9</v>
      </c>
      <c r="N416" s="99" t="inlineStr">
        <is>
          <t>N</t>
        </is>
      </c>
      <c r="O416" s="99" t="n">
        <v>3.38</v>
      </c>
      <c r="P416" s="99" t="inlineStr">
        <is>
          <t>N</t>
        </is>
      </c>
      <c r="Q416" s="99" t="inlineStr">
        <is>
          <t>N/A</t>
        </is>
      </c>
      <c r="R416" s="99" t="inlineStr">
        <is>
          <t>N</t>
        </is>
      </c>
      <c r="S416" s="99" t="n">
        <v>-9.699999999999999</v>
      </c>
      <c r="T416" s="99" t="n">
        <v>-16.3</v>
      </c>
      <c r="U416" s="99" t="inlineStr">
        <is>
          <t>N</t>
        </is>
      </c>
      <c r="V416" s="99" t="n">
        <v>12.7</v>
      </c>
      <c r="W416" s="99" t="n">
        <v>9.300000000000001</v>
      </c>
      <c r="X416" s="99" t="n">
        <v>43.06</v>
      </c>
      <c r="Y416" s="99" t="n">
        <v>68.2</v>
      </c>
      <c r="Z416" s="99" t="n">
        <v>2</v>
      </c>
      <c r="AA416" s="94" t="inlineStr">
        <is>
          <t>AVOID</t>
        </is>
      </c>
    </row>
    <row r="417">
      <c r="A417" s="97" t="inlineStr">
        <is>
          <t>NTPC</t>
        </is>
      </c>
      <c r="B417" s="97" t="inlineStr">
        <is>
          <t>NTPC Ltd.</t>
        </is>
      </c>
      <c r="C417" s="97" t="inlineStr">
        <is>
          <t>Power</t>
        </is>
      </c>
      <c r="D417" s="97" t="inlineStr">
        <is>
          <t>Large/Midcap</t>
        </is>
      </c>
      <c r="E417" s="97" t="n">
        <v>347.2</v>
      </c>
      <c r="F417" s="97" t="n">
        <v>-0.4</v>
      </c>
      <c r="G417" s="97" t="n">
        <v>6300466</v>
      </c>
      <c r="H417" s="97" t="n">
        <v>0.84</v>
      </c>
      <c r="I417" s="97" t="n">
        <v>336668</v>
      </c>
      <c r="J417" s="97" t="inlineStr">
        <is>
          <t>Y</t>
        </is>
      </c>
      <c r="K417" s="97" t="inlineStr">
        <is>
          <t>N</t>
        </is>
      </c>
      <c r="L417" s="97" t="inlineStr">
        <is>
          <t>N</t>
        </is>
      </c>
      <c r="M417" s="97" t="n">
        <v>39.3</v>
      </c>
      <c r="N417" s="97" t="inlineStr">
        <is>
          <t>N</t>
        </is>
      </c>
      <c r="O417" s="97" t="n">
        <v>5.89</v>
      </c>
      <c r="P417" s="97" t="inlineStr">
        <is>
          <t>N</t>
        </is>
      </c>
      <c r="Q417" s="97" t="inlineStr">
        <is>
          <t>N/A</t>
        </is>
      </c>
      <c r="R417" s="97" t="inlineStr">
        <is>
          <t>N</t>
        </is>
      </c>
      <c r="S417" s="97" t="n">
        <v>-0.3</v>
      </c>
      <c r="T417" s="97" t="n">
        <v>-12.9</v>
      </c>
      <c r="U417" s="97" t="inlineStr">
        <is>
          <t>N</t>
        </is>
      </c>
      <c r="V417" s="97" t="n">
        <v>10.6</v>
      </c>
      <c r="W417" s="97" t="inlineStr">
        <is>
          <t>N/A</t>
        </is>
      </c>
      <c r="X417" s="97" t="n">
        <v>118.13</v>
      </c>
      <c r="Y417" s="97" t="n">
        <v>91.09999999999999</v>
      </c>
      <c r="Z417" s="97" t="n">
        <v>2</v>
      </c>
      <c r="AA417" s="92" t="inlineStr">
        <is>
          <t>AVOID</t>
        </is>
      </c>
    </row>
    <row r="418">
      <c r="A418" s="99" t="inlineStr">
        <is>
          <t>OLAELEC</t>
        </is>
      </c>
      <c r="B418" s="99" t="inlineStr">
        <is>
          <t>Ola Electric Mobility Ltd.</t>
        </is>
      </c>
      <c r="C418" s="99" t="inlineStr">
        <is>
          <t>Automobile and Auto Components</t>
        </is>
      </c>
      <c r="D418" s="99" t="inlineStr">
        <is>
          <t>Smallcap</t>
        </is>
      </c>
      <c r="E418" s="99" t="n">
        <v>37.08</v>
      </c>
      <c r="F418" s="99" t="n">
        <v>0.22</v>
      </c>
      <c r="G418" s="99" t="n">
        <v>40506448</v>
      </c>
      <c r="H418" s="99" t="n">
        <v>0.75</v>
      </c>
      <c r="I418" s="99" t="n">
        <v>16384</v>
      </c>
      <c r="J418" s="99" t="inlineStr">
        <is>
          <t>Y</t>
        </is>
      </c>
      <c r="K418" s="99" t="inlineStr">
        <is>
          <t>N</t>
        </is>
      </c>
      <c r="L418" s="99" t="inlineStr">
        <is>
          <t>N</t>
        </is>
      </c>
      <c r="M418" s="99" t="n">
        <v>20.8</v>
      </c>
      <c r="N418" s="99" t="inlineStr">
        <is>
          <t>N</t>
        </is>
      </c>
      <c r="O418" s="99" t="n">
        <v>1.64</v>
      </c>
      <c r="P418" s="99" t="inlineStr">
        <is>
          <t>N</t>
        </is>
      </c>
      <c r="Q418" s="99" t="inlineStr">
        <is>
          <t>N/A</t>
        </is>
      </c>
      <c r="R418" s="99" t="inlineStr">
        <is>
          <t>N</t>
        </is>
      </c>
      <c r="S418" s="99" t="n">
        <v>-10.2</v>
      </c>
      <c r="T418" s="99" t="n">
        <v>2.9</v>
      </c>
      <c r="U418" s="99" t="inlineStr">
        <is>
          <t>Y</t>
        </is>
      </c>
      <c r="V418" s="99" t="inlineStr">
        <is>
          <t>N/A</t>
        </is>
      </c>
      <c r="W418" s="99" t="n">
        <v>-43.2</v>
      </c>
      <c r="X418" s="99" t="n">
        <v>82.45</v>
      </c>
      <c r="Y418" s="99" t="n">
        <v>-2.7</v>
      </c>
      <c r="Z418" s="99" t="n">
        <v>2</v>
      </c>
      <c r="AA418" s="94" t="inlineStr">
        <is>
          <t>AVOID</t>
        </is>
      </c>
    </row>
    <row r="419">
      <c r="A419" s="97" t="inlineStr">
        <is>
          <t>POLICYBZR</t>
        </is>
      </c>
      <c r="B419" s="97" t="inlineStr">
        <is>
          <t>PB Fintech Ltd.</t>
        </is>
      </c>
      <c r="C419" s="97" t="inlineStr">
        <is>
          <t>Financial Services</t>
        </is>
      </c>
      <c r="D419" s="97" t="inlineStr">
        <is>
          <t>Large/Midcap</t>
        </is>
      </c>
      <c r="E419" s="97" t="n">
        <v>1537.2</v>
      </c>
      <c r="F419" s="97" t="n">
        <v>0.6899999999999999</v>
      </c>
      <c r="G419" s="97" t="n">
        <v>1154630</v>
      </c>
      <c r="H419" s="97" t="n">
        <v>0.97</v>
      </c>
      <c r="I419" s="97" t="n">
        <v>71025</v>
      </c>
      <c r="J419" s="97" t="inlineStr">
        <is>
          <t>Y</t>
        </is>
      </c>
      <c r="K419" s="97" t="inlineStr">
        <is>
          <t>N</t>
        </is>
      </c>
      <c r="L419" s="97" t="inlineStr">
        <is>
          <t>N</t>
        </is>
      </c>
      <c r="M419" s="97" t="n">
        <v>43.2</v>
      </c>
      <c r="N419" s="97" t="inlineStr">
        <is>
          <t>N</t>
        </is>
      </c>
      <c r="O419" s="97" t="n">
        <v>43.79</v>
      </c>
      <c r="P419" s="97" t="inlineStr">
        <is>
          <t>N</t>
        </is>
      </c>
      <c r="Q419" s="97" t="inlineStr">
        <is>
          <t>N/A</t>
        </is>
      </c>
      <c r="R419" s="97" t="inlineStr">
        <is>
          <t>N</t>
        </is>
      </c>
      <c r="S419" s="97" t="n">
        <v>-3.8</v>
      </c>
      <c r="T419" s="97" t="n">
        <v>-8.199999999999999</v>
      </c>
      <c r="U419" s="97" t="inlineStr">
        <is>
          <t>N</t>
        </is>
      </c>
      <c r="V419" s="97" t="n">
        <v>106.4</v>
      </c>
      <c r="W419" s="97" t="n">
        <v>9.699999999999999</v>
      </c>
      <c r="X419" s="97" t="n">
        <v>4.92</v>
      </c>
      <c r="Y419" s="97" t="n">
        <v>37.9</v>
      </c>
      <c r="Z419" s="97" t="n">
        <v>2</v>
      </c>
      <c r="AA419" s="92" t="inlineStr">
        <is>
          <t>AVOID</t>
        </is>
      </c>
    </row>
    <row r="420">
      <c r="A420" s="99" t="inlineStr">
        <is>
          <t>PIIND</t>
        </is>
      </c>
      <c r="B420" s="99" t="inlineStr">
        <is>
          <t>PI Industries Ltd.</t>
        </is>
      </c>
      <c r="C420" s="99" t="inlineStr">
        <is>
          <t>Chemicals</t>
        </is>
      </c>
      <c r="D420" s="99" t="inlineStr">
        <is>
          <t>Large/Midcap</t>
        </is>
      </c>
      <c r="E420" s="99" t="n">
        <v>2731.2</v>
      </c>
      <c r="F420" s="99" t="n">
        <v>-0.42</v>
      </c>
      <c r="G420" s="99" t="n">
        <v>239371</v>
      </c>
      <c r="H420" s="99" t="n">
        <v>0.89</v>
      </c>
      <c r="I420" s="99" t="n">
        <v>41434</v>
      </c>
      <c r="J420" s="99" t="inlineStr">
        <is>
          <t>Y</t>
        </is>
      </c>
      <c r="K420" s="99" t="inlineStr">
        <is>
          <t>N</t>
        </is>
      </c>
      <c r="L420" s="99" t="inlineStr">
        <is>
          <t>N</t>
        </is>
      </c>
      <c r="M420" s="99" t="n">
        <v>56.2</v>
      </c>
      <c r="N420" s="99" t="inlineStr">
        <is>
          <t>Y</t>
        </is>
      </c>
      <c r="O420" s="99" t="n">
        <v>57.66</v>
      </c>
      <c r="P420" s="99" t="inlineStr">
        <is>
          <t>N</t>
        </is>
      </c>
      <c r="Q420" s="99" t="inlineStr">
        <is>
          <t>N/A</t>
        </is>
      </c>
      <c r="R420" s="99" t="inlineStr">
        <is>
          <t>N</t>
        </is>
      </c>
      <c r="S420" s="99" t="n">
        <v>2.8</v>
      </c>
      <c r="T420" s="99" t="n">
        <v>-11.1</v>
      </c>
      <c r="U420" s="99" t="inlineStr">
        <is>
          <t>N</t>
        </is>
      </c>
      <c r="V420" s="99" t="n">
        <v>31.3</v>
      </c>
      <c r="W420" s="99" t="n">
        <v>12.4</v>
      </c>
      <c r="X420" s="99" t="n">
        <v>3.05</v>
      </c>
      <c r="Y420" s="99" t="n">
        <v>-35.7</v>
      </c>
      <c r="Z420" s="99" t="n">
        <v>2</v>
      </c>
      <c r="AA420" s="94" t="inlineStr">
        <is>
          <t>AVOID</t>
        </is>
      </c>
    </row>
    <row r="421">
      <c r="A421" s="97" t="inlineStr">
        <is>
          <t>PINELABS</t>
        </is>
      </c>
      <c r="B421" s="97" t="inlineStr">
        <is>
          <t>Pine Labs Ltd.</t>
        </is>
      </c>
      <c r="C421" s="97" t="inlineStr">
        <is>
          <t>Financial Services</t>
        </is>
      </c>
      <c r="D421" s="97" t="inlineStr">
        <is>
          <t>Smallcap</t>
        </is>
      </c>
      <c r="E421" s="97" t="n">
        <v>145.67</v>
      </c>
      <c r="F421" s="97" t="n">
        <v>-1.23</v>
      </c>
      <c r="G421" s="97" t="n">
        <v>7741143</v>
      </c>
      <c r="H421" s="97" t="n">
        <v>0.76</v>
      </c>
      <c r="I421" s="97" t="n">
        <v>16808</v>
      </c>
      <c r="J421" s="97" t="inlineStr">
        <is>
          <t>Y</t>
        </is>
      </c>
      <c r="K421" s="97" t="inlineStr">
        <is>
          <t>N</t>
        </is>
      </c>
      <c r="L421" s="97" t="inlineStr">
        <is>
          <t>N/A</t>
        </is>
      </c>
      <c r="M421" s="97" t="n">
        <v>43</v>
      </c>
      <c r="N421" s="97" t="inlineStr">
        <is>
          <t>N</t>
        </is>
      </c>
      <c r="O421" s="97" t="n">
        <v>5.63</v>
      </c>
      <c r="P421" s="97" t="inlineStr">
        <is>
          <t>N</t>
        </is>
      </c>
      <c r="Q421" s="97" t="inlineStr">
        <is>
          <t>N/A</t>
        </is>
      </c>
      <c r="R421" s="97" t="inlineStr">
        <is>
          <t>N</t>
        </is>
      </c>
      <c r="S421" s="97" t="n">
        <v>-7.9</v>
      </c>
      <c r="T421" s="97" t="n">
        <v>-25.5</v>
      </c>
      <c r="U421" s="97" t="inlineStr">
        <is>
          <t>N</t>
        </is>
      </c>
      <c r="V421" s="97" t="n">
        <v>142.8</v>
      </c>
      <c r="W421" s="97" t="n">
        <v>2.4</v>
      </c>
      <c r="X421" s="97" t="n">
        <v>7.47</v>
      </c>
      <c r="Y421" s="97" t="n">
        <v>40</v>
      </c>
      <c r="Z421" s="97" t="n">
        <v>2</v>
      </c>
      <c r="AA421" s="92" t="inlineStr">
        <is>
          <t>AVOID</t>
        </is>
      </c>
    </row>
    <row r="422">
      <c r="A422" s="99" t="inlineStr">
        <is>
          <t>RAILTEL</t>
        </is>
      </c>
      <c r="B422" s="99" t="inlineStr">
        <is>
          <t>Railtel Corporation Of India Ltd.</t>
        </is>
      </c>
      <c r="C422" s="99" t="inlineStr">
        <is>
          <t>Telecommunication</t>
        </is>
      </c>
      <c r="D422" s="99" t="inlineStr">
        <is>
          <t>Smallcap</t>
        </is>
      </c>
      <c r="E422" s="99" t="n">
        <v>284.75</v>
      </c>
      <c r="F422" s="99" t="n">
        <v>-0.97</v>
      </c>
      <c r="G422" s="99" t="n">
        <v>695273</v>
      </c>
      <c r="H422" s="99" t="n">
        <v>1.72</v>
      </c>
      <c r="I422" s="99" t="n">
        <v>9139</v>
      </c>
      <c r="J422" s="99" t="inlineStr">
        <is>
          <t>Y</t>
        </is>
      </c>
      <c r="K422" s="99" t="inlineStr">
        <is>
          <t>N</t>
        </is>
      </c>
      <c r="L422" s="99" t="inlineStr">
        <is>
          <t>N</t>
        </is>
      </c>
      <c r="M422" s="99" t="n">
        <v>23.6</v>
      </c>
      <c r="N422" s="99" t="inlineStr">
        <is>
          <t>N</t>
        </is>
      </c>
      <c r="O422" s="99" t="n">
        <v>7.09</v>
      </c>
      <c r="P422" s="99" t="inlineStr">
        <is>
          <t>N</t>
        </is>
      </c>
      <c r="Q422" s="99" t="inlineStr">
        <is>
          <t>N/A</t>
        </is>
      </c>
      <c r="R422" s="99" t="inlineStr">
        <is>
          <t>N</t>
        </is>
      </c>
      <c r="S422" s="99" t="n">
        <v>-8.300000000000001</v>
      </c>
      <c r="T422" s="99" t="n">
        <v>-12.3</v>
      </c>
      <c r="U422" s="99" t="inlineStr">
        <is>
          <t>N</t>
        </is>
      </c>
      <c r="V422" s="99" t="n">
        <v>28.7</v>
      </c>
      <c r="W422" s="99" t="n">
        <v>16.3</v>
      </c>
      <c r="X422" s="99" t="n">
        <v>2.82</v>
      </c>
      <c r="Y422" s="99" t="n">
        <v>-5.6</v>
      </c>
      <c r="Z422" s="99" t="n">
        <v>2</v>
      </c>
      <c r="AA422" s="94" t="inlineStr">
        <is>
          <t>AVOID</t>
        </is>
      </c>
    </row>
    <row r="423">
      <c r="A423" s="97" t="inlineStr">
        <is>
          <t>RELIANCE</t>
        </is>
      </c>
      <c r="B423" s="97" t="inlineStr">
        <is>
          <t>Reliance Industries Ltd.</t>
        </is>
      </c>
      <c r="C423" s="97" t="inlineStr">
        <is>
          <t>Oil Gas &amp; Consumable Fuels</t>
        </is>
      </c>
      <c r="D423" s="97" t="inlineStr">
        <is>
          <t>Large/Midcap</t>
        </is>
      </c>
      <c r="E423" s="97" t="n">
        <v>1278</v>
      </c>
      <c r="F423" s="97" t="n">
        <v>0.46</v>
      </c>
      <c r="G423" s="97" t="n">
        <v>9817000</v>
      </c>
      <c r="H423" s="97" t="n">
        <v>0.8100000000000001</v>
      </c>
      <c r="I423" s="97" t="n">
        <v>1729450</v>
      </c>
      <c r="J423" s="97" t="inlineStr">
        <is>
          <t>Y</t>
        </is>
      </c>
      <c r="K423" s="97" t="inlineStr">
        <is>
          <t>N</t>
        </is>
      </c>
      <c r="L423" s="97" t="inlineStr">
        <is>
          <t>N</t>
        </is>
      </c>
      <c r="M423" s="97" t="n">
        <v>38.4</v>
      </c>
      <c r="N423" s="97" t="inlineStr">
        <is>
          <t>N</t>
        </is>
      </c>
      <c r="O423" s="97" t="n">
        <v>25.09</v>
      </c>
      <c r="P423" s="97" t="inlineStr">
        <is>
          <t>N</t>
        </is>
      </c>
      <c r="Q423" s="97" t="inlineStr">
        <is>
          <t>N/A</t>
        </is>
      </c>
      <c r="R423" s="97" t="inlineStr">
        <is>
          <t>N</t>
        </is>
      </c>
      <c r="S423" s="97" t="n">
        <v>-2</v>
      </c>
      <c r="T423" s="97" t="n">
        <v>-9.4</v>
      </c>
      <c r="U423" s="97" t="inlineStr">
        <is>
          <t>N</t>
        </is>
      </c>
      <c r="V423" s="97" t="n">
        <v>23.1</v>
      </c>
      <c r="W423" s="97" t="inlineStr">
        <is>
          <t>N/A</t>
        </is>
      </c>
      <c r="X423" s="97" t="n">
        <v>36.65</v>
      </c>
      <c r="Y423" s="97" t="n">
        <v>23.4</v>
      </c>
      <c r="Z423" s="97" t="n">
        <v>2</v>
      </c>
      <c r="AA423" s="92" t="inlineStr">
        <is>
          <t>AVOID</t>
        </is>
      </c>
    </row>
    <row r="424">
      <c r="A424" s="99" t="inlineStr">
        <is>
          <t>SARDAEN</t>
        </is>
      </c>
      <c r="B424" s="99" t="inlineStr">
        <is>
          <t>Sarda Energy and Minerals Ltd.</t>
        </is>
      </c>
      <c r="C424" s="99" t="inlineStr">
        <is>
          <t>Metals &amp; Mining</t>
        </is>
      </c>
      <c r="D424" s="99" t="inlineStr">
        <is>
          <t>Smallcap</t>
        </is>
      </c>
      <c r="E424" s="99" t="n">
        <v>502.25</v>
      </c>
      <c r="F424" s="99" t="n">
        <v>-0.04</v>
      </c>
      <c r="G424" s="99" t="n">
        <v>131350</v>
      </c>
      <c r="H424" s="99" t="n">
        <v>0.75</v>
      </c>
      <c r="I424" s="99" t="n">
        <v>17698</v>
      </c>
      <c r="J424" s="99" t="inlineStr">
        <is>
          <t>Y</t>
        </is>
      </c>
      <c r="K424" s="99" t="inlineStr">
        <is>
          <t>N</t>
        </is>
      </c>
      <c r="L424" s="99" t="inlineStr">
        <is>
          <t>N</t>
        </is>
      </c>
      <c r="M424" s="99" t="n">
        <v>47.9</v>
      </c>
      <c r="N424" s="99" t="inlineStr">
        <is>
          <t>N</t>
        </is>
      </c>
      <c r="O424" s="99" t="n">
        <v>11.5</v>
      </c>
      <c r="P424" s="99" t="inlineStr">
        <is>
          <t>N</t>
        </is>
      </c>
      <c r="Q424" s="99" t="inlineStr">
        <is>
          <t>N/A</t>
        </is>
      </c>
      <c r="R424" s="99" t="inlineStr">
        <is>
          <t>N</t>
        </is>
      </c>
      <c r="S424" s="99" t="n">
        <v>-2.6</v>
      </c>
      <c r="T424" s="99" t="n">
        <v>-14.8</v>
      </c>
      <c r="U424" s="99" t="inlineStr">
        <is>
          <t>N</t>
        </is>
      </c>
      <c r="V424" s="99" t="n">
        <v>16</v>
      </c>
      <c r="W424" s="99" t="n">
        <v>16</v>
      </c>
      <c r="X424" s="99" t="n">
        <v>35.2</v>
      </c>
      <c r="Y424" s="99" t="n">
        <v>-17</v>
      </c>
      <c r="Z424" s="99" t="n">
        <v>2</v>
      </c>
      <c r="AA424" s="94" t="inlineStr">
        <is>
          <t>AVOID</t>
        </is>
      </c>
    </row>
    <row r="425">
      <c r="A425" s="97" t="inlineStr">
        <is>
          <t>SCI</t>
        </is>
      </c>
      <c r="B425" s="97" t="inlineStr">
        <is>
          <t>Shipping Corporation of India Ltd.</t>
        </is>
      </c>
      <c r="C425" s="97" t="inlineStr">
        <is>
          <t>Services</t>
        </is>
      </c>
      <c r="D425" s="97" t="inlineStr">
        <is>
          <t>Smallcap</t>
        </is>
      </c>
      <c r="E425" s="97" t="n">
        <v>275.1</v>
      </c>
      <c r="F425" s="97" t="n">
        <v>2.42</v>
      </c>
      <c r="G425" s="97" t="n">
        <v>2357392</v>
      </c>
      <c r="H425" s="97" t="n">
        <v>1.57</v>
      </c>
      <c r="I425" s="97" t="n">
        <v>12814</v>
      </c>
      <c r="J425" s="97" t="inlineStr">
        <is>
          <t>Y</t>
        </is>
      </c>
      <c r="K425" s="97" t="inlineStr">
        <is>
          <t>N</t>
        </is>
      </c>
      <c r="L425" s="97" t="inlineStr">
        <is>
          <t>Y</t>
        </is>
      </c>
      <c r="M425" s="97" t="n">
        <v>34.3</v>
      </c>
      <c r="N425" s="97" t="inlineStr">
        <is>
          <t>N</t>
        </is>
      </c>
      <c r="O425" s="97" t="n">
        <v>9.279999999999999</v>
      </c>
      <c r="P425" s="97" t="inlineStr">
        <is>
          <t>N</t>
        </is>
      </c>
      <c r="Q425" s="97" t="inlineStr">
        <is>
          <t>N/A</t>
        </is>
      </c>
      <c r="R425" s="97" t="inlineStr">
        <is>
          <t>N</t>
        </is>
      </c>
      <c r="S425" s="97" t="n">
        <v>-10.7</v>
      </c>
      <c r="T425" s="97" t="n">
        <v>-10.2</v>
      </c>
      <c r="U425" s="97" t="inlineStr">
        <is>
          <t>N</t>
        </is>
      </c>
      <c r="V425" s="97" t="n">
        <v>9.5</v>
      </c>
      <c r="W425" s="97" t="inlineStr">
        <is>
          <t>N/A</t>
        </is>
      </c>
      <c r="X425" s="97" t="n">
        <v>29.45</v>
      </c>
      <c r="Y425" s="97" t="n">
        <v>-0.1</v>
      </c>
      <c r="Z425" s="97" t="n">
        <v>2</v>
      </c>
      <c r="AA425" s="92" t="inlineStr">
        <is>
          <t>AVOID</t>
        </is>
      </c>
    </row>
    <row r="426">
      <c r="A426" s="99" t="inlineStr">
        <is>
          <t>SWANCORP</t>
        </is>
      </c>
      <c r="B426" s="99" t="inlineStr">
        <is>
          <t>Swan Corp Ltd.</t>
        </is>
      </c>
      <c r="C426" s="99" t="inlineStr">
        <is>
          <t>Chemicals</t>
        </is>
      </c>
      <c r="D426" s="99" t="inlineStr">
        <is>
          <t>Smallcap</t>
        </is>
      </c>
      <c r="E426" s="99" t="n">
        <v>310.3</v>
      </c>
      <c r="F426" s="99" t="n">
        <v>0.68</v>
      </c>
      <c r="G426" s="99" t="n">
        <v>449427</v>
      </c>
      <c r="H426" s="99" t="n">
        <v>0.61</v>
      </c>
      <c r="I426" s="99" t="n">
        <v>9727</v>
      </c>
      <c r="J426" s="99" t="inlineStr">
        <is>
          <t>Y</t>
        </is>
      </c>
      <c r="K426" s="99" t="inlineStr">
        <is>
          <t>N</t>
        </is>
      </c>
      <c r="L426" s="99" t="inlineStr">
        <is>
          <t>N</t>
        </is>
      </c>
      <c r="M426" s="99" t="n">
        <v>24.3</v>
      </c>
      <c r="N426" s="99" t="inlineStr">
        <is>
          <t>N</t>
        </is>
      </c>
      <c r="O426" s="99" t="n">
        <v>8.15</v>
      </c>
      <c r="P426" s="99" t="inlineStr">
        <is>
          <t>N</t>
        </is>
      </c>
      <c r="Q426" s="99" t="inlineStr">
        <is>
          <t>N/A</t>
        </is>
      </c>
      <c r="R426" s="99" t="inlineStr">
        <is>
          <t>N</t>
        </is>
      </c>
      <c r="S426" s="99" t="n">
        <v>-1.4</v>
      </c>
      <c r="T426" s="99" t="n">
        <v>-9.300000000000001</v>
      </c>
      <c r="U426" s="99" t="inlineStr">
        <is>
          <t>N</t>
        </is>
      </c>
      <c r="V426" s="99" t="n">
        <v>35.8</v>
      </c>
      <c r="W426" s="99" t="n">
        <v>3</v>
      </c>
      <c r="X426" s="99" t="n">
        <v>24.52</v>
      </c>
      <c r="Y426" s="99" t="n">
        <v>2822.3</v>
      </c>
      <c r="Z426" s="99" t="n">
        <v>2</v>
      </c>
      <c r="AA426" s="94" t="inlineStr">
        <is>
          <t>AVOID</t>
        </is>
      </c>
    </row>
    <row r="427">
      <c r="A427" s="97" t="inlineStr">
        <is>
          <t>SYNGENE</t>
        </is>
      </c>
      <c r="B427" s="97" t="inlineStr">
        <is>
          <t>Syngene International Ltd.</t>
        </is>
      </c>
      <c r="C427" s="97" t="inlineStr">
        <is>
          <t>Healthcare</t>
        </is>
      </c>
      <c r="D427" s="97" t="inlineStr">
        <is>
          <t>Smallcap</t>
        </is>
      </c>
      <c r="E427" s="97" t="n">
        <v>406.65</v>
      </c>
      <c r="F427" s="97" t="n">
        <v>0.84</v>
      </c>
      <c r="G427" s="97" t="n">
        <v>777845</v>
      </c>
      <c r="H427" s="97" t="n">
        <v>0.74</v>
      </c>
      <c r="I427" s="97" t="n">
        <v>16368</v>
      </c>
      <c r="J427" s="97" t="inlineStr">
        <is>
          <t>Y</t>
        </is>
      </c>
      <c r="K427" s="97" t="inlineStr">
        <is>
          <t>N</t>
        </is>
      </c>
      <c r="L427" s="97" t="inlineStr">
        <is>
          <t>N</t>
        </is>
      </c>
      <c r="M427" s="97" t="n">
        <v>26.5</v>
      </c>
      <c r="N427" s="97" t="inlineStr">
        <is>
          <t>N</t>
        </is>
      </c>
      <c r="O427" s="97" t="n">
        <v>10.45</v>
      </c>
      <c r="P427" s="97" t="inlineStr">
        <is>
          <t>N</t>
        </is>
      </c>
      <c r="Q427" s="97" t="inlineStr">
        <is>
          <t>N/A</t>
        </is>
      </c>
      <c r="R427" s="97" t="inlineStr">
        <is>
          <t>N</t>
        </is>
      </c>
      <c r="S427" s="97" t="n">
        <v>-5.8</v>
      </c>
      <c r="T427" s="97" t="n">
        <v>-5.1</v>
      </c>
      <c r="U427" s="97" t="inlineStr">
        <is>
          <t>N</t>
        </is>
      </c>
      <c r="V427" s="97" t="n">
        <v>51.5</v>
      </c>
      <c r="W427" s="97" t="n">
        <v>6.6</v>
      </c>
      <c r="X427" s="97" t="n">
        <v>9.470000000000001</v>
      </c>
      <c r="Y427" s="97" t="n">
        <v>886</v>
      </c>
      <c r="Z427" s="97" t="n">
        <v>2</v>
      </c>
      <c r="AA427" s="92" t="inlineStr">
        <is>
          <t>AVOID</t>
        </is>
      </c>
    </row>
    <row r="428">
      <c r="A428" s="99" t="inlineStr">
        <is>
          <t>TATACONSUM</t>
        </is>
      </c>
      <c r="B428" s="99" t="inlineStr">
        <is>
          <t>Tata Consumer Products Ltd.</t>
        </is>
      </c>
      <c r="C428" s="99" t="inlineStr">
        <is>
          <t>Fast Moving Consumer Goods</t>
        </is>
      </c>
      <c r="D428" s="99" t="inlineStr">
        <is>
          <t>Large/Midcap</t>
        </is>
      </c>
      <c r="E428" s="99" t="n">
        <v>1088</v>
      </c>
      <c r="F428" s="99" t="n">
        <v>-1.78</v>
      </c>
      <c r="G428" s="99" t="n">
        <v>1644917</v>
      </c>
      <c r="H428" s="99" t="n">
        <v>1.04</v>
      </c>
      <c r="I428" s="99" t="n">
        <v>107674</v>
      </c>
      <c r="J428" s="99" t="inlineStr">
        <is>
          <t>Y</t>
        </is>
      </c>
      <c r="K428" s="99" t="inlineStr">
        <is>
          <t>N</t>
        </is>
      </c>
      <c r="L428" s="99" t="inlineStr">
        <is>
          <t>N</t>
        </is>
      </c>
      <c r="M428" s="99" t="n">
        <v>40.3</v>
      </c>
      <c r="N428" s="99" t="inlineStr">
        <is>
          <t>N</t>
        </is>
      </c>
      <c r="O428" s="99" t="n">
        <v>22.23</v>
      </c>
      <c r="P428" s="99" t="inlineStr">
        <is>
          <t>N</t>
        </is>
      </c>
      <c r="Q428" s="99" t="inlineStr">
        <is>
          <t>N/A</t>
        </is>
      </c>
      <c r="R428" s="99" t="inlineStr">
        <is>
          <t>N</t>
        </is>
      </c>
      <c r="S428" s="99" t="n">
        <v>-2.8</v>
      </c>
      <c r="T428" s="99" t="n">
        <v>-5.5</v>
      </c>
      <c r="U428" s="99" t="inlineStr">
        <is>
          <t>N</t>
        </is>
      </c>
      <c r="V428" s="99" t="n">
        <v>65.8</v>
      </c>
      <c r="W428" s="99" t="inlineStr">
        <is>
          <t>N/A</t>
        </is>
      </c>
      <c r="X428" s="99" t="n">
        <v>12.16</v>
      </c>
      <c r="Y428" s="99" t="n">
        <v>9</v>
      </c>
      <c r="Z428" s="99" t="n">
        <v>2</v>
      </c>
      <c r="AA428" s="94" t="inlineStr">
        <is>
          <t>AVOID</t>
        </is>
      </c>
    </row>
    <row r="429">
      <c r="A429" s="97" t="inlineStr">
        <is>
          <t>TATAELXSI</t>
        </is>
      </c>
      <c r="B429" s="97" t="inlineStr">
        <is>
          <t>Tata Elxsi Ltd.</t>
        </is>
      </c>
      <c r="C429" s="97" t="inlineStr">
        <is>
          <t>Information Technology</t>
        </is>
      </c>
      <c r="D429" s="97" t="inlineStr">
        <is>
          <t>Large/Midcap</t>
        </is>
      </c>
      <c r="E429" s="97" t="n">
        <v>3538</v>
      </c>
      <c r="F429" s="97" t="n">
        <v>4.44</v>
      </c>
      <c r="G429" s="97" t="n">
        <v>1304975</v>
      </c>
      <c r="H429" s="97" t="n">
        <v>3.15</v>
      </c>
      <c r="I429" s="97" t="n">
        <v>22042</v>
      </c>
      <c r="J429" s="97" t="inlineStr">
        <is>
          <t>Y</t>
        </is>
      </c>
      <c r="K429" s="97" t="inlineStr">
        <is>
          <t>N</t>
        </is>
      </c>
      <c r="L429" s="97" t="inlineStr">
        <is>
          <t>N</t>
        </is>
      </c>
      <c r="M429" s="97" t="n">
        <v>44.1</v>
      </c>
      <c r="N429" s="97" t="inlineStr">
        <is>
          <t>N</t>
        </is>
      </c>
      <c r="O429" s="97" t="n">
        <v>111.31</v>
      </c>
      <c r="P429" s="97" t="inlineStr">
        <is>
          <t>Y</t>
        </is>
      </c>
      <c r="Q429" s="97" t="inlineStr">
        <is>
          <t>N/A</t>
        </is>
      </c>
      <c r="R429" s="97" t="inlineStr">
        <is>
          <t>N</t>
        </is>
      </c>
      <c r="S429" s="97" t="n">
        <v>-11.1</v>
      </c>
      <c r="T429" s="97" t="n">
        <v>-12.6</v>
      </c>
      <c r="U429" s="97" t="inlineStr">
        <is>
          <t>N</t>
        </is>
      </c>
      <c r="V429" s="97" t="n">
        <v>33.7</v>
      </c>
      <c r="W429" s="97" t="inlineStr">
        <is>
          <t>N/A</t>
        </is>
      </c>
      <c r="X429" s="97" t="n">
        <v>5.34</v>
      </c>
      <c r="Y429" s="97" t="n">
        <v>-22.6</v>
      </c>
      <c r="Z429" s="97" t="n">
        <v>2</v>
      </c>
      <c r="AA429" s="92" t="inlineStr">
        <is>
          <t>AVOID</t>
        </is>
      </c>
    </row>
    <row r="430">
      <c r="A430" s="99" t="inlineStr">
        <is>
          <t>TMPV</t>
        </is>
      </c>
      <c r="B430" s="99" t="inlineStr">
        <is>
          <t>Tata Motors Passenger Vehicles Ltd.</t>
        </is>
      </c>
      <c r="C430" s="99" t="inlineStr">
        <is>
          <t>Automobile and Auto Components</t>
        </is>
      </c>
      <c r="D430" s="99" t="inlineStr">
        <is>
          <t>Large/Midcap</t>
        </is>
      </c>
      <c r="E430" s="99" t="n">
        <v>323.8</v>
      </c>
      <c r="F430" s="99" t="n">
        <v>-0.15</v>
      </c>
      <c r="G430" s="99" t="n">
        <v>7171058</v>
      </c>
      <c r="H430" s="99" t="n">
        <v>1</v>
      </c>
      <c r="I430" s="99" t="n">
        <v>119242</v>
      </c>
      <c r="J430" s="99" t="inlineStr">
        <is>
          <t>Y</t>
        </is>
      </c>
      <c r="K430" s="99" t="inlineStr">
        <is>
          <t>N</t>
        </is>
      </c>
      <c r="L430" s="99" t="inlineStr">
        <is>
          <t>N</t>
        </is>
      </c>
      <c r="M430" s="99" t="n">
        <v>28.5</v>
      </c>
      <c r="N430" s="99" t="inlineStr">
        <is>
          <t>N</t>
        </is>
      </c>
      <c r="O430" s="99" t="n">
        <v>7.2</v>
      </c>
      <c r="P430" s="99" t="inlineStr">
        <is>
          <t>N</t>
        </is>
      </c>
      <c r="Q430" s="99" t="inlineStr">
        <is>
          <t>N/A</t>
        </is>
      </c>
      <c r="R430" s="99" t="inlineStr">
        <is>
          <t>N</t>
        </is>
      </c>
      <c r="S430" s="99" t="n">
        <v>-7.3</v>
      </c>
      <c r="T430" s="99" t="n">
        <v>-6.9</v>
      </c>
      <c r="U430" s="99" t="inlineStr">
        <is>
          <t>N</t>
        </is>
      </c>
      <c r="V430" s="99" t="inlineStr">
        <is>
          <t>N/A</t>
        </is>
      </c>
      <c r="W430" s="99" t="n">
        <v>-1.1</v>
      </c>
      <c r="X430" s="99" t="n">
        <v>70.36</v>
      </c>
      <c r="Y430" s="99" t="n">
        <v>265.9</v>
      </c>
      <c r="Z430" s="99" t="n">
        <v>2</v>
      </c>
      <c r="AA430" s="94" t="inlineStr">
        <is>
          <t>AVOID</t>
        </is>
      </c>
    </row>
    <row r="431">
      <c r="A431" s="97" t="inlineStr">
        <is>
          <t>TATAPOWER</t>
        </is>
      </c>
      <c r="B431" s="97" t="inlineStr">
        <is>
          <t>Tata Power Co. Ltd.</t>
        </is>
      </c>
      <c r="C431" s="97" t="inlineStr">
        <is>
          <t>Power</t>
        </is>
      </c>
      <c r="D431" s="97" t="inlineStr">
        <is>
          <t>Large/Midcap</t>
        </is>
      </c>
      <c r="E431" s="97" t="n">
        <v>374.4</v>
      </c>
      <c r="F431" s="97" t="n">
        <v>-0.47</v>
      </c>
      <c r="G431" s="97" t="n">
        <v>1700724</v>
      </c>
      <c r="H431" s="97" t="n">
        <v>0.74</v>
      </c>
      <c r="I431" s="97" t="n">
        <v>119634</v>
      </c>
      <c r="J431" s="97" t="inlineStr">
        <is>
          <t>Y</t>
        </is>
      </c>
      <c r="K431" s="97" t="inlineStr">
        <is>
          <t>N</t>
        </is>
      </c>
      <c r="L431" s="97" t="inlineStr">
        <is>
          <t>N</t>
        </is>
      </c>
      <c r="M431" s="97" t="n">
        <v>46.3</v>
      </c>
      <c r="N431" s="97" t="inlineStr">
        <is>
          <t>N</t>
        </is>
      </c>
      <c r="O431" s="97" t="n">
        <v>6.4</v>
      </c>
      <c r="P431" s="97" t="inlineStr">
        <is>
          <t>N</t>
        </is>
      </c>
      <c r="Q431" s="97" t="inlineStr">
        <is>
          <t>N/A</t>
        </is>
      </c>
      <c r="R431" s="97" t="inlineStr">
        <is>
          <t>N</t>
        </is>
      </c>
      <c r="S431" s="97" t="n">
        <v>-2.7</v>
      </c>
      <c r="T431" s="97" t="n">
        <v>-16</v>
      </c>
      <c r="U431" s="97" t="inlineStr">
        <is>
          <t>N</t>
        </is>
      </c>
      <c r="V431" s="97" t="n">
        <v>31.9</v>
      </c>
      <c r="W431" s="97" t="n">
        <v>11.3</v>
      </c>
      <c r="X431" s="97" t="n">
        <v>168.05</v>
      </c>
      <c r="Y431" s="97" t="n">
        <v>29</v>
      </c>
      <c r="Z431" s="97" t="n">
        <v>2</v>
      </c>
      <c r="AA431" s="92" t="inlineStr">
        <is>
          <t>AVOID</t>
        </is>
      </c>
    </row>
    <row r="432">
      <c r="A432" s="99" t="inlineStr">
        <is>
          <t>TATASTEEL</t>
        </is>
      </c>
      <c r="B432" s="99" t="inlineStr">
        <is>
          <t>Tata Steel Ltd.</t>
        </is>
      </c>
      <c r="C432" s="99" t="inlineStr">
        <is>
          <t>Metals &amp; Mining</t>
        </is>
      </c>
      <c r="D432" s="99" t="inlineStr">
        <is>
          <t>Large/Midcap</t>
        </is>
      </c>
      <c r="E432" s="99" t="n">
        <v>182.67</v>
      </c>
      <c r="F432" s="99" t="n">
        <v>-0.85</v>
      </c>
      <c r="G432" s="99" t="n">
        <v>16117953</v>
      </c>
      <c r="H432" s="99" t="n">
        <v>0.82</v>
      </c>
      <c r="I432" s="99" t="n">
        <v>227823</v>
      </c>
      <c r="J432" s="99" t="inlineStr">
        <is>
          <t>Y</t>
        </is>
      </c>
      <c r="K432" s="99" t="inlineStr">
        <is>
          <t>N</t>
        </is>
      </c>
      <c r="L432" s="99" t="inlineStr">
        <is>
          <t>N</t>
        </is>
      </c>
      <c r="M432" s="99" t="n">
        <v>30.5</v>
      </c>
      <c r="N432" s="99" t="inlineStr">
        <is>
          <t>N</t>
        </is>
      </c>
      <c r="O432" s="99" t="n">
        <v>3.37</v>
      </c>
      <c r="P432" s="99" t="inlineStr">
        <is>
          <t>N</t>
        </is>
      </c>
      <c r="Q432" s="99" t="inlineStr">
        <is>
          <t>N/A</t>
        </is>
      </c>
      <c r="R432" s="99" t="inlineStr">
        <is>
          <t>N</t>
        </is>
      </c>
      <c r="S432" s="99" t="n">
        <v>-2.1</v>
      </c>
      <c r="T432" s="99" t="n">
        <v>-13.1</v>
      </c>
      <c r="U432" s="99" t="inlineStr">
        <is>
          <t>N</t>
        </is>
      </c>
      <c r="V432" s="99" t="n">
        <v>21.1</v>
      </c>
      <c r="W432" s="99" t="n">
        <v>11.2</v>
      </c>
      <c r="X432" s="99" t="n">
        <v>89.02</v>
      </c>
      <c r="Y432" s="99" t="n">
        <v>8.800000000000001</v>
      </c>
      <c r="Z432" s="99" t="n">
        <v>2</v>
      </c>
      <c r="AA432" s="94" t="inlineStr">
        <is>
          <t>AVOID</t>
        </is>
      </c>
    </row>
    <row r="433">
      <c r="A433" s="97" t="inlineStr">
        <is>
          <t>TEGA</t>
        </is>
      </c>
      <c r="B433" s="97" t="inlineStr">
        <is>
          <t>Tega Industries Ltd.</t>
        </is>
      </c>
      <c r="C433" s="97" t="inlineStr">
        <is>
          <t>Capital Goods</t>
        </is>
      </c>
      <c r="D433" s="97" t="inlineStr">
        <is>
          <t>Smallcap</t>
        </is>
      </c>
      <c r="E433" s="97" t="n">
        <v>1560.3</v>
      </c>
      <c r="F433" s="97" t="n">
        <v>0.29</v>
      </c>
      <c r="G433" s="97" t="n">
        <v>65882</v>
      </c>
      <c r="H433" s="97" t="n">
        <v>0.93</v>
      </c>
      <c r="I433" s="97" t="n">
        <v>11722</v>
      </c>
      <c r="J433" s="97" t="inlineStr">
        <is>
          <t>Y</t>
        </is>
      </c>
      <c r="K433" s="97" t="inlineStr">
        <is>
          <t>N</t>
        </is>
      </c>
      <c r="L433" s="97" t="inlineStr">
        <is>
          <t>N</t>
        </is>
      </c>
      <c r="M433" s="97" t="n">
        <v>35.4</v>
      </c>
      <c r="N433" s="97" t="inlineStr">
        <is>
          <t>N</t>
        </is>
      </c>
      <c r="O433" s="97" t="n">
        <v>49.31</v>
      </c>
      <c r="P433" s="97" t="inlineStr">
        <is>
          <t>N</t>
        </is>
      </c>
      <c r="Q433" s="97" t="inlineStr">
        <is>
          <t>N/A</t>
        </is>
      </c>
      <c r="R433" s="97" t="inlineStr">
        <is>
          <t>N</t>
        </is>
      </c>
      <c r="S433" s="97" t="n">
        <v>-8.800000000000001</v>
      </c>
      <c r="T433" s="97" t="n">
        <v>-6.2</v>
      </c>
      <c r="U433" s="97" t="inlineStr">
        <is>
          <t>N</t>
        </is>
      </c>
      <c r="V433" s="97" t="n">
        <v>75.7</v>
      </c>
      <c r="W433" s="97" t="n">
        <v>5.9</v>
      </c>
      <c r="X433" s="97" t="n">
        <v>11.69</v>
      </c>
      <c r="Y433" s="97" t="n">
        <v>116.5</v>
      </c>
      <c r="Z433" s="97" t="n">
        <v>2</v>
      </c>
      <c r="AA433" s="92" t="inlineStr">
        <is>
          <t>AVOID</t>
        </is>
      </c>
    </row>
    <row r="434">
      <c r="A434" s="99" t="inlineStr">
        <is>
          <t>TIMKEN</t>
        </is>
      </c>
      <c r="B434" s="99" t="inlineStr">
        <is>
          <t>Timken India Ltd.</t>
        </is>
      </c>
      <c r="C434" s="99" t="inlineStr">
        <is>
          <t>Capital Goods</t>
        </is>
      </c>
      <c r="D434" s="99" t="inlineStr">
        <is>
          <t>Smallcap</t>
        </is>
      </c>
      <c r="E434" s="99" t="n">
        <v>3127</v>
      </c>
      <c r="F434" s="99" t="n">
        <v>1.42</v>
      </c>
      <c r="G434" s="99" t="n">
        <v>77943</v>
      </c>
      <c r="H434" s="99" t="n">
        <v>2.33</v>
      </c>
      <c r="I434" s="99" t="n">
        <v>23521</v>
      </c>
      <c r="J434" s="99" t="inlineStr">
        <is>
          <t>Y</t>
        </is>
      </c>
      <c r="K434" s="99" t="inlineStr">
        <is>
          <t>N</t>
        </is>
      </c>
      <c r="L434" s="99" t="inlineStr">
        <is>
          <t>N</t>
        </is>
      </c>
      <c r="M434" s="99" t="n">
        <v>23.9</v>
      </c>
      <c r="N434" s="99" t="inlineStr">
        <is>
          <t>N</t>
        </is>
      </c>
      <c r="O434" s="99" t="n">
        <v>77.09999999999999</v>
      </c>
      <c r="P434" s="99" t="inlineStr">
        <is>
          <t>N</t>
        </is>
      </c>
      <c r="Q434" s="99" t="inlineStr">
        <is>
          <t>N/A</t>
        </is>
      </c>
      <c r="R434" s="99" t="inlineStr">
        <is>
          <t>N</t>
        </is>
      </c>
      <c r="S434" s="99" t="n">
        <v>-13.4</v>
      </c>
      <c r="T434" s="99" t="n">
        <v>-8.6</v>
      </c>
      <c r="U434" s="99" t="inlineStr">
        <is>
          <t>N</t>
        </is>
      </c>
      <c r="V434" s="99" t="n">
        <v>56.8</v>
      </c>
      <c r="W434" s="99" t="n">
        <v>14.4</v>
      </c>
      <c r="X434" s="99" t="n">
        <v>0.5</v>
      </c>
      <c r="Y434" s="99" t="n">
        <v>190.2</v>
      </c>
      <c r="Z434" s="99" t="n">
        <v>2</v>
      </c>
      <c r="AA434" s="94" t="inlineStr">
        <is>
          <t>AVOID</t>
        </is>
      </c>
    </row>
    <row r="435">
      <c r="A435" s="97" t="inlineStr">
        <is>
          <t>TIINDIA</t>
        </is>
      </c>
      <c r="B435" s="97" t="inlineStr">
        <is>
          <t>Tube Investments of India Ltd.</t>
        </is>
      </c>
      <c r="C435" s="97" t="inlineStr">
        <is>
          <t>Automobile and Auto Components</t>
        </is>
      </c>
      <c r="D435" s="97" t="inlineStr">
        <is>
          <t>Large/Midcap</t>
        </is>
      </c>
      <c r="E435" s="97" t="n">
        <v>2767</v>
      </c>
      <c r="F435" s="97" t="n">
        <v>-2.04</v>
      </c>
      <c r="G435" s="97" t="n">
        <v>361452</v>
      </c>
      <c r="H435" s="97" t="n">
        <v>1.62</v>
      </c>
      <c r="I435" s="97" t="n">
        <v>53560</v>
      </c>
      <c r="J435" s="97" t="inlineStr">
        <is>
          <t>Y</t>
        </is>
      </c>
      <c r="K435" s="97" t="inlineStr">
        <is>
          <t>N</t>
        </is>
      </c>
      <c r="L435" s="97" t="inlineStr">
        <is>
          <t>N</t>
        </is>
      </c>
      <c r="M435" s="97" t="n">
        <v>23.4</v>
      </c>
      <c r="N435" s="97" t="inlineStr">
        <is>
          <t>N</t>
        </is>
      </c>
      <c r="O435" s="97" t="n">
        <v>78.76000000000001</v>
      </c>
      <c r="P435" s="97" t="inlineStr">
        <is>
          <t>Y</t>
        </is>
      </c>
      <c r="Q435" s="97" t="inlineStr">
        <is>
          <t>N/A</t>
        </is>
      </c>
      <c r="R435" s="97" t="inlineStr">
        <is>
          <t>N</t>
        </is>
      </c>
      <c r="S435" s="97" t="n">
        <v>-8.300000000000001</v>
      </c>
      <c r="T435" s="97" t="n">
        <v>-6.1</v>
      </c>
      <c r="U435" s="97" t="inlineStr">
        <is>
          <t>N</t>
        </is>
      </c>
      <c r="V435" s="97" t="n">
        <v>84</v>
      </c>
      <c r="W435" s="97" t="inlineStr">
        <is>
          <t>N/A</t>
        </is>
      </c>
      <c r="X435" s="97" t="n">
        <v>27.72</v>
      </c>
      <c r="Y435" s="97" t="n">
        <v>-48.5</v>
      </c>
      <c r="Z435" s="97" t="n">
        <v>2</v>
      </c>
      <c r="AA435" s="92" t="inlineStr">
        <is>
          <t>AVOID</t>
        </is>
      </c>
    </row>
    <row r="436">
      <c r="A436" s="99" t="inlineStr">
        <is>
          <t>UCOBANK</t>
        </is>
      </c>
      <c r="B436" s="99" t="inlineStr">
        <is>
          <t>UCO Bank</t>
        </is>
      </c>
      <c r="C436" s="99" t="inlineStr">
        <is>
          <t>Financial Services</t>
        </is>
      </c>
      <c r="D436" s="99" t="inlineStr">
        <is>
          <t>Smallcap</t>
        </is>
      </c>
      <c r="E436" s="99" t="n">
        <v>25.88</v>
      </c>
      <c r="F436" s="99" t="n">
        <v>-0.46</v>
      </c>
      <c r="G436" s="99" t="n">
        <v>4743797</v>
      </c>
      <c r="H436" s="99" t="n">
        <v>0.86</v>
      </c>
      <c r="I436" s="99" t="n">
        <v>32452</v>
      </c>
      <c r="J436" s="99" t="inlineStr">
        <is>
          <t>Y</t>
        </is>
      </c>
      <c r="K436" s="99" t="inlineStr">
        <is>
          <t>N</t>
        </is>
      </c>
      <c r="L436" s="99" t="inlineStr">
        <is>
          <t>N</t>
        </is>
      </c>
      <c r="M436" s="99" t="n">
        <v>40.7</v>
      </c>
      <c r="N436" s="99" t="inlineStr">
        <is>
          <t>N</t>
        </is>
      </c>
      <c r="O436" s="99" t="n">
        <v>0.6</v>
      </c>
      <c r="P436" s="99" t="inlineStr">
        <is>
          <t>N</t>
        </is>
      </c>
      <c r="Q436" s="99" t="inlineStr">
        <is>
          <t>N/A</t>
        </is>
      </c>
      <c r="R436" s="99" t="inlineStr">
        <is>
          <t>N</t>
        </is>
      </c>
      <c r="S436" s="99" t="n">
        <v>-3.7</v>
      </c>
      <c r="T436" s="99" t="n">
        <v>-0.6</v>
      </c>
      <c r="U436" s="99" t="inlineStr">
        <is>
          <t>N</t>
        </is>
      </c>
      <c r="V436" s="99" t="n">
        <v>11.5</v>
      </c>
      <c r="W436" s="99" t="n">
        <v>8.5</v>
      </c>
      <c r="X436" s="99" t="inlineStr">
        <is>
          <t>N/A</t>
        </is>
      </c>
      <c r="Y436" s="99" t="n">
        <v>8.300000000000001</v>
      </c>
      <c r="Z436" s="99" t="n">
        <v>2</v>
      </c>
      <c r="AA436" s="94" t="inlineStr">
        <is>
          <t>AVOID</t>
        </is>
      </c>
    </row>
    <row r="437">
      <c r="A437" s="97" t="inlineStr">
        <is>
          <t>UPL</t>
        </is>
      </c>
      <c r="B437" s="97" t="inlineStr">
        <is>
          <t>UPL Ltd.</t>
        </is>
      </c>
      <c r="C437" s="97" t="inlineStr">
        <is>
          <t>Chemicals</t>
        </is>
      </c>
      <c r="D437" s="97" t="inlineStr">
        <is>
          <t>Large/Midcap</t>
        </is>
      </c>
      <c r="E437" s="97" t="n">
        <v>602.45</v>
      </c>
      <c r="F437" s="97" t="n">
        <v>-0.75</v>
      </c>
      <c r="G437" s="97" t="n">
        <v>622872</v>
      </c>
      <c r="H437" s="97" t="n">
        <v>0.47</v>
      </c>
      <c r="I437" s="97" t="n">
        <v>50924</v>
      </c>
      <c r="J437" s="97" t="inlineStr">
        <is>
          <t>Y</t>
        </is>
      </c>
      <c r="K437" s="97" t="inlineStr">
        <is>
          <t>N</t>
        </is>
      </c>
      <c r="L437" s="97" t="inlineStr">
        <is>
          <t>N</t>
        </is>
      </c>
      <c r="M437" s="97" t="n">
        <v>49.8</v>
      </c>
      <c r="N437" s="97" t="inlineStr">
        <is>
          <t>N</t>
        </is>
      </c>
      <c r="O437" s="97" t="n">
        <v>15.79</v>
      </c>
      <c r="P437" s="97" t="inlineStr">
        <is>
          <t>N</t>
        </is>
      </c>
      <c r="Q437" s="97" t="inlineStr">
        <is>
          <t>N/A</t>
        </is>
      </c>
      <c r="R437" s="97" t="inlineStr">
        <is>
          <t>N</t>
        </is>
      </c>
      <c r="S437" s="97" t="n">
        <v>4.1</v>
      </c>
      <c r="T437" s="97" t="n">
        <v>-5</v>
      </c>
      <c r="U437" s="97" t="inlineStr">
        <is>
          <t>N</t>
        </is>
      </c>
      <c r="V437" s="97" t="n">
        <v>27</v>
      </c>
      <c r="W437" s="97" t="n">
        <v>5.6</v>
      </c>
      <c r="X437" s="97" t="n">
        <v>57.13</v>
      </c>
      <c r="Y437" s="97" t="n">
        <v>167.9</v>
      </c>
      <c r="Z437" s="97" t="n">
        <v>2</v>
      </c>
      <c r="AA437" s="92" t="inlineStr">
        <is>
          <t>AVOID</t>
        </is>
      </c>
    </row>
    <row r="438">
      <c r="A438" s="99" t="inlineStr">
        <is>
          <t>URBANCO</t>
        </is>
      </c>
      <c r="B438" s="99" t="inlineStr">
        <is>
          <t>Urban Company Ltd.</t>
        </is>
      </c>
      <c r="C438" s="99" t="inlineStr">
        <is>
          <t>Consumer Services</t>
        </is>
      </c>
      <c r="D438" s="99" t="inlineStr">
        <is>
          <t>Smallcap</t>
        </is>
      </c>
      <c r="E438" s="99" t="n">
        <v>129.76</v>
      </c>
      <c r="F438" s="99" t="n">
        <v>-0.63</v>
      </c>
      <c r="G438" s="99" t="n">
        <v>1214127</v>
      </c>
      <c r="H438" s="99" t="n">
        <v>0.93</v>
      </c>
      <c r="I438" s="99" t="n">
        <v>18973</v>
      </c>
      <c r="J438" s="99" t="inlineStr">
        <is>
          <t>Y</t>
        </is>
      </c>
      <c r="K438" s="99" t="inlineStr">
        <is>
          <t>Y</t>
        </is>
      </c>
      <c r="L438" s="99" t="inlineStr">
        <is>
          <t>N</t>
        </is>
      </c>
      <c r="M438" s="99" t="n">
        <v>44</v>
      </c>
      <c r="N438" s="99" t="inlineStr">
        <is>
          <t>N</t>
        </is>
      </c>
      <c r="O438" s="99" t="n">
        <v>4.68</v>
      </c>
      <c r="P438" s="99" t="inlineStr">
        <is>
          <t>N</t>
        </is>
      </c>
      <c r="Q438" s="99" t="inlineStr">
        <is>
          <t>N/A</t>
        </is>
      </c>
      <c r="R438" s="99" t="inlineStr">
        <is>
          <t>N</t>
        </is>
      </c>
      <c r="S438" s="99" t="n">
        <v>1</v>
      </c>
      <c r="T438" s="99" t="n">
        <v>-11.5</v>
      </c>
      <c r="U438" s="99" t="inlineStr">
        <is>
          <t>N</t>
        </is>
      </c>
      <c r="V438" s="99" t="inlineStr">
        <is>
          <t>N/A</t>
        </is>
      </c>
      <c r="W438" s="99" t="n">
        <v>-11.9</v>
      </c>
      <c r="X438" s="99" t="n">
        <v>6.33</v>
      </c>
      <c r="Y438" s="99" t="n">
        <v>-658</v>
      </c>
      <c r="Z438" s="99" t="n">
        <v>2</v>
      </c>
      <c r="AA438" s="94" t="inlineStr">
        <is>
          <t>AVOID</t>
        </is>
      </c>
    </row>
    <row r="439">
      <c r="A439" s="97" t="inlineStr">
        <is>
          <t>VBL</t>
        </is>
      </c>
      <c r="B439" s="97" t="inlineStr">
        <is>
          <t>Varun Beverages Ltd.</t>
        </is>
      </c>
      <c r="C439" s="97" t="inlineStr">
        <is>
          <t>Fast Moving Consumer Goods</t>
        </is>
      </c>
      <c r="D439" s="97" t="inlineStr">
        <is>
          <t>Large/Midcap</t>
        </is>
      </c>
      <c r="E439" s="97" t="n">
        <v>457.2</v>
      </c>
      <c r="F439" s="97" t="n">
        <v>-0.4</v>
      </c>
      <c r="G439" s="97" t="n">
        <v>2597541</v>
      </c>
      <c r="H439" s="97" t="n">
        <v>0.48</v>
      </c>
      <c r="I439" s="97" t="n">
        <v>154646</v>
      </c>
      <c r="J439" s="97" t="inlineStr">
        <is>
          <t>Y</t>
        </is>
      </c>
      <c r="K439" s="97" t="inlineStr">
        <is>
          <t>N</t>
        </is>
      </c>
      <c r="L439" s="97" t="inlineStr">
        <is>
          <t>N</t>
        </is>
      </c>
      <c r="M439" s="97" t="n">
        <v>22.8</v>
      </c>
      <c r="N439" s="97" t="inlineStr">
        <is>
          <t>N</t>
        </is>
      </c>
      <c r="O439" s="97" t="n">
        <v>10.47</v>
      </c>
      <c r="P439" s="97" t="inlineStr">
        <is>
          <t>N</t>
        </is>
      </c>
      <c r="Q439" s="97" t="inlineStr">
        <is>
          <t>N/A</t>
        </is>
      </c>
      <c r="R439" s="97" t="inlineStr">
        <is>
          <t>N</t>
        </is>
      </c>
      <c r="S439" s="97" t="n">
        <v>-8.9</v>
      </c>
      <c r="T439" s="97" t="n">
        <v>-12</v>
      </c>
      <c r="U439" s="97" t="inlineStr">
        <is>
          <t>N</t>
        </is>
      </c>
      <c r="V439" s="97" t="n">
        <v>48.5</v>
      </c>
      <c r="W439" s="97" t="inlineStr">
        <is>
          <t>N/A</t>
        </is>
      </c>
      <c r="X439" s="97" t="n">
        <v>12.71</v>
      </c>
      <c r="Y439" s="97" t="n">
        <v>246.5</v>
      </c>
      <c r="Z439" s="97" t="n">
        <v>2</v>
      </c>
      <c r="AA439" s="92" t="inlineStr">
        <is>
          <t>AVOID</t>
        </is>
      </c>
    </row>
    <row r="440">
      <c r="A440" s="99" t="inlineStr">
        <is>
          <t>VMM</t>
        </is>
      </c>
      <c r="B440" s="99" t="inlineStr">
        <is>
          <t>Vishal Mega Mart Ltd.</t>
        </is>
      </c>
      <c r="C440" s="99" t="inlineStr">
        <is>
          <t>Consumer Services</t>
        </is>
      </c>
      <c r="D440" s="99" t="inlineStr">
        <is>
          <t>Large/Midcap</t>
        </is>
      </c>
      <c r="E440" s="99" t="n">
        <v>108.04</v>
      </c>
      <c r="F440" s="99" t="n">
        <v>-1.67</v>
      </c>
      <c r="G440" s="99" t="n">
        <v>11375041</v>
      </c>
      <c r="H440" s="99" t="n">
        <v>0.6899999999999999</v>
      </c>
      <c r="I440" s="99" t="n">
        <v>50609</v>
      </c>
      <c r="J440" s="99" t="inlineStr">
        <is>
          <t>Y</t>
        </is>
      </c>
      <c r="K440" s="99" t="inlineStr">
        <is>
          <t>N</t>
        </is>
      </c>
      <c r="L440" s="99" t="inlineStr">
        <is>
          <t>N</t>
        </is>
      </c>
      <c r="M440" s="99" t="n">
        <v>26.2</v>
      </c>
      <c r="N440" s="99" t="inlineStr">
        <is>
          <t>N</t>
        </is>
      </c>
      <c r="O440" s="99" t="n">
        <v>3.17</v>
      </c>
      <c r="P440" s="99" t="inlineStr">
        <is>
          <t>N</t>
        </is>
      </c>
      <c r="Q440" s="99" t="inlineStr">
        <is>
          <t>N/A</t>
        </is>
      </c>
      <c r="R440" s="99" t="inlineStr">
        <is>
          <t>N</t>
        </is>
      </c>
      <c r="S440" s="99" t="n">
        <v>-6.1</v>
      </c>
      <c r="T440" s="99" t="n">
        <v>-11.5</v>
      </c>
      <c r="U440" s="99" t="inlineStr">
        <is>
          <t>N</t>
        </is>
      </c>
      <c r="V440" s="99" t="n">
        <v>56.9</v>
      </c>
      <c r="W440" s="99" t="inlineStr">
        <is>
          <t>N/A</t>
        </is>
      </c>
      <c r="X440" s="99" t="n">
        <v>26.82</v>
      </c>
      <c r="Y440" s="99" t="n">
        <v>54.1</v>
      </c>
      <c r="Z440" s="99" t="n">
        <v>2</v>
      </c>
      <c r="AA440" s="94" t="inlineStr">
        <is>
          <t>AVOID</t>
        </is>
      </c>
    </row>
    <row r="441">
      <c r="A441" s="97" t="inlineStr">
        <is>
          <t>WAAREEENER</t>
        </is>
      </c>
      <c r="B441" s="97" t="inlineStr">
        <is>
          <t>Waaree Energies Ltd.</t>
        </is>
      </c>
      <c r="C441" s="97" t="inlineStr">
        <is>
          <t>Capital Goods</t>
        </is>
      </c>
      <c r="D441" s="97" t="inlineStr">
        <is>
          <t>Large/Midcap</t>
        </is>
      </c>
      <c r="E441" s="97" t="n">
        <v>2702</v>
      </c>
      <c r="F441" s="97" t="n">
        <v>-0.36</v>
      </c>
      <c r="G441" s="97" t="n">
        <v>431356</v>
      </c>
      <c r="H441" s="97" t="n">
        <v>0.44</v>
      </c>
      <c r="I441" s="97" t="n">
        <v>77723</v>
      </c>
      <c r="J441" s="97" t="inlineStr">
        <is>
          <t>Y</t>
        </is>
      </c>
      <c r="K441" s="97" t="inlineStr">
        <is>
          <t>N</t>
        </is>
      </c>
      <c r="L441" s="97" t="inlineStr">
        <is>
          <t>N</t>
        </is>
      </c>
      <c r="M441" s="97" t="n">
        <v>31</v>
      </c>
      <c r="N441" s="97" t="inlineStr">
        <is>
          <t>N</t>
        </is>
      </c>
      <c r="O441" s="97" t="n">
        <v>66.20999999999999</v>
      </c>
      <c r="P441" s="97" t="inlineStr">
        <is>
          <t>N</t>
        </is>
      </c>
      <c r="Q441" s="97" t="inlineStr">
        <is>
          <t>N/A</t>
        </is>
      </c>
      <c r="R441" s="97" t="inlineStr">
        <is>
          <t>N</t>
        </is>
      </c>
      <c r="S441" s="97" t="n">
        <v>-9.199999999999999</v>
      </c>
      <c r="T441" s="97" t="n">
        <v>-22.3</v>
      </c>
      <c r="U441" s="97" t="inlineStr">
        <is>
          <t>N</t>
        </is>
      </c>
      <c r="V441" s="97" t="n">
        <v>21</v>
      </c>
      <c r="W441" s="97" t="n">
        <v>31.6</v>
      </c>
      <c r="X441" s="97" t="n">
        <v>21.4</v>
      </c>
      <c r="Y441" s="97" t="n">
        <v>-0.1</v>
      </c>
      <c r="Z441" s="97" t="n">
        <v>2</v>
      </c>
      <c r="AA441" s="92" t="inlineStr">
        <is>
          <t>AVOID</t>
        </is>
      </c>
    </row>
    <row r="442">
      <c r="A442" s="99" t="inlineStr">
        <is>
          <t>WHIRLPOOL</t>
        </is>
      </c>
      <c r="B442" s="99" t="inlineStr">
        <is>
          <t>Whirlpool of India Ltd.</t>
        </is>
      </c>
      <c r="C442" s="99" t="inlineStr">
        <is>
          <t>Consumer Durables</t>
        </is>
      </c>
      <c r="D442" s="99" t="inlineStr">
        <is>
          <t>Smallcap</t>
        </is>
      </c>
      <c r="E442" s="99" t="n">
        <v>771.45</v>
      </c>
      <c r="F442" s="99" t="n">
        <v>0.09</v>
      </c>
      <c r="G442" s="99" t="n">
        <v>138135</v>
      </c>
      <c r="H442" s="99" t="n">
        <v>0.24</v>
      </c>
      <c r="I442" s="99" t="n">
        <v>9791</v>
      </c>
      <c r="J442" s="99" t="inlineStr">
        <is>
          <t>Y</t>
        </is>
      </c>
      <c r="K442" s="99" t="inlineStr">
        <is>
          <t>N</t>
        </is>
      </c>
      <c r="L442" s="99" t="inlineStr">
        <is>
          <t>N</t>
        </is>
      </c>
      <c r="M442" s="99" t="n">
        <v>34.4</v>
      </c>
      <c r="N442" s="99" t="inlineStr">
        <is>
          <t>N</t>
        </is>
      </c>
      <c r="O442" s="99" t="n">
        <v>17.49</v>
      </c>
      <c r="P442" s="99" t="inlineStr">
        <is>
          <t>N</t>
        </is>
      </c>
      <c r="Q442" s="99" t="inlineStr">
        <is>
          <t>N/A</t>
        </is>
      </c>
      <c r="R442" s="99" t="inlineStr">
        <is>
          <t>N</t>
        </is>
      </c>
      <c r="S442" s="99" t="n">
        <v>-2.8</v>
      </c>
      <c r="T442" s="99" t="n">
        <v>-21.9</v>
      </c>
      <c r="U442" s="99" t="inlineStr">
        <is>
          <t>N</t>
        </is>
      </c>
      <c r="V442" s="99" t="n">
        <v>33.3</v>
      </c>
      <c r="W442" s="99" t="n">
        <v>7.2</v>
      </c>
      <c r="X442" s="99" t="n">
        <v>8.619999999999999</v>
      </c>
      <c r="Y442" s="99" t="n">
        <v>202.8</v>
      </c>
      <c r="Z442" s="99" t="n">
        <v>2</v>
      </c>
      <c r="AA442" s="94" t="inlineStr">
        <is>
          <t>AVOID</t>
        </is>
      </c>
    </row>
    <row r="443">
      <c r="A443" s="97" t="inlineStr">
        <is>
          <t>ABLBL</t>
        </is>
      </c>
      <c r="B443" s="97" t="inlineStr">
        <is>
          <t>Aditya Birla Lifestyle Brands Ltd.</t>
        </is>
      </c>
      <c r="C443" s="97" t="inlineStr">
        <is>
          <t>Consumer Services</t>
        </is>
      </c>
      <c r="D443" s="97" t="inlineStr">
        <is>
          <t>Smallcap</t>
        </is>
      </c>
      <c r="E443" s="97" t="n">
        <v>94.01000000000001</v>
      </c>
      <c r="F443" s="97" t="n">
        <v>1.25</v>
      </c>
      <c r="G443" s="97" t="n">
        <v>276457</v>
      </c>
      <c r="H443" s="97" t="n">
        <v>0.79</v>
      </c>
      <c r="I443" s="97" t="n">
        <v>11419</v>
      </c>
      <c r="J443" s="97" t="inlineStr">
        <is>
          <t>Y</t>
        </is>
      </c>
      <c r="K443" s="97" t="inlineStr">
        <is>
          <t>N</t>
        </is>
      </c>
      <c r="L443" s="97" t="inlineStr">
        <is>
          <t>N</t>
        </is>
      </c>
      <c r="M443" s="97" t="n">
        <v>42.5</v>
      </c>
      <c r="N443" s="97" t="inlineStr">
        <is>
          <t>N</t>
        </is>
      </c>
      <c r="O443" s="97" t="n">
        <v>2.27</v>
      </c>
      <c r="P443" s="97" t="inlineStr">
        <is>
          <t>N</t>
        </is>
      </c>
      <c r="Q443" s="97" t="inlineStr">
        <is>
          <t>N/A</t>
        </is>
      </c>
      <c r="R443" s="97" t="inlineStr">
        <is>
          <t>N</t>
        </is>
      </c>
      <c r="S443" s="97" t="n">
        <v>-2.6</v>
      </c>
      <c r="T443" s="97" t="n">
        <v>-9.9</v>
      </c>
      <c r="U443" s="97" t="inlineStr">
        <is>
          <t>N</t>
        </is>
      </c>
      <c r="V443" s="97" t="n">
        <v>66.7</v>
      </c>
      <c r="W443" s="97" t="n">
        <v>12.7</v>
      </c>
      <c r="X443" s="97" t="n">
        <v>213.72</v>
      </c>
      <c r="Y443" s="97" t="n">
        <v>-21</v>
      </c>
      <c r="Z443" s="97" t="n">
        <v>1</v>
      </c>
      <c r="AA443" s="92" t="inlineStr">
        <is>
          <t>AVOID</t>
        </is>
      </c>
    </row>
    <row r="444">
      <c r="A444" s="99" t="inlineStr">
        <is>
          <t>AFCONS</t>
        </is>
      </c>
      <c r="B444" s="99" t="inlineStr">
        <is>
          <t>Afcons Infrastructure Ltd.</t>
        </is>
      </c>
      <c r="C444" s="99" t="inlineStr">
        <is>
          <t>Construction</t>
        </is>
      </c>
      <c r="D444" s="99" t="inlineStr">
        <is>
          <t>Smallcap</t>
        </is>
      </c>
      <c r="E444" s="99" t="n">
        <v>285.95</v>
      </c>
      <c r="F444" s="99" t="n">
        <v>0.76</v>
      </c>
      <c r="G444" s="99" t="n">
        <v>718967</v>
      </c>
      <c r="H444" s="99" t="n">
        <v>0.71</v>
      </c>
      <c r="I444" s="99" t="n">
        <v>10517</v>
      </c>
      <c r="J444" s="99" t="inlineStr">
        <is>
          <t>Y</t>
        </is>
      </c>
      <c r="K444" s="99" t="inlineStr">
        <is>
          <t>N</t>
        </is>
      </c>
      <c r="L444" s="99" t="inlineStr">
        <is>
          <t>N</t>
        </is>
      </c>
      <c r="M444" s="99" t="n">
        <v>28.3</v>
      </c>
      <c r="N444" s="99" t="inlineStr">
        <is>
          <t>N</t>
        </is>
      </c>
      <c r="O444" s="99" t="n">
        <v>8.81</v>
      </c>
      <c r="P444" s="99" t="inlineStr">
        <is>
          <t>N</t>
        </is>
      </c>
      <c r="Q444" s="99" t="inlineStr">
        <is>
          <t>N/A</t>
        </is>
      </c>
      <c r="R444" s="99" t="inlineStr">
        <is>
          <t>N</t>
        </is>
      </c>
      <c r="S444" s="99" t="n">
        <v>-8.800000000000001</v>
      </c>
      <c r="T444" s="99" t="n">
        <v>-11.3</v>
      </c>
      <c r="U444" s="99" t="inlineStr">
        <is>
          <t>N</t>
        </is>
      </c>
      <c r="V444" s="99" t="n">
        <v>41.9</v>
      </c>
      <c r="W444" s="99" t="n">
        <v>4.7</v>
      </c>
      <c r="X444" s="99" t="n">
        <v>66.54000000000001</v>
      </c>
      <c r="Y444" s="99" t="n">
        <v>-191</v>
      </c>
      <c r="Z444" s="99" t="n">
        <v>1</v>
      </c>
      <c r="AA444" s="94" t="inlineStr">
        <is>
          <t>AVOID</t>
        </is>
      </c>
    </row>
    <row r="445">
      <c r="A445" s="97" t="inlineStr">
        <is>
          <t>BALKRISIND</t>
        </is>
      </c>
      <c r="B445" s="97" t="inlineStr">
        <is>
          <t>Balkrishna Industries Ltd.</t>
        </is>
      </c>
      <c r="C445" s="97" t="inlineStr">
        <is>
          <t>Automobile and Auto Components</t>
        </is>
      </c>
      <c r="D445" s="97" t="inlineStr">
        <is>
          <t>Large/Midcap</t>
        </is>
      </c>
      <c r="E445" s="97" t="n">
        <v>2013.5</v>
      </c>
      <c r="F445" s="97" t="n">
        <v>0.1</v>
      </c>
      <c r="G445" s="97" t="n">
        <v>64236</v>
      </c>
      <c r="H445" s="97" t="n">
        <v>0.33</v>
      </c>
      <c r="I445" s="97" t="n">
        <v>38924</v>
      </c>
      <c r="J445" s="97" t="inlineStr">
        <is>
          <t>Y</t>
        </is>
      </c>
      <c r="K445" s="97" t="inlineStr">
        <is>
          <t>N</t>
        </is>
      </c>
      <c r="L445" s="97" t="inlineStr">
        <is>
          <t>N</t>
        </is>
      </c>
      <c r="M445" s="97" t="n">
        <v>30.1</v>
      </c>
      <c r="N445" s="97" t="inlineStr">
        <is>
          <t>N</t>
        </is>
      </c>
      <c r="O445" s="97" t="n">
        <v>66.38</v>
      </c>
      <c r="P445" s="97" t="inlineStr">
        <is>
          <t>N</t>
        </is>
      </c>
      <c r="Q445" s="97" t="inlineStr">
        <is>
          <t>N/A</t>
        </is>
      </c>
      <c r="R445" s="97" t="inlineStr">
        <is>
          <t>N</t>
        </is>
      </c>
      <c r="S445" s="97" t="n">
        <v>-8.6</v>
      </c>
      <c r="T445" s="97" t="n">
        <v>-7.3</v>
      </c>
      <c r="U445" s="97" t="inlineStr">
        <is>
          <t>N</t>
        </is>
      </c>
      <c r="V445" s="97" t="n">
        <v>31.3</v>
      </c>
      <c r="W445" s="97" t="inlineStr">
        <is>
          <t>N/A</t>
        </is>
      </c>
      <c r="X445" s="97" t="n">
        <v>35.27</v>
      </c>
      <c r="Y445" s="97" t="n">
        <v>-21.6</v>
      </c>
      <c r="Z445" s="97" t="n">
        <v>1</v>
      </c>
      <c r="AA445" s="92" t="inlineStr">
        <is>
          <t>AVOID</t>
        </is>
      </c>
    </row>
    <row r="446">
      <c r="A446" s="99" t="inlineStr">
        <is>
          <t>BANDHANBNK</t>
        </is>
      </c>
      <c r="B446" s="99" t="inlineStr">
        <is>
          <t>Bandhan Bank Ltd.</t>
        </is>
      </c>
      <c r="C446" s="99" t="inlineStr">
        <is>
          <t>Financial Services</t>
        </is>
      </c>
      <c r="D446" s="99" t="inlineStr">
        <is>
          <t>Smallcap</t>
        </is>
      </c>
      <c r="E446" s="99" t="n">
        <v>165.93</v>
      </c>
      <c r="F446" s="99" t="n">
        <v>0.05</v>
      </c>
      <c r="G446" s="99" t="n">
        <v>29585433</v>
      </c>
      <c r="H446" s="99" t="n">
        <v>0.41</v>
      </c>
      <c r="I446" s="99" t="n">
        <v>26733</v>
      </c>
      <c r="J446" s="99" t="inlineStr">
        <is>
          <t>Y</t>
        </is>
      </c>
      <c r="K446" s="99" t="inlineStr">
        <is>
          <t>N</t>
        </is>
      </c>
      <c r="L446" s="99" t="inlineStr">
        <is>
          <t>N</t>
        </is>
      </c>
      <c r="M446" s="99" t="n">
        <v>27.7</v>
      </c>
      <c r="N446" s="99" t="inlineStr">
        <is>
          <t>N</t>
        </is>
      </c>
      <c r="O446" s="99" t="n">
        <v>10</v>
      </c>
      <c r="P446" s="99" t="inlineStr">
        <is>
          <t>N</t>
        </is>
      </c>
      <c r="Q446" s="99" t="inlineStr">
        <is>
          <t>N/A</t>
        </is>
      </c>
      <c r="R446" s="99" t="inlineStr">
        <is>
          <t>N</t>
        </is>
      </c>
      <c r="S446" s="99" t="n">
        <v>-16.7</v>
      </c>
      <c r="T446" s="99" t="n">
        <v>-15.8</v>
      </c>
      <c r="U446" s="99" t="inlineStr">
        <is>
          <t>N</t>
        </is>
      </c>
      <c r="V446" s="99" t="n">
        <v>19.8</v>
      </c>
      <c r="W446" s="99" t="inlineStr">
        <is>
          <t>N/A</t>
        </is>
      </c>
      <c r="X446" s="99" t="inlineStr">
        <is>
          <t>N/A</t>
        </is>
      </c>
      <c r="Y446" s="99" t="n">
        <v>-6.1</v>
      </c>
      <c r="Z446" s="99" t="n">
        <v>1</v>
      </c>
      <c r="AA446" s="94" t="inlineStr">
        <is>
          <t>AVOID</t>
        </is>
      </c>
    </row>
    <row r="447">
      <c r="A447" s="97" t="inlineStr">
        <is>
          <t>FIRSTCRY</t>
        </is>
      </c>
      <c r="B447" s="97" t="inlineStr">
        <is>
          <t>Brainbees Solutions Ltd.</t>
        </is>
      </c>
      <c r="C447" s="97" t="inlineStr">
        <is>
          <t>Consumer Services</t>
        </is>
      </c>
      <c r="D447" s="97" t="inlineStr">
        <is>
          <t>Smallcap</t>
        </is>
      </c>
      <c r="E447" s="97" t="n">
        <v>208.3</v>
      </c>
      <c r="F447" s="97" t="n">
        <v>-0.5</v>
      </c>
      <c r="G447" s="97" t="n">
        <v>348144</v>
      </c>
      <c r="H447" s="97" t="n">
        <v>0.7</v>
      </c>
      <c r="I447" s="97" t="n">
        <v>10110</v>
      </c>
      <c r="J447" s="97" t="inlineStr">
        <is>
          <t>Y</t>
        </is>
      </c>
      <c r="K447" s="97" t="inlineStr">
        <is>
          <t>N</t>
        </is>
      </c>
      <c r="L447" s="97" t="inlineStr">
        <is>
          <t>N</t>
        </is>
      </c>
      <c r="M447" s="97" t="n">
        <v>39.7</v>
      </c>
      <c r="N447" s="97" t="inlineStr">
        <is>
          <t>N</t>
        </is>
      </c>
      <c r="O447" s="97" t="n">
        <v>6.19</v>
      </c>
      <c r="P447" s="97" t="inlineStr">
        <is>
          <t>N</t>
        </is>
      </c>
      <c r="Q447" s="97" t="inlineStr">
        <is>
          <t>N/A</t>
        </is>
      </c>
      <c r="R447" s="97" t="inlineStr">
        <is>
          <t>N</t>
        </is>
      </c>
      <c r="S447" s="97" t="n">
        <v>-5.5</v>
      </c>
      <c r="T447" s="97" t="n">
        <v>-13.1</v>
      </c>
      <c r="U447" s="97" t="inlineStr">
        <is>
          <t>N</t>
        </is>
      </c>
      <c r="V447" s="97" t="inlineStr">
        <is>
          <t>N/A</t>
        </is>
      </c>
      <c r="W447" s="97" t="n">
        <v>-3.8</v>
      </c>
      <c r="X447" s="97" t="n">
        <v>29.76</v>
      </c>
      <c r="Y447" s="97" t="n">
        <v>-6.6</v>
      </c>
      <c r="Z447" s="97" t="n">
        <v>1</v>
      </c>
      <c r="AA447" s="92" t="inlineStr">
        <is>
          <t>AVOID</t>
        </is>
      </c>
    </row>
    <row r="448">
      <c r="A448" s="99" t="inlineStr">
        <is>
          <t>CANFINHOME</t>
        </is>
      </c>
      <c r="B448" s="99" t="inlineStr">
        <is>
          <t>Can Fin Homes Ltd.</t>
        </is>
      </c>
      <c r="C448" s="99" t="inlineStr">
        <is>
          <t>Financial Services</t>
        </is>
      </c>
      <c r="D448" s="99" t="inlineStr">
        <is>
          <t>Smallcap</t>
        </is>
      </c>
      <c r="E448" s="99" t="n">
        <v>813.9</v>
      </c>
      <c r="F448" s="99" t="n">
        <v>-0.57</v>
      </c>
      <c r="G448" s="99" t="n">
        <v>317704</v>
      </c>
      <c r="H448" s="99" t="n">
        <v>0.8100000000000001</v>
      </c>
      <c r="I448" s="99" t="n">
        <v>10837</v>
      </c>
      <c r="J448" s="99" t="inlineStr">
        <is>
          <t>Y</t>
        </is>
      </c>
      <c r="K448" s="99" t="inlineStr">
        <is>
          <t>N</t>
        </is>
      </c>
      <c r="L448" s="99" t="inlineStr">
        <is>
          <t>N</t>
        </is>
      </c>
      <c r="M448" s="99" t="n">
        <v>23.8</v>
      </c>
      <c r="N448" s="99" t="inlineStr">
        <is>
          <t>N</t>
        </is>
      </c>
      <c r="O448" s="99" t="n">
        <v>27.45</v>
      </c>
      <c r="P448" s="99" t="inlineStr">
        <is>
          <t>N</t>
        </is>
      </c>
      <c r="Q448" s="99" t="inlineStr">
        <is>
          <t>N/A</t>
        </is>
      </c>
      <c r="R448" s="99" t="inlineStr">
        <is>
          <t>N</t>
        </is>
      </c>
      <c r="S448" s="99" t="n">
        <v>-6.3</v>
      </c>
      <c r="T448" s="99" t="n">
        <v>-5.2</v>
      </c>
      <c r="U448" s="99" t="inlineStr">
        <is>
          <t>N</t>
        </is>
      </c>
      <c r="V448" s="99" t="n">
        <v>9.6</v>
      </c>
      <c r="W448" s="99" t="inlineStr">
        <is>
          <t>N/A</t>
        </is>
      </c>
      <c r="X448" s="99" t="n">
        <v>636.59</v>
      </c>
      <c r="Y448" s="99" t="n">
        <v>-22.5</v>
      </c>
      <c r="Z448" s="99" t="n">
        <v>1</v>
      </c>
      <c r="AA448" s="94" t="inlineStr">
        <is>
          <t>AVOID</t>
        </is>
      </c>
    </row>
    <row r="449">
      <c r="A449" s="97" t="inlineStr">
        <is>
          <t>CEATLTD</t>
        </is>
      </c>
      <c r="B449" s="97" t="inlineStr">
        <is>
          <t>Ceat Ltd.</t>
        </is>
      </c>
      <c r="C449" s="97" t="inlineStr">
        <is>
          <t>Automobile and Auto Components</t>
        </is>
      </c>
      <c r="D449" s="97" t="inlineStr">
        <is>
          <t>Smallcap</t>
        </is>
      </c>
      <c r="E449" s="97" t="n">
        <v>3328.6</v>
      </c>
      <c r="F449" s="97" t="n">
        <v>-0.48</v>
      </c>
      <c r="G449" s="97" t="n">
        <v>116666</v>
      </c>
      <c r="H449" s="97" t="n">
        <v>1.02</v>
      </c>
      <c r="I449" s="97" t="n">
        <v>13464</v>
      </c>
      <c r="J449" s="97" t="inlineStr">
        <is>
          <t>Y</t>
        </is>
      </c>
      <c r="K449" s="97" t="inlineStr">
        <is>
          <t>N</t>
        </is>
      </c>
      <c r="L449" s="97" t="inlineStr">
        <is>
          <t>N</t>
        </is>
      </c>
      <c r="M449" s="97" t="n">
        <v>26.7</v>
      </c>
      <c r="N449" s="97" t="inlineStr">
        <is>
          <t>N</t>
        </is>
      </c>
      <c r="O449" s="97" t="n">
        <v>136.34</v>
      </c>
      <c r="P449" s="97" t="inlineStr">
        <is>
          <t>N</t>
        </is>
      </c>
      <c r="Q449" s="97" t="inlineStr">
        <is>
          <t>N/A</t>
        </is>
      </c>
      <c r="R449" s="97" t="inlineStr">
        <is>
          <t>N</t>
        </is>
      </c>
      <c r="S449" s="97" t="n">
        <v>-3.6</v>
      </c>
      <c r="T449" s="97" t="n">
        <v>-7.6</v>
      </c>
      <c r="U449" s="97" t="inlineStr">
        <is>
          <t>N</t>
        </is>
      </c>
      <c r="V449" s="97" t="n">
        <v>22.8</v>
      </c>
      <c r="W449" s="97" t="inlineStr">
        <is>
          <t>N/A</t>
        </is>
      </c>
      <c r="X449" s="97" t="n">
        <v>64.73999999999999</v>
      </c>
      <c r="Y449" s="97" t="n">
        <v>-98.40000000000001</v>
      </c>
      <c r="Z449" s="97" t="n">
        <v>1</v>
      </c>
      <c r="AA449" s="92" t="inlineStr">
        <is>
          <t>AVOID</t>
        </is>
      </c>
    </row>
    <row r="450">
      <c r="A450" s="99" t="inlineStr">
        <is>
          <t>COHANCE</t>
        </is>
      </c>
      <c r="B450" s="99" t="inlineStr">
        <is>
          <t>Cohance Lifesciences Ltd.</t>
        </is>
      </c>
      <c r="C450" s="99" t="inlineStr">
        <is>
          <t>Healthcare</t>
        </is>
      </c>
      <c r="D450" s="99" t="inlineStr">
        <is>
          <t>Smallcap</t>
        </is>
      </c>
      <c r="E450" s="99" t="n">
        <v>417.1</v>
      </c>
      <c r="F450" s="99" t="n">
        <v>-1.18</v>
      </c>
      <c r="G450" s="99" t="n">
        <v>224345</v>
      </c>
      <c r="H450" s="99" t="n">
        <v>0.46</v>
      </c>
      <c r="I450" s="99" t="n">
        <v>15958</v>
      </c>
      <c r="J450" s="99" t="inlineStr">
        <is>
          <t>Y</t>
        </is>
      </c>
      <c r="K450" s="99" t="inlineStr">
        <is>
          <t>N</t>
        </is>
      </c>
      <c r="L450" s="99" t="inlineStr">
        <is>
          <t>N</t>
        </is>
      </c>
      <c r="M450" s="99" t="n">
        <v>33.7</v>
      </c>
      <c r="N450" s="99" t="inlineStr">
        <is>
          <t>N</t>
        </is>
      </c>
      <c r="O450" s="99" t="n">
        <v>18.57</v>
      </c>
      <c r="P450" s="99" t="inlineStr">
        <is>
          <t>N</t>
        </is>
      </c>
      <c r="Q450" s="99" t="inlineStr">
        <is>
          <t>N/A</t>
        </is>
      </c>
      <c r="R450" s="99" t="inlineStr">
        <is>
          <t>N</t>
        </is>
      </c>
      <c r="S450" s="99" t="n">
        <v>-7.9</v>
      </c>
      <c r="T450" s="99" t="n">
        <v>-10.2</v>
      </c>
      <c r="U450" s="99" t="inlineStr">
        <is>
          <t>N</t>
        </is>
      </c>
      <c r="V450" s="99" t="n">
        <v>89.3</v>
      </c>
      <c r="W450" s="99" t="n">
        <v>3.8</v>
      </c>
      <c r="X450" s="99" t="n">
        <v>9.93</v>
      </c>
      <c r="Y450" s="99" t="n">
        <v>-46.8</v>
      </c>
      <c r="Z450" s="99" t="n">
        <v>1</v>
      </c>
      <c r="AA450" s="94" t="inlineStr">
        <is>
          <t>AVOID</t>
        </is>
      </c>
    </row>
    <row r="451">
      <c r="A451" s="97" t="inlineStr">
        <is>
          <t>ICICIGI</t>
        </is>
      </c>
      <c r="B451" s="97" t="inlineStr">
        <is>
          <t>ICICI Lombard General Insurance Company Ltd.</t>
        </is>
      </c>
      <c r="C451" s="97" t="inlineStr">
        <is>
          <t>Financial Services</t>
        </is>
      </c>
      <c r="D451" s="97" t="inlineStr">
        <is>
          <t>Large/Midcap</t>
        </is>
      </c>
      <c r="E451" s="97" t="n">
        <v>1661.8</v>
      </c>
      <c r="F451" s="97" t="n">
        <v>2.64</v>
      </c>
      <c r="G451" s="97" t="n">
        <v>1693997</v>
      </c>
      <c r="H451" s="97" t="n">
        <v>1.61</v>
      </c>
      <c r="I451" s="97" t="n">
        <v>82983</v>
      </c>
      <c r="J451" s="97" t="inlineStr">
        <is>
          <t>Y</t>
        </is>
      </c>
      <c r="K451" s="97" t="inlineStr">
        <is>
          <t>N</t>
        </is>
      </c>
      <c r="L451" s="97" t="inlineStr">
        <is>
          <t>N</t>
        </is>
      </c>
      <c r="M451" s="97" t="n">
        <v>36.5</v>
      </c>
      <c r="N451" s="97" t="inlineStr">
        <is>
          <t>N</t>
        </is>
      </c>
      <c r="O451" s="97" t="n">
        <v>61.42</v>
      </c>
      <c r="P451" s="97" t="inlineStr">
        <is>
          <t>N</t>
        </is>
      </c>
      <c r="Q451" s="97" t="inlineStr">
        <is>
          <t>N/A</t>
        </is>
      </c>
      <c r="R451" s="97" t="inlineStr">
        <is>
          <t>N</t>
        </is>
      </c>
      <c r="S451" s="97" t="n">
        <v>-7.3</v>
      </c>
      <c r="T451" s="97" t="n">
        <v>-5.2</v>
      </c>
      <c r="U451" s="97" t="inlineStr">
        <is>
          <t>N</t>
        </is>
      </c>
      <c r="V451" s="97" t="n">
        <v>34.4</v>
      </c>
      <c r="W451" s="97" t="n">
        <v>14.6</v>
      </c>
      <c r="X451" s="97" t="inlineStr">
        <is>
          <t>N/A</t>
        </is>
      </c>
      <c r="Y451" s="97" t="n">
        <v>-26.2</v>
      </c>
      <c r="Z451" s="97" t="n">
        <v>1</v>
      </c>
      <c r="AA451" s="92" t="inlineStr">
        <is>
          <t>AVOID</t>
        </is>
      </c>
    </row>
    <row r="452">
      <c r="A452" s="99" t="inlineStr">
        <is>
          <t>INDGN</t>
        </is>
      </c>
      <c r="B452" s="99" t="inlineStr">
        <is>
          <t>Indegene Ltd.</t>
        </is>
      </c>
      <c r="C452" s="99" t="inlineStr">
        <is>
          <t>Healthcare</t>
        </is>
      </c>
      <c r="D452" s="99" t="inlineStr">
        <is>
          <t>Smallcap</t>
        </is>
      </c>
      <c r="E452" s="99" t="n">
        <v>492.65</v>
      </c>
      <c r="F452" s="99" t="n">
        <v>0.85</v>
      </c>
      <c r="G452" s="99" t="n">
        <v>84358</v>
      </c>
      <c r="H452" s="99" t="n">
        <v>0.86</v>
      </c>
      <c r="I452" s="99" t="n">
        <v>11850</v>
      </c>
      <c r="J452" s="99" t="inlineStr">
        <is>
          <t>Y</t>
        </is>
      </c>
      <c r="K452" s="99" t="inlineStr">
        <is>
          <t>N</t>
        </is>
      </c>
      <c r="L452" s="99" t="inlineStr">
        <is>
          <t>N</t>
        </is>
      </c>
      <c r="M452" s="99" t="n">
        <v>48.7</v>
      </c>
      <c r="N452" s="99" t="inlineStr">
        <is>
          <t>N</t>
        </is>
      </c>
      <c r="O452" s="99" t="n">
        <v>13.09</v>
      </c>
      <c r="P452" s="99" t="inlineStr">
        <is>
          <t>N</t>
        </is>
      </c>
      <c r="Q452" s="99" t="inlineStr">
        <is>
          <t>N/A</t>
        </is>
      </c>
      <c r="R452" s="99" t="inlineStr">
        <is>
          <t>N</t>
        </is>
      </c>
      <c r="S452" s="99" t="n">
        <v>-3.8</v>
      </c>
      <c r="T452" s="99" t="n">
        <v>0</v>
      </c>
      <c r="U452" s="99" t="inlineStr">
        <is>
          <t>N</t>
        </is>
      </c>
      <c r="V452" s="99" t="n">
        <v>29.7</v>
      </c>
      <c r="W452" s="99" t="n">
        <v>13.9</v>
      </c>
      <c r="X452" s="99" t="n">
        <v>5.04</v>
      </c>
      <c r="Y452" s="99" t="n">
        <v>-22.5</v>
      </c>
      <c r="Z452" s="99" t="n">
        <v>1</v>
      </c>
      <c r="AA452" s="94" t="inlineStr">
        <is>
          <t>AVOID</t>
        </is>
      </c>
    </row>
    <row r="453">
      <c r="A453" s="97" t="inlineStr">
        <is>
          <t>IRFC</t>
        </is>
      </c>
      <c r="B453" s="97" t="inlineStr">
        <is>
          <t>Indian Railway Finance Corporation Ltd.</t>
        </is>
      </c>
      <c r="C453" s="97" t="inlineStr">
        <is>
          <t>Financial Services</t>
        </is>
      </c>
      <c r="D453" s="97" t="inlineStr">
        <is>
          <t>Large/Midcap</t>
        </is>
      </c>
      <c r="E453" s="97" t="n">
        <v>87.62</v>
      </c>
      <c r="F453" s="97" t="n">
        <v>0.68</v>
      </c>
      <c r="G453" s="97" t="n">
        <v>6225546</v>
      </c>
      <c r="H453" s="97" t="n">
        <v>1.06</v>
      </c>
      <c r="I453" s="97" t="n">
        <v>114506</v>
      </c>
      <c r="J453" s="97" t="inlineStr">
        <is>
          <t>Y</t>
        </is>
      </c>
      <c r="K453" s="97" t="inlineStr">
        <is>
          <t>N</t>
        </is>
      </c>
      <c r="L453" s="97" t="inlineStr">
        <is>
          <t>N</t>
        </is>
      </c>
      <c r="M453" s="97" t="n">
        <v>36.3</v>
      </c>
      <c r="N453" s="97" t="inlineStr">
        <is>
          <t>N</t>
        </is>
      </c>
      <c r="O453" s="97" t="n">
        <v>1.41</v>
      </c>
      <c r="P453" s="97" t="inlineStr">
        <is>
          <t>N</t>
        </is>
      </c>
      <c r="Q453" s="97" t="inlineStr">
        <is>
          <t>N/A</t>
        </is>
      </c>
      <c r="R453" s="97" t="inlineStr">
        <is>
          <t>N</t>
        </is>
      </c>
      <c r="S453" s="97" t="n">
        <v>-3.5</v>
      </c>
      <c r="T453" s="97" t="n">
        <v>-16.1</v>
      </c>
      <c r="U453" s="97" t="inlineStr">
        <is>
          <t>N</t>
        </is>
      </c>
      <c r="V453" s="97" t="n">
        <v>16.3</v>
      </c>
      <c r="W453" s="97" t="n">
        <v>12.8</v>
      </c>
      <c r="X453" s="97" t="n">
        <v>773.35</v>
      </c>
      <c r="Y453" s="97" t="n">
        <v>-6.5</v>
      </c>
      <c r="Z453" s="97" t="n">
        <v>1</v>
      </c>
      <c r="AA453" s="92" t="inlineStr">
        <is>
          <t>AVOID</t>
        </is>
      </c>
    </row>
    <row r="454">
      <c r="A454" s="99" t="inlineStr">
        <is>
          <t>IREDA</t>
        </is>
      </c>
      <c r="B454" s="99" t="inlineStr">
        <is>
          <t>Indian Renewable Energy Development Agency Ltd.</t>
        </is>
      </c>
      <c r="C454" s="99" t="inlineStr">
        <is>
          <t>Financial Services</t>
        </is>
      </c>
      <c r="D454" s="99" t="inlineStr">
        <is>
          <t>Large/Midcap</t>
        </is>
      </c>
      <c r="E454" s="99" t="n">
        <v>120.48</v>
      </c>
      <c r="F454" s="99" t="n">
        <v>0.75</v>
      </c>
      <c r="G454" s="99" t="n">
        <v>4773314</v>
      </c>
      <c r="H454" s="99" t="n">
        <v>1.58</v>
      </c>
      <c r="I454" s="99" t="n">
        <v>33846</v>
      </c>
      <c r="J454" s="99" t="inlineStr">
        <is>
          <t>Y</t>
        </is>
      </c>
      <c r="K454" s="99" t="inlineStr">
        <is>
          <t>N</t>
        </is>
      </c>
      <c r="L454" s="99" t="inlineStr">
        <is>
          <t>N</t>
        </is>
      </c>
      <c r="M454" s="99" t="n">
        <v>34.7</v>
      </c>
      <c r="N454" s="99" t="inlineStr">
        <is>
          <t>N</t>
        </is>
      </c>
      <c r="O454" s="99" t="n">
        <v>2.64</v>
      </c>
      <c r="P454" s="99" t="inlineStr">
        <is>
          <t>N</t>
        </is>
      </c>
      <c r="Q454" s="99" t="inlineStr">
        <is>
          <t>N/A</t>
        </is>
      </c>
      <c r="R454" s="99" t="inlineStr">
        <is>
          <t>N</t>
        </is>
      </c>
      <c r="S454" s="99" t="n">
        <v>-4.4</v>
      </c>
      <c r="T454" s="99" t="n">
        <v>-11.6</v>
      </c>
      <c r="U454" s="99" t="inlineStr">
        <is>
          <t>N</t>
        </is>
      </c>
      <c r="V454" s="99" t="n">
        <v>17.9</v>
      </c>
      <c r="W454" s="99" t="inlineStr">
        <is>
          <t>N/A</t>
        </is>
      </c>
      <c r="X454" s="99" t="n">
        <v>565.67</v>
      </c>
      <c r="Y454" s="99" t="n">
        <v>-15.8</v>
      </c>
      <c r="Z454" s="99" t="n">
        <v>1</v>
      </c>
      <c r="AA454" s="94" t="inlineStr">
        <is>
          <t>AVOID</t>
        </is>
      </c>
    </row>
    <row r="455">
      <c r="A455" s="97" t="inlineStr">
        <is>
          <t>IGL</t>
        </is>
      </c>
      <c r="B455" s="97" t="inlineStr">
        <is>
          <t>Indraprastha Gas Ltd.</t>
        </is>
      </c>
      <c r="C455" s="97" t="inlineStr">
        <is>
          <t>Oil Gas &amp; Consumable Fuels</t>
        </is>
      </c>
      <c r="D455" s="97" t="inlineStr">
        <is>
          <t>Smallcap</t>
        </is>
      </c>
      <c r="E455" s="97" t="n">
        <v>149.33</v>
      </c>
      <c r="F455" s="97" t="n">
        <v>-0.38</v>
      </c>
      <c r="G455" s="97" t="n">
        <v>1256239</v>
      </c>
      <c r="H455" s="97" t="n">
        <v>0.59</v>
      </c>
      <c r="I455" s="97" t="n">
        <v>20906</v>
      </c>
      <c r="J455" s="97" t="inlineStr">
        <is>
          <t>Y</t>
        </is>
      </c>
      <c r="K455" s="97" t="inlineStr">
        <is>
          <t>N</t>
        </is>
      </c>
      <c r="L455" s="97" t="inlineStr">
        <is>
          <t>N</t>
        </is>
      </c>
      <c r="M455" s="97" t="n">
        <v>42.3</v>
      </c>
      <c r="N455" s="97" t="inlineStr">
        <is>
          <t>N</t>
        </is>
      </c>
      <c r="O455" s="97" t="n">
        <v>3.13</v>
      </c>
      <c r="P455" s="97" t="inlineStr">
        <is>
          <t>N</t>
        </is>
      </c>
      <c r="Q455" s="97" t="inlineStr">
        <is>
          <t>N/A</t>
        </is>
      </c>
      <c r="R455" s="97" t="inlineStr">
        <is>
          <t>N</t>
        </is>
      </c>
      <c r="S455" s="97" t="n">
        <v>-11.3</v>
      </c>
      <c r="T455" s="97" t="n">
        <v>-10.3</v>
      </c>
      <c r="U455" s="97" t="inlineStr">
        <is>
          <t>N</t>
        </is>
      </c>
      <c r="V455" s="97" t="n">
        <v>13.5</v>
      </c>
      <c r="W455" s="97" t="n">
        <v>13.9</v>
      </c>
      <c r="X455" s="97" t="n">
        <v>0.85</v>
      </c>
      <c r="Y455" s="97" t="n">
        <v>-13.5</v>
      </c>
      <c r="Z455" s="97" t="n">
        <v>1</v>
      </c>
      <c r="AA455" s="92" t="inlineStr">
        <is>
          <t>AVOID</t>
        </is>
      </c>
    </row>
    <row r="456">
      <c r="A456" s="99" t="inlineStr">
        <is>
          <t>INOXWIND</t>
        </is>
      </c>
      <c r="B456" s="99" t="inlineStr">
        <is>
          <t>Inox Wind Ltd.</t>
        </is>
      </c>
      <c r="C456" s="99" t="inlineStr">
        <is>
          <t>Capital Goods</t>
        </is>
      </c>
      <c r="D456" s="99" t="inlineStr">
        <is>
          <t>Smallcap</t>
        </is>
      </c>
      <c r="E456" s="99" t="n">
        <v>76.97</v>
      </c>
      <c r="F456" s="99" t="n">
        <v>1</v>
      </c>
      <c r="G456" s="99" t="n">
        <v>6163215</v>
      </c>
      <c r="H456" s="99" t="n">
        <v>0.89</v>
      </c>
      <c r="I456" s="99" t="n">
        <v>13302</v>
      </c>
      <c r="J456" s="99" t="inlineStr">
        <is>
          <t>Y</t>
        </is>
      </c>
      <c r="K456" s="99" t="inlineStr">
        <is>
          <t>N</t>
        </is>
      </c>
      <c r="L456" s="99" t="inlineStr">
        <is>
          <t>N</t>
        </is>
      </c>
      <c r="M456" s="99" t="n">
        <v>20.2</v>
      </c>
      <c r="N456" s="99" t="inlineStr">
        <is>
          <t>N</t>
        </is>
      </c>
      <c r="O456" s="99" t="n">
        <v>2.14</v>
      </c>
      <c r="P456" s="99" t="inlineStr">
        <is>
          <t>N</t>
        </is>
      </c>
      <c r="Q456" s="99" t="inlineStr">
        <is>
          <t>N/A</t>
        </is>
      </c>
      <c r="R456" s="99" t="inlineStr">
        <is>
          <t>N</t>
        </is>
      </c>
      <c r="S456" s="99" t="n">
        <v>-13</v>
      </c>
      <c r="T456" s="99" t="n">
        <v>-24.1</v>
      </c>
      <c r="U456" s="99" t="inlineStr">
        <is>
          <t>N</t>
        </is>
      </c>
      <c r="V456" s="99" t="n">
        <v>29</v>
      </c>
      <c r="W456" s="99" t="n">
        <v>6.8</v>
      </c>
      <c r="X456" s="99" t="n">
        <v>20.63</v>
      </c>
      <c r="Y456" s="99" t="n">
        <v>-22.3</v>
      </c>
      <c r="Z456" s="99" t="n">
        <v>1</v>
      </c>
      <c r="AA456" s="94" t="inlineStr">
        <is>
          <t>AVOID</t>
        </is>
      </c>
    </row>
    <row r="457">
      <c r="A457" s="97" t="inlineStr">
        <is>
          <t>JKTYRE</t>
        </is>
      </c>
      <c r="B457" s="97" t="inlineStr">
        <is>
          <t>JK Tyre &amp; Industries Ltd.</t>
        </is>
      </c>
      <c r="C457" s="97" t="inlineStr">
        <is>
          <t>Automobile and Auto Components</t>
        </is>
      </c>
      <c r="D457" s="97" t="inlineStr">
        <is>
          <t>Smallcap</t>
        </is>
      </c>
      <c r="E457" s="97" t="n">
        <v>390.6</v>
      </c>
      <c r="F457" s="97" t="n">
        <v>0.97</v>
      </c>
      <c r="G457" s="97" t="n">
        <v>576399</v>
      </c>
      <c r="H457" s="97" t="n">
        <v>0.86</v>
      </c>
      <c r="I457" s="97" t="n">
        <v>11261</v>
      </c>
      <c r="J457" s="97" t="inlineStr">
        <is>
          <t>Y</t>
        </is>
      </c>
      <c r="K457" s="97" t="inlineStr">
        <is>
          <t>N</t>
        </is>
      </c>
      <c r="L457" s="97" t="inlineStr">
        <is>
          <t>N</t>
        </is>
      </c>
      <c r="M457" s="97" t="n">
        <v>40.4</v>
      </c>
      <c r="N457" s="97" t="inlineStr">
        <is>
          <t>N</t>
        </is>
      </c>
      <c r="O457" s="97" t="n">
        <v>11.73</v>
      </c>
      <c r="P457" s="97" t="inlineStr">
        <is>
          <t>N</t>
        </is>
      </c>
      <c r="Q457" s="97" t="inlineStr">
        <is>
          <t>N/A</t>
        </is>
      </c>
      <c r="R457" s="97" t="inlineStr">
        <is>
          <t>N</t>
        </is>
      </c>
      <c r="S457" s="97" t="n">
        <v>-0.6</v>
      </c>
      <c r="T457" s="97" t="n">
        <v>-3.5</v>
      </c>
      <c r="U457" s="97" t="inlineStr">
        <is>
          <t>N</t>
        </is>
      </c>
      <c r="V457" s="97" t="n">
        <v>14.3</v>
      </c>
      <c r="W457" s="97" t="n">
        <v>14.1</v>
      </c>
      <c r="X457" s="97" t="n">
        <v>80.55</v>
      </c>
      <c r="Y457" s="97" t="n">
        <v>-14.3</v>
      </c>
      <c r="Z457" s="97" t="n">
        <v>1</v>
      </c>
      <c r="AA457" s="92" t="inlineStr">
        <is>
          <t>AVOID</t>
        </is>
      </c>
    </row>
    <row r="458">
      <c r="A458" s="99" t="inlineStr">
        <is>
          <t>JMFINANCIL</t>
        </is>
      </c>
      <c r="B458" s="99" t="inlineStr">
        <is>
          <t>JM Financial Ltd.</t>
        </is>
      </c>
      <c r="C458" s="99" t="inlineStr">
        <is>
          <t>Financial Services</t>
        </is>
      </c>
      <c r="D458" s="99" t="inlineStr">
        <is>
          <t>Smallcap</t>
        </is>
      </c>
      <c r="E458" s="99" t="n">
        <v>122.05</v>
      </c>
      <c r="F458" s="99" t="n">
        <v>-0.11</v>
      </c>
      <c r="G458" s="99" t="n">
        <v>1845468</v>
      </c>
      <c r="H458" s="99" t="n">
        <v>0.91</v>
      </c>
      <c r="I458" s="99" t="n">
        <v>11680</v>
      </c>
      <c r="J458" s="99" t="inlineStr">
        <is>
          <t>Y</t>
        </is>
      </c>
      <c r="K458" s="99" t="inlineStr">
        <is>
          <t>N</t>
        </is>
      </c>
      <c r="L458" s="99" t="inlineStr">
        <is>
          <t>N</t>
        </is>
      </c>
      <c r="M458" s="99" t="n">
        <v>27.8</v>
      </c>
      <c r="N458" s="99" t="inlineStr">
        <is>
          <t>N</t>
        </is>
      </c>
      <c r="O458" s="99" t="n">
        <v>3.73</v>
      </c>
      <c r="P458" s="99" t="inlineStr">
        <is>
          <t>N</t>
        </is>
      </c>
      <c r="Q458" s="99" t="inlineStr">
        <is>
          <t>N/A</t>
        </is>
      </c>
      <c r="R458" s="99" t="inlineStr">
        <is>
          <t>N</t>
        </is>
      </c>
      <c r="S458" s="99" t="n">
        <v>-1.9</v>
      </c>
      <c r="T458" s="99" t="n">
        <v>-8.9</v>
      </c>
      <c r="U458" s="99" t="inlineStr">
        <is>
          <t>N</t>
        </is>
      </c>
      <c r="V458" s="99" t="n">
        <v>9.699999999999999</v>
      </c>
      <c r="W458" s="99" t="n">
        <v>11.1</v>
      </c>
      <c r="X458" s="99" t="n">
        <v>102.44</v>
      </c>
      <c r="Y458" s="99" t="n">
        <v>-47.1</v>
      </c>
      <c r="Z458" s="99" t="n">
        <v>1</v>
      </c>
      <c r="AA458" s="94" t="inlineStr">
        <is>
          <t>AVOID</t>
        </is>
      </c>
    </row>
    <row r="459">
      <c r="A459" s="97" t="inlineStr">
        <is>
          <t>JWL</t>
        </is>
      </c>
      <c r="B459" s="97" t="inlineStr">
        <is>
          <t>Jupiter Wagons Ltd.</t>
        </is>
      </c>
      <c r="C459" s="97" t="inlineStr">
        <is>
          <t>Capital Goods</t>
        </is>
      </c>
      <c r="D459" s="97" t="inlineStr">
        <is>
          <t>Smallcap</t>
        </is>
      </c>
      <c r="E459" s="97" t="n">
        <v>246.55</v>
      </c>
      <c r="F459" s="97" t="n">
        <v>0.37</v>
      </c>
      <c r="G459" s="97" t="n">
        <v>477720</v>
      </c>
      <c r="H459" s="97" t="n">
        <v>0.99</v>
      </c>
      <c r="I459" s="97" t="n">
        <v>10537</v>
      </c>
      <c r="J459" s="97" t="inlineStr">
        <is>
          <t>Y</t>
        </is>
      </c>
      <c r="K459" s="97" t="inlineStr">
        <is>
          <t>N</t>
        </is>
      </c>
      <c r="L459" s="97" t="inlineStr">
        <is>
          <t>N</t>
        </is>
      </c>
      <c r="M459" s="97" t="n">
        <v>33.9</v>
      </c>
      <c r="N459" s="97" t="inlineStr">
        <is>
          <t>N</t>
        </is>
      </c>
      <c r="O459" s="97" t="n">
        <v>6.2</v>
      </c>
      <c r="P459" s="97" t="inlineStr">
        <is>
          <t>N</t>
        </is>
      </c>
      <c r="Q459" s="97" t="inlineStr">
        <is>
          <t>N/A</t>
        </is>
      </c>
      <c r="R459" s="97" t="inlineStr">
        <is>
          <t>N</t>
        </is>
      </c>
      <c r="S459" s="97" t="n">
        <v>-5.2</v>
      </c>
      <c r="T459" s="97" t="n">
        <v>-13.7</v>
      </c>
      <c r="U459" s="97" t="inlineStr">
        <is>
          <t>N</t>
        </is>
      </c>
      <c r="V459" s="97" t="n">
        <v>61.3</v>
      </c>
      <c r="W459" s="97" t="n">
        <v>5.8</v>
      </c>
      <c r="X459" s="97" t="n">
        <v>33.37</v>
      </c>
      <c r="Y459" s="97" t="n">
        <v>-54.2</v>
      </c>
      <c r="Z459" s="97" t="n">
        <v>1</v>
      </c>
      <c r="AA459" s="92" t="inlineStr">
        <is>
          <t>AVOID</t>
        </is>
      </c>
    </row>
    <row r="460">
      <c r="A460" s="99" t="inlineStr">
        <is>
          <t>LTFOODS</t>
        </is>
      </c>
      <c r="B460" s="99" t="inlineStr">
        <is>
          <t>LT Foods Ltd.</t>
        </is>
      </c>
      <c r="C460" s="99" t="inlineStr">
        <is>
          <t>Fast Moving Consumer Goods</t>
        </is>
      </c>
      <c r="D460" s="99" t="inlineStr">
        <is>
          <t>Smallcap</t>
        </is>
      </c>
      <c r="E460" s="99" t="n">
        <v>375.6</v>
      </c>
      <c r="F460" s="99" t="n">
        <v>0.63</v>
      </c>
      <c r="G460" s="99" t="n">
        <v>220480</v>
      </c>
      <c r="H460" s="99" t="n">
        <v>0.82</v>
      </c>
      <c r="I460" s="99" t="n">
        <v>13043</v>
      </c>
      <c r="J460" s="99" t="inlineStr">
        <is>
          <t>Y</t>
        </is>
      </c>
      <c r="K460" s="99" t="inlineStr">
        <is>
          <t>N</t>
        </is>
      </c>
      <c r="L460" s="99" t="inlineStr">
        <is>
          <t>N</t>
        </is>
      </c>
      <c r="M460" s="99" t="n">
        <v>46.3</v>
      </c>
      <c r="N460" s="99" t="inlineStr">
        <is>
          <t>N</t>
        </is>
      </c>
      <c r="O460" s="99" t="n">
        <v>9.49</v>
      </c>
      <c r="P460" s="99" t="inlineStr">
        <is>
          <t>N</t>
        </is>
      </c>
      <c r="Q460" s="99" t="inlineStr">
        <is>
          <t>N/A</t>
        </is>
      </c>
      <c r="R460" s="99" t="inlineStr">
        <is>
          <t>N</t>
        </is>
      </c>
      <c r="S460" s="99" t="n">
        <v>-1.5</v>
      </c>
      <c r="T460" s="99" t="n">
        <v>-11.1</v>
      </c>
      <c r="U460" s="99" t="inlineStr">
        <is>
          <t>N</t>
        </is>
      </c>
      <c r="V460" s="99" t="n">
        <v>20.9</v>
      </c>
      <c r="W460" s="99" t="n">
        <v>14.9</v>
      </c>
      <c r="X460" s="99" t="n">
        <v>28.49</v>
      </c>
      <c r="Y460" s="99" t="n">
        <v>-13.8</v>
      </c>
      <c r="Z460" s="99" t="n">
        <v>1</v>
      </c>
      <c r="AA460" s="94" t="inlineStr">
        <is>
          <t>AVOID</t>
        </is>
      </c>
    </row>
    <row r="461">
      <c r="A461" s="97" t="inlineStr">
        <is>
          <t>MGL</t>
        </is>
      </c>
      <c r="B461" s="97" t="inlineStr">
        <is>
          <t>Mahanagar Gas Ltd.</t>
        </is>
      </c>
      <c r="C461" s="97" t="inlineStr">
        <is>
          <t>Oil Gas &amp; Consumable Fuels</t>
        </is>
      </c>
      <c r="D461" s="97" t="inlineStr">
        <is>
          <t>Smallcap</t>
        </is>
      </c>
      <c r="E461" s="97" t="n">
        <v>1077</v>
      </c>
      <c r="F461" s="97" t="n">
        <v>0.9</v>
      </c>
      <c r="G461" s="97" t="n">
        <v>87747</v>
      </c>
      <c r="H461" s="97" t="n">
        <v>0.89</v>
      </c>
      <c r="I461" s="97" t="n">
        <v>10638</v>
      </c>
      <c r="J461" s="97" t="inlineStr">
        <is>
          <t>Y</t>
        </is>
      </c>
      <c r="K461" s="97" t="inlineStr">
        <is>
          <t>N</t>
        </is>
      </c>
      <c r="L461" s="97" t="inlineStr">
        <is>
          <t>N</t>
        </is>
      </c>
      <c r="M461" s="97" t="n">
        <v>36.5</v>
      </c>
      <c r="N461" s="97" t="inlineStr">
        <is>
          <t>N</t>
        </is>
      </c>
      <c r="O461" s="97" t="n">
        <v>25.54</v>
      </c>
      <c r="P461" s="97" t="inlineStr">
        <is>
          <t>N</t>
        </is>
      </c>
      <c r="Q461" s="97" t="inlineStr">
        <is>
          <t>N/A</t>
        </is>
      </c>
      <c r="R461" s="97" t="inlineStr">
        <is>
          <t>N</t>
        </is>
      </c>
      <c r="S461" s="97" t="n">
        <v>-7.3</v>
      </c>
      <c r="T461" s="97" t="n">
        <v>-4.4</v>
      </c>
      <c r="U461" s="97" t="inlineStr">
        <is>
          <t>N</t>
        </is>
      </c>
      <c r="V461" s="97" t="n">
        <v>12.6</v>
      </c>
      <c r="W461" s="97" t="n">
        <v>13.6</v>
      </c>
      <c r="X461" s="97" t="n">
        <v>3.46</v>
      </c>
      <c r="Y461" s="97" t="n">
        <v>-35.4</v>
      </c>
      <c r="Z461" s="97" t="n">
        <v>1</v>
      </c>
      <c r="AA461" s="92" t="inlineStr">
        <is>
          <t>AVOID</t>
        </is>
      </c>
    </row>
    <row r="462">
      <c r="A462" s="99" t="inlineStr">
        <is>
          <t>MFSL</t>
        </is>
      </c>
      <c r="B462" s="99" t="inlineStr">
        <is>
          <t>Max Financial Services Ltd.</t>
        </is>
      </c>
      <c r="C462" s="99" t="inlineStr">
        <is>
          <t>Financial Services</t>
        </is>
      </c>
      <c r="D462" s="99" t="inlineStr">
        <is>
          <t>Large/Midcap</t>
        </is>
      </c>
      <c r="E462" s="99" t="n">
        <v>1515.5</v>
      </c>
      <c r="F462" s="99" t="n">
        <v>0.77</v>
      </c>
      <c r="G462" s="99" t="n">
        <v>1113093</v>
      </c>
      <c r="H462" s="99" t="n">
        <v>2.6</v>
      </c>
      <c r="I462" s="99" t="n">
        <v>52049</v>
      </c>
      <c r="J462" s="99" t="inlineStr">
        <is>
          <t>Y</t>
        </is>
      </c>
      <c r="K462" s="99" t="inlineStr">
        <is>
          <t>N</t>
        </is>
      </c>
      <c r="L462" s="99" t="inlineStr">
        <is>
          <t>N</t>
        </is>
      </c>
      <c r="M462" s="99" t="n">
        <v>39</v>
      </c>
      <c r="N462" s="99" t="inlineStr">
        <is>
          <t>N</t>
        </is>
      </c>
      <c r="O462" s="99" t="n">
        <v>43.63</v>
      </c>
      <c r="P462" s="99" t="inlineStr">
        <is>
          <t>N</t>
        </is>
      </c>
      <c r="Q462" s="99" t="inlineStr">
        <is>
          <t>N/A</t>
        </is>
      </c>
      <c r="R462" s="99" t="inlineStr">
        <is>
          <t>N</t>
        </is>
      </c>
      <c r="S462" s="99" t="n">
        <v>-4.9</v>
      </c>
      <c r="T462" s="99" t="n">
        <v>-5.3</v>
      </c>
      <c r="U462" s="99" t="inlineStr">
        <is>
          <t>N</t>
        </is>
      </c>
      <c r="V462" s="99" t="n">
        <v>626.2</v>
      </c>
      <c r="W462" s="99" t="n">
        <v>1.6</v>
      </c>
      <c r="X462" s="99" t="n">
        <v>12.67</v>
      </c>
      <c r="Y462" s="99" t="n">
        <v>-172.1</v>
      </c>
      <c r="Z462" s="99" t="n">
        <v>1</v>
      </c>
      <c r="AA462" s="94" t="inlineStr">
        <is>
          <t>AVOID</t>
        </is>
      </c>
    </row>
    <row r="463">
      <c r="A463" s="97" t="inlineStr">
        <is>
          <t>NAVA</t>
        </is>
      </c>
      <c r="B463" s="97" t="inlineStr">
        <is>
          <t>Nava Ltd.</t>
        </is>
      </c>
      <c r="C463" s="97" t="inlineStr">
        <is>
          <t>Power</t>
        </is>
      </c>
      <c r="D463" s="97" t="inlineStr">
        <is>
          <t>Smallcap</t>
        </is>
      </c>
      <c r="E463" s="97" t="n">
        <v>554.8</v>
      </c>
      <c r="F463" s="97" t="n">
        <v>-0.14</v>
      </c>
      <c r="G463" s="97" t="n">
        <v>266730</v>
      </c>
      <c r="H463" s="97" t="n">
        <v>1.06</v>
      </c>
      <c r="I463" s="97" t="n">
        <v>15715</v>
      </c>
      <c r="J463" s="97" t="inlineStr">
        <is>
          <t>Y</t>
        </is>
      </c>
      <c r="K463" s="97" t="inlineStr">
        <is>
          <t>N</t>
        </is>
      </c>
      <c r="L463" s="97" t="inlineStr">
        <is>
          <t>N</t>
        </is>
      </c>
      <c r="M463" s="97" t="n">
        <v>19</v>
      </c>
      <c r="N463" s="97" t="inlineStr">
        <is>
          <t>N</t>
        </is>
      </c>
      <c r="O463" s="97" t="n">
        <v>15.32</v>
      </c>
      <c r="P463" s="97" t="inlineStr">
        <is>
          <t>N</t>
        </is>
      </c>
      <c r="Q463" s="97" t="inlineStr">
        <is>
          <t>N/A</t>
        </is>
      </c>
      <c r="R463" s="97" t="inlineStr">
        <is>
          <t>N</t>
        </is>
      </c>
      <c r="S463" s="97" t="n">
        <v>-7.6</v>
      </c>
      <c r="T463" s="97" t="n">
        <v>-16.2</v>
      </c>
      <c r="U463" s="97" t="inlineStr">
        <is>
          <t>N</t>
        </is>
      </c>
      <c r="V463" s="97" t="n">
        <v>19.9</v>
      </c>
      <c r="W463" s="97" t="n">
        <v>10.3</v>
      </c>
      <c r="X463" s="97" t="n">
        <v>20.68</v>
      </c>
      <c r="Y463" s="97" t="n">
        <v>-42.7</v>
      </c>
      <c r="Z463" s="97" t="n">
        <v>1</v>
      </c>
      <c r="AA463" s="92" t="inlineStr">
        <is>
          <t>AVOID</t>
        </is>
      </c>
    </row>
    <row r="464">
      <c r="A464" s="99" t="inlineStr">
        <is>
          <t>PATANJALI</t>
        </is>
      </c>
      <c r="B464" s="99" t="inlineStr">
        <is>
          <t>Patanjali Foods Ltd.</t>
        </is>
      </c>
      <c r="C464" s="99" t="inlineStr">
        <is>
          <t>Fast Moving Consumer Goods</t>
        </is>
      </c>
      <c r="D464" s="99" t="inlineStr">
        <is>
          <t>Large/Midcap</t>
        </is>
      </c>
      <c r="E464" s="99" t="n">
        <v>340.95</v>
      </c>
      <c r="F464" s="99" t="n">
        <v>0.98</v>
      </c>
      <c r="G464" s="99" t="n">
        <v>5715863</v>
      </c>
      <c r="H464" s="99" t="n">
        <v>1.5</v>
      </c>
      <c r="I464" s="99" t="n">
        <v>37091</v>
      </c>
      <c r="J464" s="99" t="inlineStr">
        <is>
          <t>Y</t>
        </is>
      </c>
      <c r="K464" s="99" t="inlineStr">
        <is>
          <t>N</t>
        </is>
      </c>
      <c r="L464" s="99" t="inlineStr">
        <is>
          <t>N</t>
        </is>
      </c>
      <c r="M464" s="99" t="n">
        <v>12.1</v>
      </c>
      <c r="N464" s="99" t="inlineStr">
        <is>
          <t>N</t>
        </is>
      </c>
      <c r="O464" s="99" t="n">
        <v>13.6</v>
      </c>
      <c r="P464" s="99" t="inlineStr">
        <is>
          <t>N</t>
        </is>
      </c>
      <c r="Q464" s="99" t="inlineStr">
        <is>
          <t>N/A</t>
        </is>
      </c>
      <c r="R464" s="99" t="inlineStr">
        <is>
          <t>N</t>
        </is>
      </c>
      <c r="S464" s="99" t="n">
        <v>-16.3</v>
      </c>
      <c r="T464" s="99" t="n">
        <v>-26.3</v>
      </c>
      <c r="U464" s="99" t="inlineStr">
        <is>
          <t>N</t>
        </is>
      </c>
      <c r="V464" s="99" t="n">
        <v>20.5</v>
      </c>
      <c r="W464" s="99" t="n">
        <v>14.8</v>
      </c>
      <c r="X464" s="99" t="n">
        <v>21.3</v>
      </c>
      <c r="Y464" s="99" t="n">
        <v>-11.7</v>
      </c>
      <c r="Z464" s="99" t="n">
        <v>1</v>
      </c>
      <c r="AA464" s="94" t="inlineStr">
        <is>
          <t>AVOID</t>
        </is>
      </c>
    </row>
    <row r="465">
      <c r="A465" s="97" t="inlineStr">
        <is>
          <t>RVNL</t>
        </is>
      </c>
      <c r="B465" s="97" t="inlineStr">
        <is>
          <t>Rail Vikas Nigam Ltd.</t>
        </is>
      </c>
      <c r="C465" s="97" t="inlineStr">
        <is>
          <t>Construction</t>
        </is>
      </c>
      <c r="D465" s="97" t="inlineStr">
        <is>
          <t>Large/Midcap</t>
        </is>
      </c>
      <c r="E465" s="97" t="n">
        <v>224.53</v>
      </c>
      <c r="F465" s="97" t="n">
        <v>0.18</v>
      </c>
      <c r="G465" s="97" t="n">
        <v>5204038</v>
      </c>
      <c r="H465" s="97" t="n">
        <v>1.49</v>
      </c>
      <c r="I465" s="97" t="n">
        <v>46815</v>
      </c>
      <c r="J465" s="97" t="inlineStr">
        <is>
          <t>Y</t>
        </is>
      </c>
      <c r="K465" s="97" t="inlineStr">
        <is>
          <t>N</t>
        </is>
      </c>
      <c r="L465" s="97" t="inlineStr">
        <is>
          <t>N</t>
        </is>
      </c>
      <c r="M465" s="97" t="n">
        <v>34.9</v>
      </c>
      <c r="N465" s="97" t="inlineStr">
        <is>
          <t>N</t>
        </is>
      </c>
      <c r="O465" s="97" t="n">
        <v>5.15</v>
      </c>
      <c r="P465" s="97" t="inlineStr">
        <is>
          <t>N</t>
        </is>
      </c>
      <c r="Q465" s="97" t="inlineStr">
        <is>
          <t>N/A</t>
        </is>
      </c>
      <c r="R465" s="97" t="inlineStr">
        <is>
          <t>N</t>
        </is>
      </c>
      <c r="S465" s="97" t="n">
        <v>-5.7</v>
      </c>
      <c r="T465" s="97" t="n">
        <v>-25.2</v>
      </c>
      <c r="U465" s="97" t="inlineStr">
        <is>
          <t>N</t>
        </is>
      </c>
      <c r="V465" s="97" t="n">
        <v>53.5</v>
      </c>
      <c r="W465" s="97" t="n">
        <v>9</v>
      </c>
      <c r="X465" s="97" t="n">
        <v>49.08</v>
      </c>
      <c r="Y465" s="97" t="n">
        <v>-42.1</v>
      </c>
      <c r="Z465" s="97" t="n">
        <v>1</v>
      </c>
      <c r="AA465" s="92" t="inlineStr">
        <is>
          <t>AVOID</t>
        </is>
      </c>
    </row>
    <row r="466">
      <c r="A466" s="99" t="inlineStr">
        <is>
          <t>RPOWER</t>
        </is>
      </c>
      <c r="B466" s="99" t="inlineStr">
        <is>
          <t>Reliance Power Ltd.</t>
        </is>
      </c>
      <c r="C466" s="99" t="inlineStr">
        <is>
          <t>Power</t>
        </is>
      </c>
      <c r="D466" s="99" t="inlineStr">
        <is>
          <t>Smallcap</t>
        </is>
      </c>
      <c r="E466" s="99" t="n">
        <v>24.06</v>
      </c>
      <c r="F466" s="99" t="n">
        <v>2.65</v>
      </c>
      <c r="G466" s="99" t="n">
        <v>23575748</v>
      </c>
      <c r="H466" s="99" t="n">
        <v>1.66</v>
      </c>
      <c r="I466" s="99" t="n">
        <v>9951</v>
      </c>
      <c r="J466" s="99" t="inlineStr">
        <is>
          <t>Y</t>
        </is>
      </c>
      <c r="K466" s="99" t="inlineStr">
        <is>
          <t>N</t>
        </is>
      </c>
      <c r="L466" s="99" t="inlineStr">
        <is>
          <t>N</t>
        </is>
      </c>
      <c r="M466" s="99" t="n">
        <v>34.9</v>
      </c>
      <c r="N466" s="99" t="inlineStr">
        <is>
          <t>N</t>
        </is>
      </c>
      <c r="O466" s="99" t="n">
        <v>0.73</v>
      </c>
      <c r="P466" s="99" t="inlineStr">
        <is>
          <t>N</t>
        </is>
      </c>
      <c r="Q466" s="99" t="inlineStr">
        <is>
          <t>N/A</t>
        </is>
      </c>
      <c r="R466" s="99" t="inlineStr">
        <is>
          <t>N</t>
        </is>
      </c>
      <c r="S466" s="99" t="n">
        <v>-2.2</v>
      </c>
      <c r="T466" s="99" t="n">
        <v>-16.5</v>
      </c>
      <c r="U466" s="99" t="inlineStr">
        <is>
          <t>N</t>
        </is>
      </c>
      <c r="V466" s="99" t="inlineStr">
        <is>
          <t>N/A</t>
        </is>
      </c>
      <c r="W466" s="99" t="n">
        <v>-2.1</v>
      </c>
      <c r="X466" s="99" t="n">
        <v>92.34999999999999</v>
      </c>
      <c r="Y466" s="99" t="n">
        <v>-2067.3</v>
      </c>
      <c r="Z466" s="99" t="n">
        <v>1</v>
      </c>
      <c r="AA466" s="94" t="inlineStr">
        <is>
          <t>AVOID</t>
        </is>
      </c>
    </row>
    <row r="467">
      <c r="A467" s="97" t="inlineStr">
        <is>
          <t>SJVN</t>
        </is>
      </c>
      <c r="B467" s="97" t="inlineStr">
        <is>
          <t>SJVN Ltd.</t>
        </is>
      </c>
      <c r="C467" s="97" t="inlineStr">
        <is>
          <t>Power</t>
        </is>
      </c>
      <c r="D467" s="97" t="inlineStr">
        <is>
          <t>Large/Midcap</t>
        </is>
      </c>
      <c r="E467" s="97" t="n">
        <v>67.58</v>
      </c>
      <c r="F467" s="97" t="n">
        <v>-0.15</v>
      </c>
      <c r="G467" s="97" t="n">
        <v>1605432</v>
      </c>
      <c r="H467" s="97" t="n">
        <v>0.72</v>
      </c>
      <c r="I467" s="97" t="n">
        <v>26558</v>
      </c>
      <c r="J467" s="97" t="inlineStr">
        <is>
          <t>Y</t>
        </is>
      </c>
      <c r="K467" s="97" t="inlineStr">
        <is>
          <t>N</t>
        </is>
      </c>
      <c r="L467" s="97" t="inlineStr">
        <is>
          <t>N</t>
        </is>
      </c>
      <c r="M467" s="97" t="n">
        <v>15</v>
      </c>
      <c r="N467" s="97" t="inlineStr">
        <is>
          <t>N</t>
        </is>
      </c>
      <c r="O467" s="97" t="n">
        <v>1.14</v>
      </c>
      <c r="P467" s="97" t="inlineStr">
        <is>
          <t>N</t>
        </is>
      </c>
      <c r="Q467" s="97" t="inlineStr">
        <is>
          <t>N/A</t>
        </is>
      </c>
      <c r="R467" s="97" t="inlineStr">
        <is>
          <t>N</t>
        </is>
      </c>
      <c r="S467" s="97" t="n">
        <v>-5.2</v>
      </c>
      <c r="T467" s="97" t="n">
        <v>-15.6</v>
      </c>
      <c r="U467" s="97" t="inlineStr">
        <is>
          <t>N</t>
        </is>
      </c>
      <c r="V467" s="97" t="n">
        <v>41.5</v>
      </c>
      <c r="W467" s="97" t="n">
        <v>4.5</v>
      </c>
      <c r="X467" s="97" t="n">
        <v>226.53</v>
      </c>
      <c r="Y467" s="97" t="n">
        <v>-152.6</v>
      </c>
      <c r="Z467" s="97" t="n">
        <v>1</v>
      </c>
      <c r="AA467" s="92" t="inlineStr">
        <is>
          <t>AVOID</t>
        </is>
      </c>
    </row>
    <row r="468">
      <c r="A468" s="99" t="inlineStr">
        <is>
          <t>SAGILITY</t>
        </is>
      </c>
      <c r="B468" s="99" t="inlineStr">
        <is>
          <t>Sagility Ltd.</t>
        </is>
      </c>
      <c r="C468" s="99" t="inlineStr">
        <is>
          <t>Information Technology</t>
        </is>
      </c>
      <c r="D468" s="99" t="inlineStr">
        <is>
          <t>Smallcap</t>
        </is>
      </c>
      <c r="E468" s="99" t="n">
        <v>40.42</v>
      </c>
      <c r="F468" s="99" t="n">
        <v>-2.18</v>
      </c>
      <c r="G468" s="99" t="n">
        <v>18644024</v>
      </c>
      <c r="H468" s="99" t="n">
        <v>0.68</v>
      </c>
      <c r="I468" s="99" t="n">
        <v>18922</v>
      </c>
      <c r="J468" s="99" t="inlineStr">
        <is>
          <t>Y</t>
        </is>
      </c>
      <c r="K468" s="99" t="inlineStr">
        <is>
          <t>N</t>
        </is>
      </c>
      <c r="L468" s="99" t="inlineStr">
        <is>
          <t>N</t>
        </is>
      </c>
      <c r="M468" s="99" t="n">
        <v>49.1</v>
      </c>
      <c r="N468" s="99" t="inlineStr">
        <is>
          <t>N</t>
        </is>
      </c>
      <c r="O468" s="99" t="n">
        <v>1.46</v>
      </c>
      <c r="P468" s="99" t="inlineStr">
        <is>
          <t>N</t>
        </is>
      </c>
      <c r="Q468" s="99" t="inlineStr">
        <is>
          <t>N/A</t>
        </is>
      </c>
      <c r="R468" s="99" t="inlineStr">
        <is>
          <t>N</t>
        </is>
      </c>
      <c r="S468" s="99" t="n">
        <v>1.2</v>
      </c>
      <c r="T468" s="99" t="n">
        <v>-2</v>
      </c>
      <c r="U468" s="99" t="inlineStr">
        <is>
          <t>N</t>
        </is>
      </c>
      <c r="V468" s="99" t="n">
        <v>19.1</v>
      </c>
      <c r="W468" s="99" t="inlineStr">
        <is>
          <t>N/A</t>
        </is>
      </c>
      <c r="X468" s="99" t="n">
        <v>11.5</v>
      </c>
      <c r="Y468" s="99" t="n">
        <v>-15.9</v>
      </c>
      <c r="Z468" s="99" t="n">
        <v>1</v>
      </c>
      <c r="AA468" s="94" t="inlineStr">
        <is>
          <t>AVOID</t>
        </is>
      </c>
    </row>
    <row r="469">
      <c r="A469" s="97" t="inlineStr">
        <is>
          <t>SOBHA</t>
        </is>
      </c>
      <c r="B469" s="97" t="inlineStr">
        <is>
          <t>Sobha Ltd.</t>
        </is>
      </c>
      <c r="C469" s="97" t="inlineStr">
        <is>
          <t>Realty</t>
        </is>
      </c>
      <c r="D469" s="97" t="inlineStr">
        <is>
          <t>Smallcap</t>
        </is>
      </c>
      <c r="E469" s="97" t="n">
        <v>1362.3</v>
      </c>
      <c r="F469" s="97" t="n">
        <v>-1</v>
      </c>
      <c r="G469" s="97" t="n">
        <v>295336</v>
      </c>
      <c r="H469" s="97" t="n">
        <v>0.28</v>
      </c>
      <c r="I469" s="97" t="n">
        <v>14570</v>
      </c>
      <c r="J469" s="97" t="inlineStr">
        <is>
          <t>Y</t>
        </is>
      </c>
      <c r="K469" s="97" t="inlineStr">
        <is>
          <t>N</t>
        </is>
      </c>
      <c r="L469" s="97" t="inlineStr">
        <is>
          <t>N</t>
        </is>
      </c>
      <c r="M469" s="97" t="n">
        <v>31.5</v>
      </c>
      <c r="N469" s="97" t="inlineStr">
        <is>
          <t>N</t>
        </is>
      </c>
      <c r="O469" s="97" t="n">
        <v>51.53</v>
      </c>
      <c r="P469" s="97" t="inlineStr">
        <is>
          <t>N</t>
        </is>
      </c>
      <c r="Q469" s="97" t="inlineStr">
        <is>
          <t>N/A</t>
        </is>
      </c>
      <c r="R469" s="97" t="inlineStr">
        <is>
          <t>N</t>
        </is>
      </c>
      <c r="S469" s="97" t="n">
        <v>-1.8</v>
      </c>
      <c r="T469" s="97" t="n">
        <v>-5.1</v>
      </c>
      <c r="U469" s="97" t="inlineStr">
        <is>
          <t>N</t>
        </is>
      </c>
      <c r="V469" s="97" t="n">
        <v>63.3</v>
      </c>
      <c r="W469" s="97" t="inlineStr">
        <is>
          <t>N/A</t>
        </is>
      </c>
      <c r="X469" s="97" t="n">
        <v>24.62</v>
      </c>
      <c r="Y469" s="97" t="n">
        <v>-44.6</v>
      </c>
      <c r="Z469" s="97" t="n">
        <v>1</v>
      </c>
      <c r="AA469" s="92" t="inlineStr">
        <is>
          <t>AVOID</t>
        </is>
      </c>
    </row>
    <row r="470">
      <c r="A470" s="99" t="inlineStr">
        <is>
          <t>SUNTV</t>
        </is>
      </c>
      <c r="B470" s="99" t="inlineStr">
        <is>
          <t>Sun TV Network Ltd.</t>
        </is>
      </c>
      <c r="C470" s="99" t="inlineStr">
        <is>
          <t>Media Entertainment &amp; Publication</t>
        </is>
      </c>
      <c r="D470" s="99" t="inlineStr">
        <is>
          <t>Smallcap</t>
        </is>
      </c>
      <c r="E470" s="99" t="n">
        <v>486.9</v>
      </c>
      <c r="F470" s="99" t="n">
        <v>-0.36</v>
      </c>
      <c r="G470" s="99" t="n">
        <v>136971</v>
      </c>
      <c r="H470" s="99" t="n">
        <v>1.71</v>
      </c>
      <c r="I470" s="99" t="n">
        <v>19188</v>
      </c>
      <c r="J470" s="99" t="inlineStr">
        <is>
          <t>Y</t>
        </is>
      </c>
      <c r="K470" s="99" t="inlineStr">
        <is>
          <t>N</t>
        </is>
      </c>
      <c r="L470" s="99" t="inlineStr">
        <is>
          <t>N</t>
        </is>
      </c>
      <c r="M470" s="99" t="n">
        <v>26.1</v>
      </c>
      <c r="N470" s="99" t="inlineStr">
        <is>
          <t>N</t>
        </is>
      </c>
      <c r="O470" s="99" t="n">
        <v>10.18</v>
      </c>
      <c r="P470" s="99" t="inlineStr">
        <is>
          <t>N</t>
        </is>
      </c>
      <c r="Q470" s="99" t="inlineStr">
        <is>
          <t>N/A</t>
        </is>
      </c>
      <c r="R470" s="99" t="inlineStr">
        <is>
          <t>N</t>
        </is>
      </c>
      <c r="S470" s="99" t="n">
        <v>-4.1</v>
      </c>
      <c r="T470" s="99" t="n">
        <v>-16.4</v>
      </c>
      <c r="U470" s="99" t="inlineStr">
        <is>
          <t>N</t>
        </is>
      </c>
      <c r="V470" s="99" t="n">
        <v>13.3</v>
      </c>
      <c r="W470" s="99" t="n">
        <v>11.8</v>
      </c>
      <c r="X470" s="99" t="n">
        <v>0.84</v>
      </c>
      <c r="Y470" s="99" t="n">
        <v>-28.4</v>
      </c>
      <c r="Z470" s="99" t="n">
        <v>1</v>
      </c>
      <c r="AA470" s="94" t="inlineStr">
        <is>
          <t>AVOID</t>
        </is>
      </c>
    </row>
    <row r="471">
      <c r="A471" s="97" t="inlineStr">
        <is>
          <t>TATACHEM</t>
        </is>
      </c>
      <c r="B471" s="97" t="inlineStr">
        <is>
          <t>Tata Chemicals Ltd.</t>
        </is>
      </c>
      <c r="C471" s="97" t="inlineStr">
        <is>
          <t>Chemicals</t>
        </is>
      </c>
      <c r="D471" s="97" t="inlineStr">
        <is>
          <t>Smallcap</t>
        </is>
      </c>
      <c r="E471" s="97" t="n">
        <v>685.35</v>
      </c>
      <c r="F471" s="97" t="n">
        <v>0.88</v>
      </c>
      <c r="G471" s="97" t="n">
        <v>264678</v>
      </c>
      <c r="H471" s="97" t="n">
        <v>0.79</v>
      </c>
      <c r="I471" s="97" t="n">
        <v>17460</v>
      </c>
      <c r="J471" s="97" t="inlineStr">
        <is>
          <t>Y</t>
        </is>
      </c>
      <c r="K471" s="97" t="inlineStr">
        <is>
          <t>N</t>
        </is>
      </c>
      <c r="L471" s="97" t="inlineStr">
        <is>
          <t>N</t>
        </is>
      </c>
      <c r="M471" s="97" t="n">
        <v>44.5</v>
      </c>
      <c r="N471" s="97" t="inlineStr">
        <is>
          <t>N</t>
        </is>
      </c>
      <c r="O471" s="97" t="n">
        <v>15.04</v>
      </c>
      <c r="P471" s="97" t="inlineStr">
        <is>
          <t>N</t>
        </is>
      </c>
      <c r="Q471" s="97" t="inlineStr">
        <is>
          <t>N/A</t>
        </is>
      </c>
      <c r="R471" s="97" t="inlineStr">
        <is>
          <t>N</t>
        </is>
      </c>
      <c r="S471" s="97" t="n">
        <v>-7.1</v>
      </c>
      <c r="T471" s="97" t="n">
        <v>-12.4</v>
      </c>
      <c r="U471" s="97" t="inlineStr">
        <is>
          <t>N</t>
        </is>
      </c>
      <c r="V471" s="97" t="inlineStr">
        <is>
          <t>N/A</t>
        </is>
      </c>
      <c r="W471" s="97" t="n">
        <v>-7.7</v>
      </c>
      <c r="X471" s="97" t="n">
        <v>36.08</v>
      </c>
      <c r="Y471" s="97" t="n">
        <v>-2192.5</v>
      </c>
      <c r="Z471" s="97" t="n">
        <v>1</v>
      </c>
      <c r="AA471" s="92" t="inlineStr">
        <is>
          <t>AVOID</t>
        </is>
      </c>
    </row>
    <row r="472">
      <c r="A472" s="99" t="inlineStr">
        <is>
          <t>TATAINVEST</t>
        </is>
      </c>
      <c r="B472" s="99" t="inlineStr">
        <is>
          <t>Tata Investment Corporation Ltd.</t>
        </is>
      </c>
      <c r="C472" s="99" t="inlineStr">
        <is>
          <t>Financial Services</t>
        </is>
      </c>
      <c r="D472" s="99" t="inlineStr">
        <is>
          <t>Large/Midcap</t>
        </is>
      </c>
      <c r="E472" s="99" t="n">
        <v>630.75</v>
      </c>
      <c r="F472" s="99" t="n">
        <v>-0.23</v>
      </c>
      <c r="G472" s="99" t="n">
        <v>141003</v>
      </c>
      <c r="H472" s="99" t="n">
        <v>0.9</v>
      </c>
      <c r="I472" s="99" t="n">
        <v>31913</v>
      </c>
      <c r="J472" s="99" t="inlineStr">
        <is>
          <t>Y</t>
        </is>
      </c>
      <c r="K472" s="99" t="inlineStr">
        <is>
          <t>N</t>
        </is>
      </c>
      <c r="L472" s="99" t="inlineStr">
        <is>
          <t>N</t>
        </is>
      </c>
      <c r="M472" s="99" t="n">
        <v>34.8</v>
      </c>
      <c r="N472" s="99" t="inlineStr">
        <is>
          <t>N</t>
        </is>
      </c>
      <c r="O472" s="99" t="n">
        <v>14.88</v>
      </c>
      <c r="P472" s="99" t="inlineStr">
        <is>
          <t>N</t>
        </is>
      </c>
      <c r="Q472" s="99" t="inlineStr">
        <is>
          <t>N/A</t>
        </is>
      </c>
      <c r="R472" s="99" t="inlineStr">
        <is>
          <t>N</t>
        </is>
      </c>
      <c r="S472" s="99" t="n">
        <v>-6</v>
      </c>
      <c r="T472" s="99" t="n">
        <v>-11.1</v>
      </c>
      <c r="U472" s="99" t="inlineStr">
        <is>
          <t>N</t>
        </is>
      </c>
      <c r="V472" s="99" t="n">
        <v>73.5</v>
      </c>
      <c r="W472" s="99" t="n">
        <v>1.4</v>
      </c>
      <c r="X472" s="99" t="n">
        <v>0.01</v>
      </c>
      <c r="Y472" s="99" t="n">
        <v>-15.3</v>
      </c>
      <c r="Z472" s="99" t="n">
        <v>1</v>
      </c>
      <c r="AA472" s="94" t="inlineStr">
        <is>
          <t>AVOID</t>
        </is>
      </c>
    </row>
    <row r="473">
      <c r="A473" s="97" t="inlineStr">
        <is>
          <t>TTML</t>
        </is>
      </c>
      <c r="B473" s="97" t="inlineStr">
        <is>
          <t>Tata Teleservices (Maharashtra) Ltd.</t>
        </is>
      </c>
      <c r="C473" s="97" t="inlineStr">
        <is>
          <t>Telecommunication</t>
        </is>
      </c>
      <c r="D473" s="97" t="inlineStr">
        <is>
          <t>Smallcap</t>
        </is>
      </c>
      <c r="E473" s="97" t="n">
        <v>39.38</v>
      </c>
      <c r="F473" s="97" t="n">
        <v>-0.05</v>
      </c>
      <c r="G473" s="97" t="n">
        <v>3130193</v>
      </c>
      <c r="H473" s="97" t="n">
        <v>0.53</v>
      </c>
      <c r="I473" s="97" t="n">
        <v>7699</v>
      </c>
      <c r="J473" s="97" t="inlineStr">
        <is>
          <t>Y</t>
        </is>
      </c>
      <c r="K473" s="97" t="inlineStr">
        <is>
          <t>N</t>
        </is>
      </c>
      <c r="L473" s="97" t="inlineStr">
        <is>
          <t>N</t>
        </is>
      </c>
      <c r="M473" s="97" t="n">
        <v>25.4</v>
      </c>
      <c r="N473" s="97" t="inlineStr">
        <is>
          <t>N</t>
        </is>
      </c>
      <c r="O473" s="97" t="n">
        <v>1.34</v>
      </c>
      <c r="P473" s="97" t="inlineStr">
        <is>
          <t>N</t>
        </is>
      </c>
      <c r="Q473" s="97" t="inlineStr">
        <is>
          <t>N/A</t>
        </is>
      </c>
      <c r="R473" s="97" t="inlineStr">
        <is>
          <t>N</t>
        </is>
      </c>
      <c r="S473" s="97" t="n">
        <v>-6.9</v>
      </c>
      <c r="T473" s="97" t="n">
        <v>-9.800000000000001</v>
      </c>
      <c r="U473" s="97" t="inlineStr">
        <is>
          <t>N</t>
        </is>
      </c>
      <c r="V473" s="97" t="n">
        <v>207.3</v>
      </c>
      <c r="W473" s="97" t="inlineStr">
        <is>
          <t>N/A</t>
        </is>
      </c>
      <c r="X473" s="97" t="inlineStr">
        <is>
          <t>N/A</t>
        </is>
      </c>
      <c r="Y473" s="97" t="n">
        <v>-112.4</v>
      </c>
      <c r="Z473" s="97" t="n">
        <v>1</v>
      </c>
      <c r="AA473" s="92" t="inlineStr">
        <is>
          <t>AVOID</t>
        </is>
      </c>
    </row>
    <row r="474">
      <c r="A474" s="99" t="inlineStr">
        <is>
          <t>TECHNOE</t>
        </is>
      </c>
      <c r="B474" s="99" t="inlineStr">
        <is>
          <t>Techno Electric &amp; Engineering Company Ltd.</t>
        </is>
      </c>
      <c r="C474" s="99" t="inlineStr">
        <is>
          <t>Construction</t>
        </is>
      </c>
      <c r="D474" s="99" t="inlineStr">
        <is>
          <t>Smallcap</t>
        </is>
      </c>
      <c r="E474" s="99" t="n">
        <v>991.8</v>
      </c>
      <c r="F474" s="99" t="n">
        <v>-0.34</v>
      </c>
      <c r="G474" s="99" t="n">
        <v>102586</v>
      </c>
      <c r="H474" s="99" t="n">
        <v>0.85</v>
      </c>
      <c r="I474" s="99" t="n">
        <v>11535</v>
      </c>
      <c r="J474" s="99" t="inlineStr">
        <is>
          <t>Y</t>
        </is>
      </c>
      <c r="K474" s="99" t="inlineStr">
        <is>
          <t>N</t>
        </is>
      </c>
      <c r="L474" s="99" t="inlineStr">
        <is>
          <t>N</t>
        </is>
      </c>
      <c r="M474" s="99" t="n">
        <v>25.2</v>
      </c>
      <c r="N474" s="99" t="inlineStr">
        <is>
          <t>N</t>
        </is>
      </c>
      <c r="O474" s="99" t="n">
        <v>24.42</v>
      </c>
      <c r="P474" s="99" t="inlineStr">
        <is>
          <t>N</t>
        </is>
      </c>
      <c r="Q474" s="99" t="inlineStr">
        <is>
          <t>N/A</t>
        </is>
      </c>
      <c r="R474" s="99" t="inlineStr">
        <is>
          <t>N</t>
        </is>
      </c>
      <c r="S474" s="99" t="n">
        <v>-7.7</v>
      </c>
      <c r="T474" s="99" t="n">
        <v>-23</v>
      </c>
      <c r="U474" s="99" t="inlineStr">
        <is>
          <t>N</t>
        </is>
      </c>
      <c r="V474" s="99" t="n">
        <v>25.7</v>
      </c>
      <c r="W474" s="99" t="n">
        <v>11.4</v>
      </c>
      <c r="X474" s="99" t="n">
        <v>1.74</v>
      </c>
      <c r="Y474" s="99" t="n">
        <v>-4</v>
      </c>
      <c r="Z474" s="99" t="n">
        <v>1</v>
      </c>
      <c r="AA474" s="94" t="inlineStr">
        <is>
          <t>AVOID</t>
        </is>
      </c>
    </row>
    <row r="475">
      <c r="A475" s="97" t="inlineStr">
        <is>
          <t>TARIL</t>
        </is>
      </c>
      <c r="B475" s="97" t="inlineStr">
        <is>
          <t>Transformers And Rectifiers (India) Ltd.</t>
        </is>
      </c>
      <c r="C475" s="97" t="inlineStr">
        <is>
          <t>Capital Goods</t>
        </is>
      </c>
      <c r="D475" s="97" t="inlineStr">
        <is>
          <t>Smallcap</t>
        </is>
      </c>
      <c r="E475" s="97" t="n">
        <v>295</v>
      </c>
      <c r="F475" s="97" t="n">
        <v>0.44</v>
      </c>
      <c r="G475" s="97" t="n">
        <v>2073057</v>
      </c>
      <c r="H475" s="97" t="n">
        <v>0.62</v>
      </c>
      <c r="I475" s="97" t="n">
        <v>8855</v>
      </c>
      <c r="J475" s="97" t="inlineStr">
        <is>
          <t>Y</t>
        </is>
      </c>
      <c r="K475" s="97" t="inlineStr">
        <is>
          <t>N</t>
        </is>
      </c>
      <c r="L475" s="97" t="inlineStr">
        <is>
          <t>N</t>
        </is>
      </c>
      <c r="M475" s="97" t="n">
        <v>27.2</v>
      </c>
      <c r="N475" s="97" t="inlineStr">
        <is>
          <t>N</t>
        </is>
      </c>
      <c r="O475" s="97" t="n">
        <v>13.12</v>
      </c>
      <c r="P475" s="97" t="inlineStr">
        <is>
          <t>N</t>
        </is>
      </c>
      <c r="Q475" s="97" t="inlineStr">
        <is>
          <t>N/A</t>
        </is>
      </c>
      <c r="R475" s="97" t="inlineStr">
        <is>
          <t>N</t>
        </is>
      </c>
      <c r="S475" s="97" t="n">
        <v>-10.7</v>
      </c>
      <c r="T475" s="97" t="n">
        <v>-8.300000000000001</v>
      </c>
      <c r="U475" s="97" t="inlineStr">
        <is>
          <t>N</t>
        </is>
      </c>
      <c r="V475" s="97" t="n">
        <v>34.3</v>
      </c>
      <c r="W475" s="97" t="inlineStr">
        <is>
          <t>N/A</t>
        </is>
      </c>
      <c r="X475" s="97" t="n">
        <v>29.59</v>
      </c>
      <c r="Y475" s="97" t="n">
        <v>-31.1</v>
      </c>
      <c r="Z475" s="97" t="n">
        <v>1</v>
      </c>
      <c r="AA475" s="92" t="inlineStr">
        <is>
          <t>AVOID</t>
        </is>
      </c>
    </row>
    <row r="476">
      <c r="A476" s="99" t="inlineStr">
        <is>
          <t>ZFCVINDIA</t>
        </is>
      </c>
      <c r="B476" s="99" t="inlineStr">
        <is>
          <t>ZF Commercial Vehicle Control Systems India Ltd.</t>
        </is>
      </c>
      <c r="C476" s="99" t="inlineStr">
        <is>
          <t>Automobile and Auto Components</t>
        </is>
      </c>
      <c r="D476" s="99" t="inlineStr">
        <is>
          <t>Smallcap</t>
        </is>
      </c>
      <c r="E476" s="99" t="n">
        <v>2320.6</v>
      </c>
      <c r="F476" s="99" t="n">
        <v>-1.91</v>
      </c>
      <c r="G476" s="99" t="n">
        <v>319971</v>
      </c>
      <c r="H476" s="99" t="n">
        <v>1.13</v>
      </c>
      <c r="I476" s="99" t="n">
        <v>26410</v>
      </c>
      <c r="J476" s="99" t="inlineStr">
        <is>
          <t>Y</t>
        </is>
      </c>
      <c r="K476" s="99" t="inlineStr">
        <is>
          <t>N</t>
        </is>
      </c>
      <c r="L476" s="99" t="inlineStr">
        <is>
          <t>N</t>
        </is>
      </c>
      <c r="M476" s="99" t="n">
        <v>42.5</v>
      </c>
      <c r="N476" s="99" t="inlineStr">
        <is>
          <t>N</t>
        </is>
      </c>
      <c r="O476" s="99" t="n">
        <v>89.25</v>
      </c>
      <c r="P476" s="99" t="inlineStr">
        <is>
          <t>N</t>
        </is>
      </c>
      <c r="Q476" s="99" t="inlineStr">
        <is>
          <t>N/A</t>
        </is>
      </c>
      <c r="R476" s="99" t="inlineStr">
        <is>
          <t>N</t>
        </is>
      </c>
      <c r="S476" s="99" t="n">
        <v>-10.1</v>
      </c>
      <c r="T476" s="99" t="n">
        <v>-4.7</v>
      </c>
      <c r="U476" s="99" t="inlineStr">
        <is>
          <t>N</t>
        </is>
      </c>
      <c r="V476" s="99" t="n">
        <v>2.6</v>
      </c>
      <c r="W476" s="99" t="inlineStr">
        <is>
          <t>N/A</t>
        </is>
      </c>
      <c r="X476" s="99" t="inlineStr">
        <is>
          <t>N/A</t>
        </is>
      </c>
      <c r="Y476" s="99" t="n">
        <v>-28.6</v>
      </c>
      <c r="Z476" s="99" t="n">
        <v>1</v>
      </c>
      <c r="AA476" s="94" t="inlineStr">
        <is>
          <t>AVOID</t>
        </is>
      </c>
    </row>
    <row r="478">
      <c r="A478" s="89" t="inlineStr">
        <is>
          <t>EARLY MOMENTUM WATCHLIST (RSI 40-50) — 141 stocks turning up, not yet extended</t>
        </is>
      </c>
    </row>
    <row r="479" ht="32" customHeight="1" s="45">
      <c r="A479" s="90" t="inlineStr">
        <is>
          <t>Symbol</t>
        </is>
      </c>
      <c r="B479" s="90" t="inlineStr">
        <is>
          <t>Name</t>
        </is>
      </c>
      <c r="C479" s="90" t="inlineStr">
        <is>
          <t>Sector</t>
        </is>
      </c>
      <c r="D479" s="90" t="inlineStr">
        <is>
          <t>Cap Segment</t>
        </is>
      </c>
      <c r="E479" s="90" t="inlineStr">
        <is>
          <t>Close</t>
        </is>
      </c>
      <c r="F479" s="90" t="inlineStr">
        <is>
          <t>% Chg</t>
        </is>
      </c>
      <c r="G479" s="90" t="inlineStr">
        <is>
          <t>Volume</t>
        </is>
      </c>
      <c r="H479" s="90" t="inlineStr">
        <is>
          <t>Vol Ratio (vs 3d avg)</t>
        </is>
      </c>
      <c r="I479" s="90" t="inlineStr">
        <is>
          <t>Mkt Cap (Cr)</t>
        </is>
      </c>
      <c r="J479" s="90" t="inlineStr">
        <is>
          <t>Liquidity OK?</t>
        </is>
      </c>
      <c r="K479" s="90" t="inlineStr">
        <is>
          <t>Above 50DMA?</t>
        </is>
      </c>
      <c r="L479" s="90" t="inlineStr">
        <is>
          <t>Above 200DMA?</t>
        </is>
      </c>
      <c r="M479" s="90" t="inlineStr">
        <is>
          <t>RSI(14)</t>
        </is>
      </c>
      <c r="N479" s="90" t="inlineStr">
        <is>
          <t>RSI Healthy?</t>
        </is>
      </c>
      <c r="O479" s="90" t="inlineStr">
        <is>
          <t>ATR(14)</t>
        </is>
      </c>
      <c r="P479" s="90" t="inlineStr">
        <is>
          <t>Vol Spike?</t>
        </is>
      </c>
      <c r="Q479" s="90" t="inlineStr">
        <is>
          <t>% Down from 52wH</t>
        </is>
      </c>
      <c r="R479" s="90" t="inlineStr">
        <is>
          <t>Near 52wH?</t>
        </is>
      </c>
      <c r="S479" s="90" t="inlineStr">
        <is>
          <t>RS vs Nifty 1M %</t>
        </is>
      </c>
      <c r="T479" s="90" t="inlineStr">
        <is>
          <t>RS vs Nifty 3M %</t>
        </is>
      </c>
      <c r="U479" s="90" t="inlineStr">
        <is>
          <t>RS Positive?</t>
        </is>
      </c>
      <c r="V479" s="90" t="inlineStr">
        <is>
          <t>P/E</t>
        </is>
      </c>
      <c r="W479" s="90" t="inlineStr">
        <is>
          <t>ROE %</t>
        </is>
      </c>
      <c r="X479" s="90" t="inlineStr">
        <is>
          <t>Debt/Equity</t>
        </is>
      </c>
      <c r="Y479" s="90" t="inlineStr">
        <is>
          <t>QoQ Profit Gr %</t>
        </is>
      </c>
      <c r="Z479" s="90" t="inlineStr">
        <is>
          <t>Score (0-9)</t>
        </is>
      </c>
      <c r="AA479" s="90" t="inlineStr">
        <is>
          <t>Verdict</t>
        </is>
      </c>
    </row>
    <row r="480">
      <c r="A480" s="97" t="inlineStr">
        <is>
          <t>AEGISLOG</t>
        </is>
      </c>
      <c r="B480" s="97" t="inlineStr">
        <is>
          <t>Aegis Logistics Ltd.</t>
        </is>
      </c>
      <c r="C480" s="97" t="inlineStr">
        <is>
          <t>Oil Gas &amp; Consumable Fuels</t>
        </is>
      </c>
      <c r="D480" s="97" t="inlineStr">
        <is>
          <t>Smallcap</t>
        </is>
      </c>
      <c r="E480" s="97" t="n">
        <v>1349.6</v>
      </c>
      <c r="F480" s="97" t="n">
        <v>-1.41</v>
      </c>
      <c r="G480" s="97" t="n">
        <v>1168708</v>
      </c>
      <c r="H480" s="97" t="n">
        <v>0.73</v>
      </c>
      <c r="I480" s="97" t="n">
        <v>47371</v>
      </c>
      <c r="J480" s="97" t="inlineStr">
        <is>
          <t>Y</t>
        </is>
      </c>
      <c r="K480" s="97" t="inlineStr">
        <is>
          <t>Y</t>
        </is>
      </c>
      <c r="L480" s="97" t="inlineStr">
        <is>
          <t>Y</t>
        </is>
      </c>
      <c r="M480" s="97" t="n">
        <v>46.1</v>
      </c>
      <c r="N480" s="97" t="inlineStr">
        <is>
          <t>N</t>
        </is>
      </c>
      <c r="O480" s="97" t="n">
        <v>91.17</v>
      </c>
      <c r="P480" s="97" t="inlineStr">
        <is>
          <t>N</t>
        </is>
      </c>
      <c r="Q480" s="97" t="inlineStr">
        <is>
          <t>N/A</t>
        </is>
      </c>
      <c r="R480" s="97" t="inlineStr">
        <is>
          <t>N</t>
        </is>
      </c>
      <c r="S480" s="97" t="n">
        <v>20</v>
      </c>
      <c r="T480" s="97" t="n">
        <v>91.7</v>
      </c>
      <c r="U480" s="97" t="inlineStr">
        <is>
          <t>Y</t>
        </is>
      </c>
      <c r="V480" s="97" t="n">
        <v>52.6</v>
      </c>
      <c r="W480" s="97" t="n">
        <v>15.3</v>
      </c>
      <c r="X480" s="97" t="n">
        <v>47.24</v>
      </c>
      <c r="Y480" s="97" t="n">
        <v>132.1</v>
      </c>
      <c r="Z480" s="97" t="n">
        <v>6</v>
      </c>
      <c r="AA480" s="92" t="inlineStr">
        <is>
          <t>WATCHLIST</t>
        </is>
      </c>
    </row>
    <row r="481">
      <c r="A481" s="99" t="inlineStr">
        <is>
          <t>CARTRADE</t>
        </is>
      </c>
      <c r="B481" s="99" t="inlineStr">
        <is>
          <t>Cartrade Tech Ltd.</t>
        </is>
      </c>
      <c r="C481" s="99" t="inlineStr">
        <is>
          <t>Consumer Services</t>
        </is>
      </c>
      <c r="D481" s="99" t="inlineStr">
        <is>
          <t>Smallcap</t>
        </is>
      </c>
      <c r="E481" s="99" t="n">
        <v>2656.4</v>
      </c>
      <c r="F481" s="99" t="n">
        <v>-1.33</v>
      </c>
      <c r="G481" s="99" t="n">
        <v>376776</v>
      </c>
      <c r="H481" s="99" t="n">
        <v>1.25</v>
      </c>
      <c r="I481" s="99" t="n">
        <v>12837</v>
      </c>
      <c r="J481" s="99" t="inlineStr">
        <is>
          <t>Y</t>
        </is>
      </c>
      <c r="K481" s="99" t="inlineStr">
        <is>
          <t>Y</t>
        </is>
      </c>
      <c r="L481" s="99" t="inlineStr">
        <is>
          <t>Y</t>
        </is>
      </c>
      <c r="M481" s="99" t="n">
        <v>41.2</v>
      </c>
      <c r="N481" s="99" t="inlineStr">
        <is>
          <t>N</t>
        </is>
      </c>
      <c r="O481" s="99" t="n">
        <v>124.89</v>
      </c>
      <c r="P481" s="99" t="inlineStr">
        <is>
          <t>N</t>
        </is>
      </c>
      <c r="Q481" s="99" t="inlineStr">
        <is>
          <t>N/A</t>
        </is>
      </c>
      <c r="R481" s="99" t="inlineStr">
        <is>
          <t>N</t>
        </is>
      </c>
      <c r="S481" s="99" t="n">
        <v>-0.4</v>
      </c>
      <c r="T481" s="99" t="n">
        <v>62</v>
      </c>
      <c r="U481" s="99" t="inlineStr">
        <is>
          <t>Y</t>
        </is>
      </c>
      <c r="V481" s="99" t="n">
        <v>59.5</v>
      </c>
      <c r="W481" s="99" t="n">
        <v>9.800000000000001</v>
      </c>
      <c r="X481" s="99" t="n">
        <v>5.36</v>
      </c>
      <c r="Y481" s="99" t="n">
        <v>15.7</v>
      </c>
      <c r="Z481" s="99" t="n">
        <v>5</v>
      </c>
      <c r="AA481" s="94" t="inlineStr">
        <is>
          <t>WATCHLIST</t>
        </is>
      </c>
    </row>
    <row r="482">
      <c r="A482" s="97" t="inlineStr">
        <is>
          <t>CPPLUS</t>
        </is>
      </c>
      <c r="B482" s="97" t="inlineStr">
        <is>
          <t>Aditya Infotech Ltd.</t>
        </is>
      </c>
      <c r="C482" s="97" t="inlineStr">
        <is>
          <t>Capital Goods</t>
        </is>
      </c>
      <c r="D482" s="97" t="inlineStr">
        <is>
          <t>Smallcap</t>
        </is>
      </c>
      <c r="E482" s="97" t="n">
        <v>3543.4</v>
      </c>
      <c r="F482" s="97" t="n">
        <v>-1.92</v>
      </c>
      <c r="G482" s="97" t="n">
        <v>150044</v>
      </c>
      <c r="H482" s="97" t="n">
        <v>0.92</v>
      </c>
      <c r="I482" s="97" t="n">
        <v>41759</v>
      </c>
      <c r="J482" s="97" t="inlineStr">
        <is>
          <t>Y</t>
        </is>
      </c>
      <c r="K482" s="97" t="inlineStr">
        <is>
          <t>Y</t>
        </is>
      </c>
      <c r="L482" s="97" t="inlineStr">
        <is>
          <t>Y</t>
        </is>
      </c>
      <c r="M482" s="97" t="n">
        <v>46.6</v>
      </c>
      <c r="N482" s="97" t="inlineStr">
        <is>
          <t>N</t>
        </is>
      </c>
      <c r="O482" s="97" t="n">
        <v>149.04</v>
      </c>
      <c r="P482" s="97" t="inlineStr">
        <is>
          <t>N</t>
        </is>
      </c>
      <c r="Q482" s="97" t="inlineStr">
        <is>
          <t>N/A</t>
        </is>
      </c>
      <c r="R482" s="97" t="inlineStr">
        <is>
          <t>N</t>
        </is>
      </c>
      <c r="S482" s="97" t="n">
        <v>0.7</v>
      </c>
      <c r="T482" s="97" t="n">
        <v>52.1</v>
      </c>
      <c r="U482" s="97" t="inlineStr">
        <is>
          <t>Y</t>
        </is>
      </c>
      <c r="V482" s="97" t="n">
        <v>111.1</v>
      </c>
      <c r="W482" s="97" t="n">
        <v>25.4</v>
      </c>
      <c r="X482" s="97" t="n">
        <v>9.6</v>
      </c>
      <c r="Y482" s="97" t="n">
        <v>76.2</v>
      </c>
      <c r="Z482" s="97" t="n">
        <v>6</v>
      </c>
      <c r="AA482" s="92" t="inlineStr">
        <is>
          <t>WATCHLIST</t>
        </is>
      </c>
    </row>
    <row r="483">
      <c r="A483" s="99" t="inlineStr">
        <is>
          <t>GLAND</t>
        </is>
      </c>
      <c r="B483" s="99" t="inlineStr">
        <is>
          <t>Gland Pharma Ltd.</t>
        </is>
      </c>
      <c r="C483" s="99" t="inlineStr">
        <is>
          <t>Healthcare</t>
        </is>
      </c>
      <c r="D483" s="99" t="inlineStr">
        <is>
          <t>Smallcap</t>
        </is>
      </c>
      <c r="E483" s="99" t="n">
        <v>2379.8</v>
      </c>
      <c r="F483" s="99" t="n">
        <v>0.09</v>
      </c>
      <c r="G483" s="99" t="n">
        <v>156545</v>
      </c>
      <c r="H483" s="99" t="n">
        <v>0.43</v>
      </c>
      <c r="I483" s="99" t="n">
        <v>39257</v>
      </c>
      <c r="J483" s="99" t="inlineStr">
        <is>
          <t>Y</t>
        </is>
      </c>
      <c r="K483" s="99" t="inlineStr">
        <is>
          <t>Y</t>
        </is>
      </c>
      <c r="L483" s="99" t="inlineStr">
        <is>
          <t>Y</t>
        </is>
      </c>
      <c r="M483" s="99" t="n">
        <v>42.1</v>
      </c>
      <c r="N483" s="99" t="inlineStr">
        <is>
          <t>N</t>
        </is>
      </c>
      <c r="O483" s="99" t="n">
        <v>83.59</v>
      </c>
      <c r="P483" s="99" t="inlineStr">
        <is>
          <t>N</t>
        </is>
      </c>
      <c r="Q483" s="99" t="inlineStr">
        <is>
          <t>N/A</t>
        </is>
      </c>
      <c r="R483" s="99" t="inlineStr">
        <is>
          <t>N</t>
        </is>
      </c>
      <c r="S483" s="99" t="n">
        <v>3.9</v>
      </c>
      <c r="T483" s="99" t="n">
        <v>37.4</v>
      </c>
      <c r="U483" s="99" t="inlineStr">
        <is>
          <t>Y</t>
        </is>
      </c>
      <c r="V483" s="99" t="n">
        <v>38.2</v>
      </c>
      <c r="W483" s="99" t="n">
        <v>10.5</v>
      </c>
      <c r="X483" s="99" t="n">
        <v>2.74</v>
      </c>
      <c r="Y483" s="99" t="n">
        <v>40.2</v>
      </c>
      <c r="Z483" s="99" t="n">
        <v>5</v>
      </c>
      <c r="AA483" s="94" t="inlineStr">
        <is>
          <t>WATCHLIST</t>
        </is>
      </c>
    </row>
    <row r="484">
      <c r="A484" s="97" t="inlineStr">
        <is>
          <t>WOCKPHARMA</t>
        </is>
      </c>
      <c r="B484" s="97" t="inlineStr">
        <is>
          <t>Wockhardt Ltd.</t>
        </is>
      </c>
      <c r="C484" s="97" t="inlineStr">
        <is>
          <t>Healthcare</t>
        </is>
      </c>
      <c r="D484" s="97" t="inlineStr">
        <is>
          <t>Smallcap</t>
        </is>
      </c>
      <c r="E484" s="97" t="n">
        <v>1849.2</v>
      </c>
      <c r="F484" s="97" t="n">
        <v>-0.03</v>
      </c>
      <c r="G484" s="97" t="n">
        <v>330095</v>
      </c>
      <c r="H484" s="97" t="n">
        <v>0.62</v>
      </c>
      <c r="I484" s="97" t="n">
        <v>30048</v>
      </c>
      <c r="J484" s="97" t="inlineStr">
        <is>
          <t>Y</t>
        </is>
      </c>
      <c r="K484" s="97" t="inlineStr">
        <is>
          <t>N</t>
        </is>
      </c>
      <c r="L484" s="97" t="inlineStr">
        <is>
          <t>Y</t>
        </is>
      </c>
      <c r="M484" s="97" t="n">
        <v>40.3</v>
      </c>
      <c r="N484" s="97" t="inlineStr">
        <is>
          <t>N</t>
        </is>
      </c>
      <c r="O484" s="97" t="n">
        <v>61.09</v>
      </c>
      <c r="P484" s="97" t="inlineStr">
        <is>
          <t>N</t>
        </is>
      </c>
      <c r="Q484" s="97" t="inlineStr">
        <is>
          <t>N/A</t>
        </is>
      </c>
      <c r="R484" s="97" t="inlineStr">
        <is>
          <t>N</t>
        </is>
      </c>
      <c r="S484" s="97" t="n">
        <v>-4.8</v>
      </c>
      <c r="T484" s="97" t="n">
        <v>33.4</v>
      </c>
      <c r="U484" s="97" t="inlineStr">
        <is>
          <t>Y</t>
        </is>
      </c>
      <c r="V484" s="97" t="n">
        <v>140.8</v>
      </c>
      <c r="W484" s="97" t="n">
        <v>4</v>
      </c>
      <c r="X484" s="97" t="n">
        <v>42.28</v>
      </c>
      <c r="Y484" s="97" t="n">
        <v>181.4</v>
      </c>
      <c r="Z484" s="97" t="n">
        <v>4</v>
      </c>
      <c r="AA484" s="92" t="inlineStr">
        <is>
          <t>AVOID</t>
        </is>
      </c>
    </row>
    <row r="485">
      <c r="A485" s="99" t="inlineStr">
        <is>
          <t>MINDACORP</t>
        </is>
      </c>
      <c r="B485" s="99" t="inlineStr">
        <is>
          <t>Minda Corporation Ltd.</t>
        </is>
      </c>
      <c r="C485" s="99" t="inlineStr">
        <is>
          <t>Automobile and Auto Components</t>
        </is>
      </c>
      <c r="D485" s="99" t="inlineStr">
        <is>
          <t>Smallcap</t>
        </is>
      </c>
      <c r="E485" s="99" t="n">
        <v>676.45</v>
      </c>
      <c r="F485" s="99" t="n">
        <v>2.84</v>
      </c>
      <c r="G485" s="99" t="n">
        <v>192716</v>
      </c>
      <c r="H485" s="99" t="n">
        <v>1.29</v>
      </c>
      <c r="I485" s="99" t="n">
        <v>15921</v>
      </c>
      <c r="J485" s="99" t="inlineStr">
        <is>
          <t>Y</t>
        </is>
      </c>
      <c r="K485" s="99" t="inlineStr">
        <is>
          <t>Y</t>
        </is>
      </c>
      <c r="L485" s="99" t="inlineStr">
        <is>
          <t>Y</t>
        </is>
      </c>
      <c r="M485" s="99" t="n">
        <v>42.6</v>
      </c>
      <c r="N485" s="99" t="inlineStr">
        <is>
          <t>N</t>
        </is>
      </c>
      <c r="O485" s="99" t="n">
        <v>20.44</v>
      </c>
      <c r="P485" s="99" t="inlineStr">
        <is>
          <t>N</t>
        </is>
      </c>
      <c r="Q485" s="99" t="inlineStr">
        <is>
          <t>N/A</t>
        </is>
      </c>
      <c r="R485" s="99" t="inlineStr">
        <is>
          <t>N</t>
        </is>
      </c>
      <c r="S485" s="99" t="n">
        <v>2</v>
      </c>
      <c r="T485" s="99" t="n">
        <v>30.7</v>
      </c>
      <c r="U485" s="99" t="inlineStr">
        <is>
          <t>Y</t>
        </is>
      </c>
      <c r="V485" s="99" t="n">
        <v>44.9</v>
      </c>
      <c r="W485" s="99" t="n">
        <v>14.7</v>
      </c>
      <c r="X485" s="99" t="n">
        <v>55.35</v>
      </c>
      <c r="Y485" s="99" t="n">
        <v>45.4</v>
      </c>
      <c r="Z485" s="99" t="n">
        <v>5</v>
      </c>
      <c r="AA485" s="94" t="inlineStr">
        <is>
          <t>WATCHLIST</t>
        </is>
      </c>
    </row>
    <row r="486">
      <c r="A486" s="97" t="inlineStr">
        <is>
          <t>CGCL</t>
        </is>
      </c>
      <c r="B486" s="97" t="inlineStr">
        <is>
          <t>Capri Global Capital Ltd.</t>
        </is>
      </c>
      <c r="C486" s="97" t="inlineStr">
        <is>
          <t>Financial Services</t>
        </is>
      </c>
      <c r="D486" s="97" t="inlineStr">
        <is>
          <t>Smallcap</t>
        </is>
      </c>
      <c r="E486" s="97" t="n">
        <v>238.23</v>
      </c>
      <c r="F486" s="97" t="n">
        <v>-2.25</v>
      </c>
      <c r="G486" s="97" t="n">
        <v>1109602</v>
      </c>
      <c r="H486" s="97" t="n">
        <v>0.45</v>
      </c>
      <c r="I486" s="97" t="n">
        <v>22921</v>
      </c>
      <c r="J486" s="97" t="inlineStr">
        <is>
          <t>Y</t>
        </is>
      </c>
      <c r="K486" s="97" t="inlineStr">
        <is>
          <t>Y</t>
        </is>
      </c>
      <c r="L486" s="97" t="inlineStr">
        <is>
          <t>Y</t>
        </is>
      </c>
      <c r="M486" s="97" t="n">
        <v>45.7</v>
      </c>
      <c r="N486" s="97" t="inlineStr">
        <is>
          <t>N</t>
        </is>
      </c>
      <c r="O486" s="97" t="n">
        <v>9.32</v>
      </c>
      <c r="P486" s="97" t="inlineStr">
        <is>
          <t>N</t>
        </is>
      </c>
      <c r="Q486" s="97" t="inlineStr">
        <is>
          <t>N/A</t>
        </is>
      </c>
      <c r="R486" s="97" t="inlineStr">
        <is>
          <t>N</t>
        </is>
      </c>
      <c r="S486" s="97" t="n">
        <v>10.6</v>
      </c>
      <c r="T486" s="97" t="n">
        <v>30.2</v>
      </c>
      <c r="U486" s="97" t="inlineStr">
        <is>
          <t>Y</t>
        </is>
      </c>
      <c r="V486" s="97" t="n">
        <v>23.5</v>
      </c>
      <c r="W486" s="97" t="n">
        <v>16.5</v>
      </c>
      <c r="X486" s="97" t="n">
        <v>334.73</v>
      </c>
      <c r="Y486" s="97" t="n">
        <v>10.7</v>
      </c>
      <c r="Z486" s="97" t="n">
        <v>6</v>
      </c>
      <c r="AA486" s="92" t="inlineStr">
        <is>
          <t>WATCHLIST</t>
        </is>
      </c>
    </row>
    <row r="487">
      <c r="A487" s="99" t="inlineStr">
        <is>
          <t>KIRLOSENG</t>
        </is>
      </c>
      <c r="B487" s="99" t="inlineStr">
        <is>
          <t>Kirloskar Oil Eng Ltd.</t>
        </is>
      </c>
      <c r="C487" s="99" t="inlineStr">
        <is>
          <t>Capital Goods</t>
        </is>
      </c>
      <c r="D487" s="99" t="inlineStr">
        <is>
          <t>Smallcap</t>
        </is>
      </c>
      <c r="E487" s="99" t="n">
        <v>2182.5</v>
      </c>
      <c r="F487" s="99" t="n">
        <v>0.16</v>
      </c>
      <c r="G487" s="99" t="n">
        <v>212143</v>
      </c>
      <c r="H487" s="99" t="n">
        <v>0.61</v>
      </c>
      <c r="I487" s="99" t="n">
        <v>31757</v>
      </c>
      <c r="J487" s="99" t="inlineStr">
        <is>
          <t>Y</t>
        </is>
      </c>
      <c r="K487" s="99" t="inlineStr">
        <is>
          <t>Y</t>
        </is>
      </c>
      <c r="L487" s="99" t="inlineStr">
        <is>
          <t>Y</t>
        </is>
      </c>
      <c r="M487" s="99" t="n">
        <v>43.6</v>
      </c>
      <c r="N487" s="99" t="inlineStr">
        <is>
          <t>N</t>
        </is>
      </c>
      <c r="O487" s="99" t="n">
        <v>100.07</v>
      </c>
      <c r="P487" s="99" t="inlineStr">
        <is>
          <t>N</t>
        </is>
      </c>
      <c r="Q487" s="99" t="inlineStr">
        <is>
          <t>N/A</t>
        </is>
      </c>
      <c r="R487" s="99" t="inlineStr">
        <is>
          <t>N</t>
        </is>
      </c>
      <c r="S487" s="99" t="n">
        <v>-11.1</v>
      </c>
      <c r="T487" s="99" t="n">
        <v>29</v>
      </c>
      <c r="U487" s="99" t="inlineStr">
        <is>
          <t>Y</t>
        </is>
      </c>
      <c r="V487" s="99" t="n">
        <v>55.9</v>
      </c>
      <c r="W487" s="99" t="n">
        <v>16.8</v>
      </c>
      <c r="X487" s="99" t="n">
        <v>154.86</v>
      </c>
      <c r="Y487" s="99" t="n">
        <v>42.4</v>
      </c>
      <c r="Z487" s="99" t="n">
        <v>6</v>
      </c>
      <c r="AA487" s="94" t="inlineStr">
        <is>
          <t>WATCHLIST</t>
        </is>
      </c>
    </row>
    <row r="488">
      <c r="A488" s="97" t="inlineStr">
        <is>
          <t>DEEPAKFERT</t>
        </is>
      </c>
      <c r="B488" s="97" t="inlineStr">
        <is>
          <t>Deepak Fertilisers &amp; Petrochemicals Corp. Ltd.</t>
        </is>
      </c>
      <c r="C488" s="97" t="inlineStr">
        <is>
          <t>Chemicals</t>
        </is>
      </c>
      <c r="D488" s="97" t="inlineStr">
        <is>
          <t>Smallcap</t>
        </is>
      </c>
      <c r="E488" s="97" t="n">
        <v>1573.2</v>
      </c>
      <c r="F488" s="97" t="n">
        <v>-0.45</v>
      </c>
      <c r="G488" s="97" t="n">
        <v>119918</v>
      </c>
      <c r="H488" s="97" t="n">
        <v>0.85</v>
      </c>
      <c r="I488" s="97" t="n">
        <v>19880</v>
      </c>
      <c r="J488" s="97" t="inlineStr">
        <is>
          <t>Y</t>
        </is>
      </c>
      <c r="K488" s="97" t="inlineStr">
        <is>
          <t>Y</t>
        </is>
      </c>
      <c r="L488" s="97" t="inlineStr">
        <is>
          <t>Y</t>
        </is>
      </c>
      <c r="M488" s="97" t="n">
        <v>44.4</v>
      </c>
      <c r="N488" s="97" t="inlineStr">
        <is>
          <t>N</t>
        </is>
      </c>
      <c r="O488" s="97" t="n">
        <v>51.02</v>
      </c>
      <c r="P488" s="97" t="inlineStr">
        <is>
          <t>N</t>
        </is>
      </c>
      <c r="Q488" s="97" t="inlineStr">
        <is>
          <t>N/A</t>
        </is>
      </c>
      <c r="R488" s="97" t="inlineStr">
        <is>
          <t>N</t>
        </is>
      </c>
      <c r="S488" s="97" t="n">
        <v>1.5</v>
      </c>
      <c r="T488" s="97" t="n">
        <v>27.4</v>
      </c>
      <c r="U488" s="97" t="inlineStr">
        <is>
          <t>Y</t>
        </is>
      </c>
      <c r="V488" s="97" t="n">
        <v>27</v>
      </c>
      <c r="W488" s="97" t="n">
        <v>10.8</v>
      </c>
      <c r="X488" s="97" t="n">
        <v>75.97</v>
      </c>
      <c r="Y488" s="97" t="n">
        <v>-1.5</v>
      </c>
      <c r="Z488" s="97" t="n">
        <v>4</v>
      </c>
      <c r="AA488" s="92" t="inlineStr">
        <is>
          <t>AVOID</t>
        </is>
      </c>
    </row>
    <row r="489">
      <c r="A489" s="99" t="inlineStr">
        <is>
          <t>TATATECH</t>
        </is>
      </c>
      <c r="B489" s="99" t="inlineStr">
        <is>
          <t>Tata Technologies Ltd.</t>
        </is>
      </c>
      <c r="C489" s="99" t="inlineStr">
        <is>
          <t>Information Technology</t>
        </is>
      </c>
      <c r="D489" s="99" t="inlineStr">
        <is>
          <t>Smallcap</t>
        </is>
      </c>
      <c r="E489" s="99" t="n">
        <v>711</v>
      </c>
      <c r="F489" s="99" t="n">
        <v>2.12</v>
      </c>
      <c r="G489" s="99" t="n">
        <v>536734</v>
      </c>
      <c r="H489" s="99" t="n">
        <v>1</v>
      </c>
      <c r="I489" s="99" t="n">
        <v>28870</v>
      </c>
      <c r="J489" s="99" t="inlineStr">
        <is>
          <t>Y</t>
        </is>
      </c>
      <c r="K489" s="99" t="inlineStr">
        <is>
          <t>N</t>
        </is>
      </c>
      <c r="L489" s="99" t="inlineStr">
        <is>
          <t>Y</t>
        </is>
      </c>
      <c r="M489" s="99" t="n">
        <v>49.9</v>
      </c>
      <c r="N489" s="99" t="inlineStr">
        <is>
          <t>N</t>
        </is>
      </c>
      <c r="O489" s="99" t="n">
        <v>27.62</v>
      </c>
      <c r="P489" s="99" t="inlineStr">
        <is>
          <t>N</t>
        </is>
      </c>
      <c r="Q489" s="99" t="inlineStr">
        <is>
          <t>N/A</t>
        </is>
      </c>
      <c r="R489" s="99" t="inlineStr">
        <is>
          <t>N</t>
        </is>
      </c>
      <c r="S489" s="99" t="n">
        <v>-3.9</v>
      </c>
      <c r="T489" s="99" t="n">
        <v>26.7</v>
      </c>
      <c r="U489" s="99" t="inlineStr">
        <is>
          <t>Y</t>
        </is>
      </c>
      <c r="V489" s="99" t="n">
        <v>51.8</v>
      </c>
      <c r="W489" s="99" t="n">
        <v>14.6</v>
      </c>
      <c r="X489" s="99" t="n">
        <v>23.91</v>
      </c>
      <c r="Y489" s="99" t="n">
        <v>-11.5</v>
      </c>
      <c r="Z489" s="99" t="n">
        <v>3</v>
      </c>
      <c r="AA489" s="94" t="inlineStr">
        <is>
          <t>AVOID</t>
        </is>
      </c>
    </row>
    <row r="490">
      <c r="A490" s="97" t="inlineStr">
        <is>
          <t>WELSPUNLIV</t>
        </is>
      </c>
      <c r="B490" s="97" t="inlineStr">
        <is>
          <t>Welspun Living Ltd.</t>
        </is>
      </c>
      <c r="C490" s="97" t="inlineStr">
        <is>
          <t>Textiles</t>
        </is>
      </c>
      <c r="D490" s="97" t="inlineStr">
        <is>
          <t>Smallcap</t>
        </is>
      </c>
      <c r="E490" s="97" t="n">
        <v>162</v>
      </c>
      <c r="F490" s="97" t="n">
        <v>-1.81</v>
      </c>
      <c r="G490" s="97" t="n">
        <v>855247</v>
      </c>
      <c r="H490" s="97" t="n">
        <v>0.62</v>
      </c>
      <c r="I490" s="97" t="n">
        <v>15251</v>
      </c>
      <c r="J490" s="97" t="inlineStr">
        <is>
          <t>Y</t>
        </is>
      </c>
      <c r="K490" s="97" t="inlineStr">
        <is>
          <t>Y</t>
        </is>
      </c>
      <c r="L490" s="97" t="inlineStr">
        <is>
          <t>Y</t>
        </is>
      </c>
      <c r="M490" s="97" t="n">
        <v>40.6</v>
      </c>
      <c r="N490" s="97" t="inlineStr">
        <is>
          <t>N</t>
        </is>
      </c>
      <c r="O490" s="97" t="n">
        <v>6.09</v>
      </c>
      <c r="P490" s="97" t="inlineStr">
        <is>
          <t>N</t>
        </is>
      </c>
      <c r="Q490" s="97" t="inlineStr">
        <is>
          <t>N/A</t>
        </is>
      </c>
      <c r="R490" s="97" t="inlineStr">
        <is>
          <t>N</t>
        </is>
      </c>
      <c r="S490" s="97" t="n">
        <v>-2.1</v>
      </c>
      <c r="T490" s="97" t="n">
        <v>25</v>
      </c>
      <c r="U490" s="97" t="inlineStr">
        <is>
          <t>Y</t>
        </is>
      </c>
      <c r="V490" s="97" t="n">
        <v>75.7</v>
      </c>
      <c r="W490" s="97" t="n">
        <v>4.3</v>
      </c>
      <c r="X490" s="97" t="n">
        <v>46.5</v>
      </c>
      <c r="Y490" s="97" t="n">
        <v>49281</v>
      </c>
      <c r="Z490" s="97" t="n">
        <v>5</v>
      </c>
      <c r="AA490" s="92" t="inlineStr">
        <is>
          <t>WATCHLIST</t>
        </is>
      </c>
    </row>
    <row r="491">
      <c r="A491" s="99" t="inlineStr">
        <is>
          <t>SOLARINDS</t>
        </is>
      </c>
      <c r="B491" s="99" t="inlineStr">
        <is>
          <t>Solar Industries India Ltd.</t>
        </is>
      </c>
      <c r="C491" s="99" t="inlineStr">
        <is>
          <t>Chemicals</t>
        </is>
      </c>
      <c r="D491" s="99" t="inlineStr">
        <is>
          <t>Large/Midcap</t>
        </is>
      </c>
      <c r="E491" s="99" t="n">
        <v>18494</v>
      </c>
      <c r="F491" s="99" t="n">
        <v>-0.68</v>
      </c>
      <c r="G491" s="99" t="n">
        <v>75835</v>
      </c>
      <c r="H491" s="99" t="n">
        <v>0.92</v>
      </c>
      <c r="I491" s="99" t="n">
        <v>167352</v>
      </c>
      <c r="J491" s="99" t="inlineStr">
        <is>
          <t>Y</t>
        </is>
      </c>
      <c r="K491" s="99" t="inlineStr">
        <is>
          <t>Y</t>
        </is>
      </c>
      <c r="L491" s="99" t="inlineStr">
        <is>
          <t>Y</t>
        </is>
      </c>
      <c r="M491" s="99" t="n">
        <v>49.4</v>
      </c>
      <c r="N491" s="99" t="inlineStr">
        <is>
          <t>N</t>
        </is>
      </c>
      <c r="O491" s="99" t="n">
        <v>547.5700000000001</v>
      </c>
      <c r="P491" s="99" t="inlineStr">
        <is>
          <t>N</t>
        </is>
      </c>
      <c r="Q491" s="99" t="inlineStr">
        <is>
          <t>N/A</t>
        </is>
      </c>
      <c r="R491" s="99" t="inlineStr">
        <is>
          <t>N</t>
        </is>
      </c>
      <c r="S491" s="99" t="n">
        <v>7.2</v>
      </c>
      <c r="T491" s="99" t="n">
        <v>20.8</v>
      </c>
      <c r="U491" s="99" t="inlineStr">
        <is>
          <t>Y</t>
        </is>
      </c>
      <c r="V491" s="99" t="n">
        <v>100</v>
      </c>
      <c r="W491" s="99" t="n">
        <v>31.2</v>
      </c>
      <c r="X491" s="99" t="n">
        <v>23.27</v>
      </c>
      <c r="Y491" s="99" t="n">
        <v>22.7</v>
      </c>
      <c r="Z491" s="99" t="n">
        <v>6</v>
      </c>
      <c r="AA491" s="94" t="inlineStr">
        <is>
          <t>WATCHLIST</t>
        </is>
      </c>
    </row>
    <row r="492">
      <c r="A492" s="97" t="inlineStr">
        <is>
          <t>AJANTPHARM</t>
        </is>
      </c>
      <c r="B492" s="97" t="inlineStr">
        <is>
          <t>Ajanta Pharmaceuticals Ltd.</t>
        </is>
      </c>
      <c r="C492" s="97" t="inlineStr">
        <is>
          <t>Healthcare</t>
        </is>
      </c>
      <c r="D492" s="97" t="inlineStr">
        <is>
          <t>Large/Midcap</t>
        </is>
      </c>
      <c r="E492" s="97" t="n">
        <v>3369.5</v>
      </c>
      <c r="F492" s="97" t="n">
        <v>-2.05</v>
      </c>
      <c r="G492" s="97" t="n">
        <v>50410</v>
      </c>
      <c r="H492" s="97" t="n">
        <v>0.4</v>
      </c>
      <c r="I492" s="97" t="n">
        <v>42097</v>
      </c>
      <c r="J492" s="97" t="inlineStr">
        <is>
          <t>Y</t>
        </is>
      </c>
      <c r="K492" s="97" t="inlineStr">
        <is>
          <t>Y</t>
        </is>
      </c>
      <c r="L492" s="97" t="inlineStr">
        <is>
          <t>Y</t>
        </is>
      </c>
      <c r="M492" s="97" t="n">
        <v>49.7</v>
      </c>
      <c r="N492" s="97" t="inlineStr">
        <is>
          <t>N</t>
        </is>
      </c>
      <c r="O492" s="97" t="n">
        <v>102.98</v>
      </c>
      <c r="P492" s="97" t="inlineStr">
        <is>
          <t>N</t>
        </is>
      </c>
      <c r="Q492" s="97" t="inlineStr">
        <is>
          <t>N/A</t>
        </is>
      </c>
      <c r="R492" s="97" t="inlineStr">
        <is>
          <t>N</t>
        </is>
      </c>
      <c r="S492" s="97" t="n">
        <v>7</v>
      </c>
      <c r="T492" s="97" t="n">
        <v>20.7</v>
      </c>
      <c r="U492" s="97" t="inlineStr">
        <is>
          <t>Y</t>
        </is>
      </c>
      <c r="V492" s="97" t="n">
        <v>39.8</v>
      </c>
      <c r="W492" s="97" t="n">
        <v>25.4</v>
      </c>
      <c r="X492" s="97" t="n">
        <v>5.75</v>
      </c>
      <c r="Y492" s="97" t="n">
        <v>-2.6</v>
      </c>
      <c r="Z492" s="97" t="n">
        <v>5</v>
      </c>
      <c r="AA492" s="92" t="inlineStr">
        <is>
          <t>WATCHLIST</t>
        </is>
      </c>
    </row>
    <row r="493">
      <c r="A493" s="99" t="inlineStr">
        <is>
          <t>RADICO</t>
        </is>
      </c>
      <c r="B493" s="99" t="inlineStr">
        <is>
          <t>Radico Khaitan Ltd</t>
        </is>
      </c>
      <c r="C493" s="99" t="inlineStr">
        <is>
          <t>Fast Moving Consumer Goods</t>
        </is>
      </c>
      <c r="D493" s="99" t="inlineStr">
        <is>
          <t>Large/Midcap</t>
        </is>
      </c>
      <c r="E493" s="99" t="n">
        <v>4091.3</v>
      </c>
      <c r="F493" s="99" t="n">
        <v>0.86</v>
      </c>
      <c r="G493" s="99" t="n">
        <v>343711</v>
      </c>
      <c r="H493" s="99" t="n">
        <v>1.49</v>
      </c>
      <c r="I493" s="99" t="n">
        <v>54816</v>
      </c>
      <c r="J493" s="99" t="inlineStr">
        <is>
          <t>Y</t>
        </is>
      </c>
      <c r="K493" s="99" t="inlineStr">
        <is>
          <t>Y</t>
        </is>
      </c>
      <c r="L493" s="99" t="inlineStr">
        <is>
          <t>Y</t>
        </is>
      </c>
      <c r="M493" s="99" t="n">
        <v>49.2</v>
      </c>
      <c r="N493" s="99" t="inlineStr">
        <is>
          <t>N</t>
        </is>
      </c>
      <c r="O493" s="99" t="n">
        <v>83.26000000000001</v>
      </c>
      <c r="P493" s="99" t="inlineStr">
        <is>
          <t>N</t>
        </is>
      </c>
      <c r="Q493" s="99" t="inlineStr">
        <is>
          <t>N/A</t>
        </is>
      </c>
      <c r="R493" s="99" t="inlineStr">
        <is>
          <t>N</t>
        </is>
      </c>
      <c r="S493" s="99" t="n">
        <v>8.1</v>
      </c>
      <c r="T493" s="99" t="n">
        <v>19.1</v>
      </c>
      <c r="U493" s="99" t="inlineStr">
        <is>
          <t>Y</t>
        </is>
      </c>
      <c r="V493" s="99" t="n">
        <v>90.90000000000001</v>
      </c>
      <c r="W493" s="99" t="inlineStr">
        <is>
          <t>N/A</t>
        </is>
      </c>
      <c r="X493" s="99" t="n">
        <v>20.94</v>
      </c>
      <c r="Y493" s="99" t="n">
        <v>15.8</v>
      </c>
      <c r="Z493" s="99" t="n">
        <v>5</v>
      </c>
      <c r="AA493" s="94" t="inlineStr">
        <is>
          <t>WATCHLIST</t>
        </is>
      </c>
    </row>
    <row r="494">
      <c r="A494" s="97" t="inlineStr">
        <is>
          <t>JSWINFRA</t>
        </is>
      </c>
      <c r="B494" s="97" t="inlineStr">
        <is>
          <t>JSW Infrastructure Ltd.</t>
        </is>
      </c>
      <c r="C494" s="97" t="inlineStr">
        <is>
          <t>Services</t>
        </is>
      </c>
      <c r="D494" s="97" t="inlineStr">
        <is>
          <t>Large/Midcap</t>
        </is>
      </c>
      <c r="E494" s="97" t="n">
        <v>322.7</v>
      </c>
      <c r="F494" s="97" t="n">
        <v>-0.55</v>
      </c>
      <c r="G494" s="97" t="n">
        <v>2835528</v>
      </c>
      <c r="H494" s="97" t="n">
        <v>0.85</v>
      </c>
      <c r="I494" s="97" t="n">
        <v>74710</v>
      </c>
      <c r="J494" s="97" t="inlineStr">
        <is>
          <t>Y</t>
        </is>
      </c>
      <c r="K494" s="97" t="inlineStr">
        <is>
          <t>Y</t>
        </is>
      </c>
      <c r="L494" s="97" t="inlineStr">
        <is>
          <t>Y</t>
        </is>
      </c>
      <c r="M494" s="97" t="n">
        <v>49.3</v>
      </c>
      <c r="N494" s="97" t="inlineStr">
        <is>
          <t>N</t>
        </is>
      </c>
      <c r="O494" s="97" t="n">
        <v>12.08</v>
      </c>
      <c r="P494" s="97" t="inlineStr">
        <is>
          <t>N</t>
        </is>
      </c>
      <c r="Q494" s="97" t="inlineStr">
        <is>
          <t>N/A</t>
        </is>
      </c>
      <c r="R494" s="97" t="inlineStr">
        <is>
          <t>N</t>
        </is>
      </c>
      <c r="S494" s="97" t="n">
        <v>-1.1</v>
      </c>
      <c r="T494" s="97" t="n">
        <v>19</v>
      </c>
      <c r="U494" s="97" t="inlineStr">
        <is>
          <t>Y</t>
        </is>
      </c>
      <c r="V494" s="97" t="n">
        <v>45.5</v>
      </c>
      <c r="W494" s="97" t="inlineStr">
        <is>
          <t>N/A</t>
        </is>
      </c>
      <c r="X494" s="97" t="n">
        <v>59</v>
      </c>
      <c r="Y494" s="97" t="n">
        <v>-17.1</v>
      </c>
      <c r="Z494" s="97" t="n">
        <v>4</v>
      </c>
      <c r="AA494" s="92" t="inlineStr">
        <is>
          <t>AVOID</t>
        </is>
      </c>
    </row>
    <row r="495">
      <c r="A495" s="99" t="inlineStr">
        <is>
          <t>GRANULES</t>
        </is>
      </c>
      <c r="B495" s="99" t="inlineStr">
        <is>
          <t>Granules India Ltd.</t>
        </is>
      </c>
      <c r="C495" s="99" t="inlineStr">
        <is>
          <t>Healthcare</t>
        </is>
      </c>
      <c r="D495" s="99" t="inlineStr">
        <is>
          <t>Smallcap</t>
        </is>
      </c>
      <c r="E495" s="99" t="n">
        <v>833.55</v>
      </c>
      <c r="F495" s="99" t="n">
        <v>-2.23</v>
      </c>
      <c r="G495" s="99" t="n">
        <v>870853</v>
      </c>
      <c r="H495" s="99" t="n">
        <v>0.48</v>
      </c>
      <c r="I495" s="99" t="n">
        <v>20655</v>
      </c>
      <c r="J495" s="99" t="inlineStr">
        <is>
          <t>Y</t>
        </is>
      </c>
      <c r="K495" s="99" t="inlineStr">
        <is>
          <t>Y</t>
        </is>
      </c>
      <c r="L495" s="99" t="inlineStr">
        <is>
          <t>Y</t>
        </is>
      </c>
      <c r="M495" s="99" t="n">
        <v>42.2</v>
      </c>
      <c r="N495" s="99" t="inlineStr">
        <is>
          <t>N</t>
        </is>
      </c>
      <c r="O495" s="99" t="n">
        <v>28.37</v>
      </c>
      <c r="P495" s="99" t="inlineStr">
        <is>
          <t>N</t>
        </is>
      </c>
      <c r="Q495" s="99" t="inlineStr">
        <is>
          <t>N/A</t>
        </is>
      </c>
      <c r="R495" s="99" t="inlineStr">
        <is>
          <t>N</t>
        </is>
      </c>
      <c r="S495" s="99" t="n">
        <v>10.1</v>
      </c>
      <c r="T495" s="99" t="n">
        <v>18.9</v>
      </c>
      <c r="U495" s="99" t="inlineStr">
        <is>
          <t>Y</t>
        </is>
      </c>
      <c r="V495" s="99" t="n">
        <v>31</v>
      </c>
      <c r="W495" s="99" t="inlineStr">
        <is>
          <t>N/A</t>
        </is>
      </c>
      <c r="X495" s="99" t="n">
        <v>29.73</v>
      </c>
      <c r="Y495" s="99" t="n">
        <v>-10.7</v>
      </c>
      <c r="Z495" s="99" t="n">
        <v>4</v>
      </c>
      <c r="AA495" s="94" t="inlineStr">
        <is>
          <t>AVOID</t>
        </is>
      </c>
    </row>
    <row r="496">
      <c r="A496" s="97" t="inlineStr">
        <is>
          <t>PWL</t>
        </is>
      </c>
      <c r="B496" s="97" t="inlineStr">
        <is>
          <t>Physicswallah Ltd.</t>
        </is>
      </c>
      <c r="C496" s="97" t="inlineStr">
        <is>
          <t>Consumer Services</t>
        </is>
      </c>
      <c r="D496" s="97" t="inlineStr">
        <is>
          <t>Smallcap</t>
        </is>
      </c>
      <c r="E496" s="97" t="n">
        <v>128.05</v>
      </c>
      <c r="F496" s="97" t="n">
        <v>-3.9</v>
      </c>
      <c r="G496" s="97" t="n">
        <v>12191137</v>
      </c>
      <c r="H496" s="97" t="n">
        <v>3.99</v>
      </c>
      <c r="I496" s="97" t="n">
        <v>36618</v>
      </c>
      <c r="J496" s="97" t="inlineStr">
        <is>
          <t>Y</t>
        </is>
      </c>
      <c r="K496" s="97" t="inlineStr">
        <is>
          <t>Y</t>
        </is>
      </c>
      <c r="L496" s="97" t="inlineStr">
        <is>
          <t>N/A</t>
        </is>
      </c>
      <c r="M496" s="97" t="n">
        <v>42.9</v>
      </c>
      <c r="N496" s="97" t="inlineStr">
        <is>
          <t>N</t>
        </is>
      </c>
      <c r="O496" s="97" t="n">
        <v>8.31</v>
      </c>
      <c r="P496" s="97" t="inlineStr">
        <is>
          <t>N</t>
        </is>
      </c>
      <c r="Q496" s="97" t="inlineStr">
        <is>
          <t>N/A</t>
        </is>
      </c>
      <c r="R496" s="97" t="inlineStr">
        <is>
          <t>N</t>
        </is>
      </c>
      <c r="S496" s="97" t="n">
        <v>3.2</v>
      </c>
      <c r="T496" s="97" t="n">
        <v>16.3</v>
      </c>
      <c r="U496" s="97" t="inlineStr">
        <is>
          <t>Y</t>
        </is>
      </c>
      <c r="V496" s="97" t="inlineStr">
        <is>
          <t>N/A</t>
        </is>
      </c>
      <c r="W496" s="97" t="n">
        <v>-0.8</v>
      </c>
      <c r="X496" s="97" t="n">
        <v>23.02</v>
      </c>
      <c r="Y496" s="97" t="n">
        <v>-174.5</v>
      </c>
      <c r="Z496" s="97" t="n">
        <v>3</v>
      </c>
      <c r="AA496" s="92" t="inlineStr">
        <is>
          <t>AVOID</t>
        </is>
      </c>
    </row>
    <row r="497">
      <c r="A497" s="99" t="inlineStr">
        <is>
          <t>IDFCFIRSTB</t>
        </is>
      </c>
      <c r="B497" s="99" t="inlineStr">
        <is>
          <t>IDFC First Bank Ltd.</t>
        </is>
      </c>
      <c r="C497" s="99" t="inlineStr">
        <is>
          <t>Financial Services</t>
        </is>
      </c>
      <c r="D497" s="99" t="inlineStr">
        <is>
          <t>Large/Midcap</t>
        </is>
      </c>
      <c r="E497" s="99" t="n">
        <v>80.79000000000001</v>
      </c>
      <c r="F497" s="99" t="n">
        <v>1.11</v>
      </c>
      <c r="G497" s="99" t="n">
        <v>16260314</v>
      </c>
      <c r="H497" s="99" t="n">
        <v>1.14</v>
      </c>
      <c r="I497" s="99" t="n">
        <v>69616</v>
      </c>
      <c r="J497" s="99" t="inlineStr">
        <is>
          <t>Y</t>
        </is>
      </c>
      <c r="K497" s="99" t="inlineStr">
        <is>
          <t>Y</t>
        </is>
      </c>
      <c r="L497" s="99" t="inlineStr">
        <is>
          <t>Y</t>
        </is>
      </c>
      <c r="M497" s="99" t="n">
        <v>48.7</v>
      </c>
      <c r="N497" s="99" t="inlineStr">
        <is>
          <t>N</t>
        </is>
      </c>
      <c r="O497" s="99" t="n">
        <v>1.74</v>
      </c>
      <c r="P497" s="99" t="inlineStr">
        <is>
          <t>N</t>
        </is>
      </c>
      <c r="Q497" s="99" t="inlineStr">
        <is>
          <t>N/A</t>
        </is>
      </c>
      <c r="R497" s="99" t="inlineStr">
        <is>
          <t>N</t>
        </is>
      </c>
      <c r="S497" s="99" t="n">
        <v>3</v>
      </c>
      <c r="T497" s="99" t="n">
        <v>15.7</v>
      </c>
      <c r="U497" s="99" t="inlineStr">
        <is>
          <t>Y</t>
        </is>
      </c>
      <c r="V497" s="99" t="n">
        <v>43</v>
      </c>
      <c r="W497" s="99" t="inlineStr">
        <is>
          <t>N/A</t>
        </is>
      </c>
      <c r="X497" s="99" t="inlineStr">
        <is>
          <t>N/A</t>
        </is>
      </c>
      <c r="Y497" s="99" t="n">
        <v>-30.9</v>
      </c>
      <c r="Z497" s="99" t="n">
        <v>4</v>
      </c>
      <c r="AA497" s="94" t="inlineStr">
        <is>
          <t>AVOID</t>
        </is>
      </c>
    </row>
    <row r="498">
      <c r="A498" s="97" t="inlineStr">
        <is>
          <t>IPCALAB</t>
        </is>
      </c>
      <c r="B498" s="97" t="inlineStr">
        <is>
          <t>Ipca Laboratories Ltd.</t>
        </is>
      </c>
      <c r="C498" s="97" t="inlineStr">
        <is>
          <t>Healthcare</t>
        </is>
      </c>
      <c r="D498" s="97" t="inlineStr">
        <is>
          <t>Large/Midcap</t>
        </is>
      </c>
      <c r="E498" s="97" t="n">
        <v>1762.7</v>
      </c>
      <c r="F498" s="97" t="n">
        <v>-0.48</v>
      </c>
      <c r="G498" s="97" t="n">
        <v>79195</v>
      </c>
      <c r="H498" s="97" t="n">
        <v>0.3</v>
      </c>
      <c r="I498" s="97" t="n">
        <v>44720</v>
      </c>
      <c r="J498" s="97" t="inlineStr">
        <is>
          <t>Y</t>
        </is>
      </c>
      <c r="K498" s="97" t="inlineStr">
        <is>
          <t>Y</t>
        </is>
      </c>
      <c r="L498" s="97" t="inlineStr">
        <is>
          <t>Y</t>
        </is>
      </c>
      <c r="M498" s="97" t="n">
        <v>46.9</v>
      </c>
      <c r="N498" s="97" t="inlineStr">
        <is>
          <t>N</t>
        </is>
      </c>
      <c r="O498" s="97" t="n">
        <v>58.95</v>
      </c>
      <c r="P498" s="97" t="inlineStr">
        <is>
          <t>N</t>
        </is>
      </c>
      <c r="Q498" s="97" t="inlineStr">
        <is>
          <t>N/A</t>
        </is>
      </c>
      <c r="R498" s="97" t="inlineStr">
        <is>
          <t>N</t>
        </is>
      </c>
      <c r="S498" s="97" t="n">
        <v>10</v>
      </c>
      <c r="T498" s="97" t="n">
        <v>14.9</v>
      </c>
      <c r="U498" s="97" t="inlineStr">
        <is>
          <t>Y</t>
        </is>
      </c>
      <c r="V498" s="97" t="n">
        <v>39.2</v>
      </c>
      <c r="W498" s="97" t="n">
        <v>13.2</v>
      </c>
      <c r="X498" s="97" t="n">
        <v>8.49</v>
      </c>
      <c r="Y498" s="97" t="n">
        <v>-8.300000000000001</v>
      </c>
      <c r="Z498" s="97" t="n">
        <v>4</v>
      </c>
      <c r="AA498" s="92" t="inlineStr">
        <is>
          <t>AVOID</t>
        </is>
      </c>
    </row>
    <row r="499">
      <c r="A499" s="99" t="inlineStr">
        <is>
          <t>APOLLOHOSP</t>
        </is>
      </c>
      <c r="B499" s="99" t="inlineStr">
        <is>
          <t>Apollo Hospitals Enterprise Ltd.</t>
        </is>
      </c>
      <c r="C499" s="99" t="inlineStr">
        <is>
          <t>Healthcare</t>
        </is>
      </c>
      <c r="D499" s="99" t="inlineStr">
        <is>
          <t>Large/Midcap</t>
        </is>
      </c>
      <c r="E499" s="99" t="n">
        <v>8805.5</v>
      </c>
      <c r="F499" s="99" t="n">
        <v>-0.64</v>
      </c>
      <c r="G499" s="99" t="n">
        <v>189462</v>
      </c>
      <c r="H499" s="99" t="n">
        <v>1.12</v>
      </c>
      <c r="I499" s="99" t="n">
        <v>126610</v>
      </c>
      <c r="J499" s="99" t="inlineStr">
        <is>
          <t>Y</t>
        </is>
      </c>
      <c r="K499" s="99" t="inlineStr">
        <is>
          <t>Y</t>
        </is>
      </c>
      <c r="L499" s="99" t="inlineStr">
        <is>
          <t>Y</t>
        </is>
      </c>
      <c r="M499" s="99" t="n">
        <v>44.8</v>
      </c>
      <c r="N499" s="99" t="inlineStr">
        <is>
          <t>N</t>
        </is>
      </c>
      <c r="O499" s="99" t="n">
        <v>132.43</v>
      </c>
      <c r="P499" s="99" t="inlineStr">
        <is>
          <t>N</t>
        </is>
      </c>
      <c r="Q499" s="99" t="inlineStr">
        <is>
          <t>N/A</t>
        </is>
      </c>
      <c r="R499" s="99" t="inlineStr">
        <is>
          <t>N</t>
        </is>
      </c>
      <c r="S499" s="99" t="n">
        <v>3.5</v>
      </c>
      <c r="T499" s="99" t="n">
        <v>14.8</v>
      </c>
      <c r="U499" s="99" t="inlineStr">
        <is>
          <t>Y</t>
        </is>
      </c>
      <c r="V499" s="99" t="n">
        <v>65.40000000000001</v>
      </c>
      <c r="W499" s="99" t="n">
        <v>21.5</v>
      </c>
      <c r="X499" s="99" t="n">
        <v>85.15000000000001</v>
      </c>
      <c r="Y499" s="99" t="n">
        <v>5.4</v>
      </c>
      <c r="Z499" s="99" t="n">
        <v>6</v>
      </c>
      <c r="AA499" s="94" t="inlineStr">
        <is>
          <t>WATCHLIST</t>
        </is>
      </c>
    </row>
    <row r="500">
      <c r="A500" s="97" t="inlineStr">
        <is>
          <t>ANANDRATHI</t>
        </is>
      </c>
      <c r="B500" s="97" t="inlineStr">
        <is>
          <t>Anand Rathi Wealth Ltd.</t>
        </is>
      </c>
      <c r="C500" s="97" t="inlineStr">
        <is>
          <t>Financial Services</t>
        </is>
      </c>
      <c r="D500" s="97" t="inlineStr">
        <is>
          <t>Smallcap</t>
        </is>
      </c>
      <c r="E500" s="97" t="n">
        <v>2042.1</v>
      </c>
      <c r="F500" s="97" t="n">
        <v>-0.34</v>
      </c>
      <c r="G500" s="97" t="n">
        <v>231997</v>
      </c>
      <c r="H500" s="97" t="n">
        <v>1.34</v>
      </c>
      <c r="I500" s="97" t="n">
        <v>33907</v>
      </c>
      <c r="J500" s="97" t="inlineStr">
        <is>
          <t>Y</t>
        </is>
      </c>
      <c r="K500" s="97" t="inlineStr">
        <is>
          <t>Y</t>
        </is>
      </c>
      <c r="L500" s="97" t="inlineStr">
        <is>
          <t>Y</t>
        </is>
      </c>
      <c r="M500" s="97" t="n">
        <v>40.5</v>
      </c>
      <c r="N500" s="97" t="inlineStr">
        <is>
          <t>N</t>
        </is>
      </c>
      <c r="O500" s="97" t="n">
        <v>56.17</v>
      </c>
      <c r="P500" s="97" t="inlineStr">
        <is>
          <t>N</t>
        </is>
      </c>
      <c r="Q500" s="97" t="inlineStr">
        <is>
          <t>N/A</t>
        </is>
      </c>
      <c r="R500" s="97" t="inlineStr">
        <is>
          <t>N</t>
        </is>
      </c>
      <c r="S500" s="97" t="n">
        <v>6.7</v>
      </c>
      <c r="T500" s="97" t="n">
        <v>14.6</v>
      </c>
      <c r="U500" s="97" t="inlineStr">
        <is>
          <t>Y</t>
        </is>
      </c>
      <c r="V500" s="97" t="n">
        <v>74.09999999999999</v>
      </c>
      <c r="W500" s="97" t="inlineStr">
        <is>
          <t>N/A</t>
        </is>
      </c>
      <c r="X500" s="97" t="n">
        <v>8.25</v>
      </c>
      <c r="Y500" s="97" t="n">
        <v>57.9</v>
      </c>
      <c r="Z500" s="97" t="n">
        <v>5</v>
      </c>
      <c r="AA500" s="92" t="inlineStr">
        <is>
          <t>WATCHLIST</t>
        </is>
      </c>
    </row>
    <row r="501">
      <c r="A501" s="99" t="inlineStr">
        <is>
          <t>PIDILITIND</t>
        </is>
      </c>
      <c r="B501" s="99" t="inlineStr">
        <is>
          <t>Pidilite Industries Ltd.</t>
        </is>
      </c>
      <c r="C501" s="99" t="inlineStr">
        <is>
          <t>Chemicals</t>
        </is>
      </c>
      <c r="D501" s="99" t="inlineStr">
        <is>
          <t>Large/Midcap</t>
        </is>
      </c>
      <c r="E501" s="99" t="n">
        <v>1570.9</v>
      </c>
      <c r="F501" s="99" t="n">
        <v>0.43</v>
      </c>
      <c r="G501" s="99" t="n">
        <v>2199982</v>
      </c>
      <c r="H501" s="99" t="n">
        <v>1.49</v>
      </c>
      <c r="I501" s="99" t="n">
        <v>159885</v>
      </c>
      <c r="J501" s="99" t="inlineStr">
        <is>
          <t>Y</t>
        </is>
      </c>
      <c r="K501" s="99" t="inlineStr">
        <is>
          <t>Y</t>
        </is>
      </c>
      <c r="L501" s="99" t="inlineStr">
        <is>
          <t>Y</t>
        </is>
      </c>
      <c r="M501" s="99" t="n">
        <v>42.8</v>
      </c>
      <c r="N501" s="99" t="inlineStr">
        <is>
          <t>N</t>
        </is>
      </c>
      <c r="O501" s="99" t="n">
        <v>35.17</v>
      </c>
      <c r="P501" s="99" t="inlineStr">
        <is>
          <t>Y</t>
        </is>
      </c>
      <c r="Q501" s="99" t="inlineStr">
        <is>
          <t>N/A</t>
        </is>
      </c>
      <c r="R501" s="99" t="inlineStr">
        <is>
          <t>N</t>
        </is>
      </c>
      <c r="S501" s="99" t="n">
        <v>0.1</v>
      </c>
      <c r="T501" s="99" t="n">
        <v>14.5</v>
      </c>
      <c r="U501" s="99" t="inlineStr">
        <is>
          <t>Y</t>
        </is>
      </c>
      <c r="V501" s="99" t="n">
        <v>65.40000000000001</v>
      </c>
      <c r="W501" s="99" t="n">
        <v>23.5</v>
      </c>
      <c r="X501" s="99" t="n">
        <v>3.78</v>
      </c>
      <c r="Y501" s="99" t="n">
        <v>-6.3</v>
      </c>
      <c r="Z501" s="99" t="n">
        <v>6</v>
      </c>
      <c r="AA501" s="94" t="inlineStr">
        <is>
          <t>WATCHLIST</t>
        </is>
      </c>
    </row>
    <row r="502">
      <c r="A502" s="97" t="inlineStr">
        <is>
          <t>EMMVEE</t>
        </is>
      </c>
      <c r="B502" s="97" t="inlineStr">
        <is>
          <t>Emmvee Photovoltaic Power Ltd.</t>
        </is>
      </c>
      <c r="C502" s="97" t="inlineStr">
        <is>
          <t>Capital Goods</t>
        </is>
      </c>
      <c r="D502" s="97" t="inlineStr">
        <is>
          <t>Smallcap</t>
        </is>
      </c>
      <c r="E502" s="97" t="n">
        <v>331</v>
      </c>
      <c r="F502" s="97" t="n">
        <v>3.52</v>
      </c>
      <c r="G502" s="97" t="n">
        <v>2762319</v>
      </c>
      <c r="H502" s="97" t="n">
        <v>1.12</v>
      </c>
      <c r="I502" s="97" t="n">
        <v>22917</v>
      </c>
      <c r="J502" s="97" t="inlineStr">
        <is>
          <t>Y</t>
        </is>
      </c>
      <c r="K502" s="97" t="inlineStr">
        <is>
          <t>Y</t>
        </is>
      </c>
      <c r="L502" s="97" t="inlineStr">
        <is>
          <t>N/A</t>
        </is>
      </c>
      <c r="M502" s="97" t="n">
        <v>42.4</v>
      </c>
      <c r="N502" s="97" t="inlineStr">
        <is>
          <t>N</t>
        </is>
      </c>
      <c r="O502" s="97" t="n">
        <v>15.31</v>
      </c>
      <c r="P502" s="97" t="inlineStr">
        <is>
          <t>N</t>
        </is>
      </c>
      <c r="Q502" s="97" t="inlineStr">
        <is>
          <t>N/A</t>
        </is>
      </c>
      <c r="R502" s="97" t="inlineStr">
        <is>
          <t>N</t>
        </is>
      </c>
      <c r="S502" s="97" t="n">
        <v>-0.8</v>
      </c>
      <c r="T502" s="97" t="n">
        <v>14.4</v>
      </c>
      <c r="U502" s="97" t="inlineStr">
        <is>
          <t>Y</t>
        </is>
      </c>
      <c r="V502" s="97" t="n">
        <v>18</v>
      </c>
      <c r="W502" s="97" t="inlineStr">
        <is>
          <t>N/A</t>
        </is>
      </c>
      <c r="X502" s="97" t="n">
        <v>9.74</v>
      </c>
      <c r="Y502" s="97" t="n">
        <v>-3.1</v>
      </c>
      <c r="Z502" s="97" t="n">
        <v>3</v>
      </c>
      <c r="AA502" s="92" t="inlineStr">
        <is>
          <t>AVOID</t>
        </is>
      </c>
    </row>
    <row r="503">
      <c r="A503" s="99" t="inlineStr">
        <is>
          <t>THERMAX</t>
        </is>
      </c>
      <c r="B503" s="99" t="inlineStr">
        <is>
          <t>Thermax Ltd.</t>
        </is>
      </c>
      <c r="C503" s="99" t="inlineStr">
        <is>
          <t>Capital Goods</t>
        </is>
      </c>
      <c r="D503" s="99" t="inlineStr">
        <is>
          <t>Large/Midcap</t>
        </is>
      </c>
      <c r="E503" s="99" t="n">
        <v>4514</v>
      </c>
      <c r="F503" s="99" t="n">
        <v>-1.4</v>
      </c>
      <c r="G503" s="99" t="n">
        <v>88245</v>
      </c>
      <c r="H503" s="99" t="n">
        <v>0.47</v>
      </c>
      <c r="I503" s="99" t="n">
        <v>50850</v>
      </c>
      <c r="J503" s="99" t="inlineStr">
        <is>
          <t>Y</t>
        </is>
      </c>
      <c r="K503" s="99" t="inlineStr">
        <is>
          <t>N</t>
        </is>
      </c>
      <c r="L503" s="99" t="inlineStr">
        <is>
          <t>Y</t>
        </is>
      </c>
      <c r="M503" s="99" t="n">
        <v>42.9</v>
      </c>
      <c r="N503" s="99" t="inlineStr">
        <is>
          <t>N</t>
        </is>
      </c>
      <c r="O503" s="99" t="n">
        <v>167.5</v>
      </c>
      <c r="P503" s="99" t="inlineStr">
        <is>
          <t>N</t>
        </is>
      </c>
      <c r="Q503" s="99" t="inlineStr">
        <is>
          <t>N/A</t>
        </is>
      </c>
      <c r="R503" s="99" t="inlineStr">
        <is>
          <t>N</t>
        </is>
      </c>
      <c r="S503" s="99" t="n">
        <v>-5.1</v>
      </c>
      <c r="T503" s="99" t="n">
        <v>14.1</v>
      </c>
      <c r="U503" s="99" t="inlineStr">
        <is>
          <t>Y</t>
        </is>
      </c>
      <c r="V503" s="99" t="n">
        <v>70.40000000000001</v>
      </c>
      <c r="W503" s="99" t="n">
        <v>13.7</v>
      </c>
      <c r="X503" s="99" t="n">
        <v>42.17</v>
      </c>
      <c r="Y503" s="99" t="n">
        <v>19.6</v>
      </c>
      <c r="Z503" s="99" t="n">
        <v>4</v>
      </c>
      <c r="AA503" s="94" t="inlineStr">
        <is>
          <t>AVOID</t>
        </is>
      </c>
    </row>
    <row r="504">
      <c r="A504" s="97" t="inlineStr">
        <is>
          <t>INDHOTEL</t>
        </is>
      </c>
      <c r="B504" s="97" t="inlineStr">
        <is>
          <t>Indian Hotels Co. Ltd.</t>
        </is>
      </c>
      <c r="C504" s="97" t="inlineStr">
        <is>
          <t>Consumer Services</t>
        </is>
      </c>
      <c r="D504" s="97" t="inlineStr">
        <is>
          <t>Large/Midcap</t>
        </is>
      </c>
      <c r="E504" s="97" t="n">
        <v>727.45</v>
      </c>
      <c r="F504" s="97" t="n">
        <v>0.47</v>
      </c>
      <c r="G504" s="97" t="n">
        <v>1864296</v>
      </c>
      <c r="H504" s="97" t="n">
        <v>0.58</v>
      </c>
      <c r="I504" s="97" t="n">
        <v>103548</v>
      </c>
      <c r="J504" s="97" t="inlineStr">
        <is>
          <t>Y</t>
        </is>
      </c>
      <c r="K504" s="97" t="inlineStr">
        <is>
          <t>Y</t>
        </is>
      </c>
      <c r="L504" s="97" t="inlineStr">
        <is>
          <t>Y</t>
        </is>
      </c>
      <c r="M504" s="97" t="n">
        <v>45.7</v>
      </c>
      <c r="N504" s="97" t="inlineStr">
        <is>
          <t>N</t>
        </is>
      </c>
      <c r="O504" s="97" t="n">
        <v>17.17</v>
      </c>
      <c r="P504" s="97" t="inlineStr">
        <is>
          <t>N</t>
        </is>
      </c>
      <c r="Q504" s="97" t="inlineStr">
        <is>
          <t>N/A</t>
        </is>
      </c>
      <c r="R504" s="97" t="inlineStr">
        <is>
          <t>N</t>
        </is>
      </c>
      <c r="S504" s="97" t="n">
        <v>2</v>
      </c>
      <c r="T504" s="97" t="n">
        <v>13.9</v>
      </c>
      <c r="U504" s="97" t="inlineStr">
        <is>
          <t>Y</t>
        </is>
      </c>
      <c r="V504" s="97" t="n">
        <v>48.3</v>
      </c>
      <c r="W504" s="97" t="inlineStr">
        <is>
          <t>N/A</t>
        </is>
      </c>
      <c r="X504" s="97" t="n">
        <v>18.99</v>
      </c>
      <c r="Y504" s="97" t="n">
        <v>-40.3</v>
      </c>
      <c r="Z504" s="97" t="n">
        <v>4</v>
      </c>
      <c r="AA504" s="92" t="inlineStr">
        <is>
          <t>AVOID</t>
        </is>
      </c>
    </row>
    <row r="505">
      <c r="A505" s="99" t="inlineStr">
        <is>
          <t>ENDURANCE</t>
        </is>
      </c>
      <c r="B505" s="99" t="inlineStr">
        <is>
          <t>Endurance Technologies Ltd.</t>
        </is>
      </c>
      <c r="C505" s="99" t="inlineStr">
        <is>
          <t>Automobile and Auto Components</t>
        </is>
      </c>
      <c r="D505" s="99" t="inlineStr">
        <is>
          <t>Large/Midcap</t>
        </is>
      </c>
      <c r="E505" s="99" t="n">
        <v>2634</v>
      </c>
      <c r="F505" s="99" t="n">
        <v>-3.17</v>
      </c>
      <c r="G505" s="99" t="n">
        <v>369867</v>
      </c>
      <c r="H505" s="99" t="n">
        <v>4.45</v>
      </c>
      <c r="I505" s="99" t="n">
        <v>37051</v>
      </c>
      <c r="J505" s="99" t="inlineStr">
        <is>
          <t>Y</t>
        </is>
      </c>
      <c r="K505" s="99" t="inlineStr">
        <is>
          <t>N</t>
        </is>
      </c>
      <c r="L505" s="99" t="inlineStr">
        <is>
          <t>Y</t>
        </is>
      </c>
      <c r="M505" s="99" t="n">
        <v>48</v>
      </c>
      <c r="N505" s="99" t="inlineStr">
        <is>
          <t>N</t>
        </is>
      </c>
      <c r="O505" s="99" t="n">
        <v>77.88</v>
      </c>
      <c r="P505" s="99" t="inlineStr">
        <is>
          <t>Y</t>
        </is>
      </c>
      <c r="Q505" s="99" t="inlineStr">
        <is>
          <t>N/A</t>
        </is>
      </c>
      <c r="R505" s="99" t="inlineStr">
        <is>
          <t>N</t>
        </is>
      </c>
      <c r="S505" s="99" t="n">
        <v>-1.4</v>
      </c>
      <c r="T505" s="99" t="n">
        <v>13.7</v>
      </c>
      <c r="U505" s="99" t="inlineStr">
        <is>
          <t>Y</t>
        </is>
      </c>
      <c r="V505" s="99" t="n">
        <v>38.9</v>
      </c>
      <c r="W505" s="99" t="n">
        <v>15.2</v>
      </c>
      <c r="X505" s="99" t="n">
        <v>19.39</v>
      </c>
      <c r="Y505" s="99" t="n">
        <v>24.7</v>
      </c>
      <c r="Z505" s="99" t="n">
        <v>6</v>
      </c>
      <c r="AA505" s="94" t="inlineStr">
        <is>
          <t>WATCHLIST</t>
        </is>
      </c>
    </row>
    <row r="506">
      <c r="A506" s="97" t="inlineStr">
        <is>
          <t>OFSS</t>
        </is>
      </c>
      <c r="B506" s="97" t="inlineStr">
        <is>
          <t>Oracle Financial Services Software Ltd.</t>
        </is>
      </c>
      <c r="C506" s="97" t="inlineStr">
        <is>
          <t>Information Technology</t>
        </is>
      </c>
      <c r="D506" s="97" t="inlineStr">
        <is>
          <t>Large/Midcap</t>
        </is>
      </c>
      <c r="E506" s="97" t="n">
        <v>10652</v>
      </c>
      <c r="F506" s="97" t="n">
        <v>-1.76</v>
      </c>
      <c r="G506" s="97" t="n">
        <v>452845</v>
      </c>
      <c r="H506" s="97" t="n">
        <v>0.34</v>
      </c>
      <c r="I506" s="97" t="n">
        <v>92753</v>
      </c>
      <c r="J506" s="97" t="inlineStr">
        <is>
          <t>Y</t>
        </is>
      </c>
      <c r="K506" s="97" t="inlineStr">
        <is>
          <t>Y</t>
        </is>
      </c>
      <c r="L506" s="97" t="inlineStr">
        <is>
          <t>Y</t>
        </is>
      </c>
      <c r="M506" s="97" t="n">
        <v>40.8</v>
      </c>
      <c r="N506" s="97" t="inlineStr">
        <is>
          <t>N</t>
        </is>
      </c>
      <c r="O506" s="97" t="n">
        <v>460.14</v>
      </c>
      <c r="P506" s="97" t="inlineStr">
        <is>
          <t>N</t>
        </is>
      </c>
      <c r="Q506" s="97" t="inlineStr">
        <is>
          <t>N/A</t>
        </is>
      </c>
      <c r="R506" s="97" t="inlineStr">
        <is>
          <t>N</t>
        </is>
      </c>
      <c r="S506" s="97" t="n">
        <v>-1.9</v>
      </c>
      <c r="T506" s="97" t="n">
        <v>13.6</v>
      </c>
      <c r="U506" s="97" t="inlineStr">
        <is>
          <t>Y</t>
        </is>
      </c>
      <c r="V506" s="97" t="n">
        <v>27.2</v>
      </c>
      <c r="W506" s="97" t="inlineStr">
        <is>
          <t>N/A</t>
        </is>
      </c>
      <c r="X506" s="97" t="n">
        <v>0.41</v>
      </c>
      <c r="Y506" s="97" t="n">
        <v>68.2</v>
      </c>
      <c r="Z506" s="97" t="n">
        <v>5</v>
      </c>
      <c r="AA506" s="92" t="inlineStr">
        <is>
          <t>WATCHLIST</t>
        </is>
      </c>
    </row>
    <row r="507">
      <c r="A507" s="99" t="inlineStr">
        <is>
          <t>ABCAPITAL</t>
        </is>
      </c>
      <c r="B507" s="99" t="inlineStr">
        <is>
          <t>Aditya Birla Capital Ltd.</t>
        </is>
      </c>
      <c r="C507" s="99" t="inlineStr">
        <is>
          <t>Financial Services</t>
        </is>
      </c>
      <c r="D507" s="99" t="inlineStr">
        <is>
          <t>Large/Midcap</t>
        </is>
      </c>
      <c r="E507" s="99" t="n">
        <v>393.85</v>
      </c>
      <c r="F507" s="99" t="n">
        <v>0.41</v>
      </c>
      <c r="G507" s="99" t="n">
        <v>3424162</v>
      </c>
      <c r="H507" s="99" t="n">
        <v>0.82</v>
      </c>
      <c r="I507" s="99" t="n">
        <v>107762</v>
      </c>
      <c r="J507" s="99" t="inlineStr">
        <is>
          <t>Y</t>
        </is>
      </c>
      <c r="K507" s="99" t="inlineStr">
        <is>
          <t>Y</t>
        </is>
      </c>
      <c r="L507" s="99" t="inlineStr">
        <is>
          <t>Y</t>
        </is>
      </c>
      <c r="M507" s="99" t="n">
        <v>41.5</v>
      </c>
      <c r="N507" s="99" t="inlineStr">
        <is>
          <t>N</t>
        </is>
      </c>
      <c r="O507" s="99" t="n">
        <v>11.01</v>
      </c>
      <c r="P507" s="99" t="inlineStr">
        <is>
          <t>N</t>
        </is>
      </c>
      <c r="Q507" s="99" t="inlineStr">
        <is>
          <t>N/A</t>
        </is>
      </c>
      <c r="R507" s="99" t="inlineStr">
        <is>
          <t>N</t>
        </is>
      </c>
      <c r="S507" s="99" t="n">
        <v>1.8</v>
      </c>
      <c r="T507" s="99" t="n">
        <v>13.6</v>
      </c>
      <c r="U507" s="99" t="inlineStr">
        <is>
          <t>Y</t>
        </is>
      </c>
      <c r="V507" s="99" t="n">
        <v>27.6</v>
      </c>
      <c r="W507" s="99" t="n">
        <v>11.2</v>
      </c>
      <c r="X507" s="99" t="n">
        <v>495.94</v>
      </c>
      <c r="Y507" s="99" t="n">
        <v>19.5</v>
      </c>
      <c r="Z507" s="99" t="n">
        <v>5</v>
      </c>
      <c r="AA507" s="94" t="inlineStr">
        <is>
          <t>WATCHLIST</t>
        </is>
      </c>
    </row>
    <row r="508">
      <c r="A508" s="97" t="inlineStr">
        <is>
          <t>ZYDUSWELL</t>
        </is>
      </c>
      <c r="B508" s="97" t="inlineStr">
        <is>
          <t>Zydus Wellness Ltd.</t>
        </is>
      </c>
      <c r="C508" s="97" t="inlineStr">
        <is>
          <t>Fast Moving Consumer Goods</t>
        </is>
      </c>
      <c r="D508" s="97" t="inlineStr">
        <is>
          <t>Smallcap</t>
        </is>
      </c>
      <c r="E508" s="97" t="n">
        <v>563.05</v>
      </c>
      <c r="F508" s="97" t="n">
        <v>2.21</v>
      </c>
      <c r="G508" s="97" t="n">
        <v>212435</v>
      </c>
      <c r="H508" s="97" t="n">
        <v>0.91</v>
      </c>
      <c r="I508" s="97" t="n">
        <v>17914</v>
      </c>
      <c r="J508" s="97" t="inlineStr">
        <is>
          <t>Y</t>
        </is>
      </c>
      <c r="K508" s="97" t="inlineStr">
        <is>
          <t>Y</t>
        </is>
      </c>
      <c r="L508" s="97" t="inlineStr">
        <is>
          <t>Y</t>
        </is>
      </c>
      <c r="M508" s="97" t="n">
        <v>45.2</v>
      </c>
      <c r="N508" s="97" t="inlineStr">
        <is>
          <t>N</t>
        </is>
      </c>
      <c r="O508" s="97" t="n">
        <v>22.94</v>
      </c>
      <c r="P508" s="97" t="inlineStr">
        <is>
          <t>N</t>
        </is>
      </c>
      <c r="Q508" s="97" t="inlineStr">
        <is>
          <t>N/A</t>
        </is>
      </c>
      <c r="R508" s="97" t="inlineStr">
        <is>
          <t>N</t>
        </is>
      </c>
      <c r="S508" s="97" t="n">
        <v>10</v>
      </c>
      <c r="T508" s="97" t="n">
        <v>13.3</v>
      </c>
      <c r="U508" s="97" t="inlineStr">
        <is>
          <t>Y</t>
        </is>
      </c>
      <c r="V508" s="97" t="n">
        <v>91</v>
      </c>
      <c r="W508" s="97" t="n">
        <v>3.4</v>
      </c>
      <c r="X508" s="97" t="n">
        <v>54.97</v>
      </c>
      <c r="Y508" s="97" t="n">
        <v>506</v>
      </c>
      <c r="Z508" s="97" t="n">
        <v>5</v>
      </c>
      <c r="AA508" s="92" t="inlineStr">
        <is>
          <t>WATCHLIST</t>
        </is>
      </c>
    </row>
    <row r="509">
      <c r="A509" s="99" t="inlineStr">
        <is>
          <t>ASTERDM</t>
        </is>
      </c>
      <c r="B509" s="99" t="inlineStr">
        <is>
          <t>Aster DM Healthcare Ltd.</t>
        </is>
      </c>
      <c r="C509" s="99" t="inlineStr">
        <is>
          <t>Healthcare</t>
        </is>
      </c>
      <c r="D509" s="99" t="inlineStr">
        <is>
          <t>Smallcap</t>
        </is>
      </c>
      <c r="E509" s="99" t="n">
        <v>785.65</v>
      </c>
      <c r="F509" s="99" t="n">
        <v>0.17</v>
      </c>
      <c r="G509" s="99" t="n">
        <v>731330</v>
      </c>
      <c r="H509" s="99" t="n">
        <v>2.05</v>
      </c>
      <c r="I509" s="99" t="n">
        <v>68390</v>
      </c>
      <c r="J509" s="99" t="inlineStr">
        <is>
          <t>Y</t>
        </is>
      </c>
      <c r="K509" s="99" t="inlineStr">
        <is>
          <t>Y</t>
        </is>
      </c>
      <c r="L509" s="99" t="inlineStr">
        <is>
          <t>Y</t>
        </is>
      </c>
      <c r="M509" s="99" t="n">
        <v>47.5</v>
      </c>
      <c r="N509" s="99" t="inlineStr">
        <is>
          <t>N</t>
        </is>
      </c>
      <c r="O509" s="99" t="n">
        <v>20.23</v>
      </c>
      <c r="P509" s="99" t="inlineStr">
        <is>
          <t>N</t>
        </is>
      </c>
      <c r="Q509" s="99" t="inlineStr">
        <is>
          <t>N/A</t>
        </is>
      </c>
      <c r="R509" s="99" t="inlineStr">
        <is>
          <t>N</t>
        </is>
      </c>
      <c r="S509" s="99" t="n">
        <v>3.2</v>
      </c>
      <c r="T509" s="99" t="n">
        <v>12.9</v>
      </c>
      <c r="U509" s="99" t="inlineStr">
        <is>
          <t>Y</t>
        </is>
      </c>
      <c r="V509" s="99" t="n">
        <v>104.2</v>
      </c>
      <c r="W509" s="99" t="n">
        <v>10.1</v>
      </c>
      <c r="X509" s="99" t="n">
        <v>45.92</v>
      </c>
      <c r="Y509" s="99" t="n">
        <v>167.2</v>
      </c>
      <c r="Z509" s="99" t="n">
        <v>5</v>
      </c>
      <c r="AA509" s="94" t="inlineStr">
        <is>
          <t>WATCHLIST</t>
        </is>
      </c>
    </row>
    <row r="510">
      <c r="A510" s="97" t="inlineStr">
        <is>
          <t>JINDALSAW</t>
        </is>
      </c>
      <c r="B510" s="97" t="inlineStr">
        <is>
          <t>Jindal Saw Ltd.</t>
        </is>
      </c>
      <c r="C510" s="97" t="inlineStr">
        <is>
          <t>Capital Goods</t>
        </is>
      </c>
      <c r="D510" s="97" t="inlineStr">
        <is>
          <t>Smallcap</t>
        </is>
      </c>
      <c r="E510" s="97" t="n">
        <v>255.35</v>
      </c>
      <c r="F510" s="97" t="n">
        <v>-2.15</v>
      </c>
      <c r="G510" s="97" t="n">
        <v>1031851</v>
      </c>
      <c r="H510" s="97" t="n">
        <v>0.76</v>
      </c>
      <c r="I510" s="97" t="n">
        <v>16282</v>
      </c>
      <c r="J510" s="97" t="inlineStr">
        <is>
          <t>Y</t>
        </is>
      </c>
      <c r="K510" s="97" t="inlineStr">
        <is>
          <t>Y</t>
        </is>
      </c>
      <c r="L510" s="97" t="inlineStr">
        <is>
          <t>Y</t>
        </is>
      </c>
      <c r="M510" s="97" t="n">
        <v>47</v>
      </c>
      <c r="N510" s="97" t="inlineStr">
        <is>
          <t>N</t>
        </is>
      </c>
      <c r="O510" s="97" t="n">
        <v>11.51</v>
      </c>
      <c r="P510" s="97" t="inlineStr">
        <is>
          <t>N</t>
        </is>
      </c>
      <c r="Q510" s="97" t="inlineStr">
        <is>
          <t>N/A</t>
        </is>
      </c>
      <c r="R510" s="97" t="inlineStr">
        <is>
          <t>N</t>
        </is>
      </c>
      <c r="S510" s="97" t="n">
        <v>-1</v>
      </c>
      <c r="T510" s="97" t="n">
        <v>12.7</v>
      </c>
      <c r="U510" s="97" t="inlineStr">
        <is>
          <t>Y</t>
        </is>
      </c>
      <c r="V510" s="97" t="n">
        <v>24.9</v>
      </c>
      <c r="W510" s="97" t="inlineStr">
        <is>
          <t>N/A</t>
        </is>
      </c>
      <c r="X510" s="97" t="n">
        <v>38.19</v>
      </c>
      <c r="Y510" s="97" t="n"/>
      <c r="Z510" s="97" t="n">
        <v>4</v>
      </c>
      <c r="AA510" s="92" t="inlineStr">
        <is>
          <t>AVOID</t>
        </is>
      </c>
    </row>
    <row r="511">
      <c r="A511" s="99" t="inlineStr">
        <is>
          <t>APARINDS</t>
        </is>
      </c>
      <c r="B511" s="99" t="inlineStr">
        <is>
          <t>Apar Industries Ltd.</t>
        </is>
      </c>
      <c r="C511" s="99" t="inlineStr">
        <is>
          <t>Capital Goods</t>
        </is>
      </c>
      <c r="D511" s="99" t="inlineStr">
        <is>
          <t>Large/Midcap</t>
        </is>
      </c>
      <c r="E511" s="99" t="n">
        <v>13889</v>
      </c>
      <c r="F511" s="99" t="n">
        <v>3.47</v>
      </c>
      <c r="G511" s="99" t="n">
        <v>485027</v>
      </c>
      <c r="H511" s="99" t="n">
        <v>7.36</v>
      </c>
      <c r="I511" s="99" t="n">
        <v>55798</v>
      </c>
      <c r="J511" s="99" t="inlineStr">
        <is>
          <t>Y</t>
        </is>
      </c>
      <c r="K511" s="99" t="inlineStr">
        <is>
          <t>N</t>
        </is>
      </c>
      <c r="L511" s="99" t="inlineStr">
        <is>
          <t>Y</t>
        </is>
      </c>
      <c r="M511" s="99" t="n">
        <v>44.5</v>
      </c>
      <c r="N511" s="99" t="inlineStr">
        <is>
          <t>N</t>
        </is>
      </c>
      <c r="O511" s="99" t="n">
        <v>589.29</v>
      </c>
      <c r="P511" s="99" t="inlineStr">
        <is>
          <t>Y</t>
        </is>
      </c>
      <c r="Q511" s="99" t="inlineStr">
        <is>
          <t>N/A</t>
        </is>
      </c>
      <c r="R511" s="99" t="inlineStr">
        <is>
          <t>N</t>
        </is>
      </c>
      <c r="S511" s="99" t="n">
        <v>-12.3</v>
      </c>
      <c r="T511" s="99" t="n">
        <v>12.7</v>
      </c>
      <c r="U511" s="99" t="inlineStr">
        <is>
          <t>Y</t>
        </is>
      </c>
      <c r="V511" s="99" t="n">
        <v>47.4</v>
      </c>
      <c r="W511" s="99" t="inlineStr">
        <is>
          <t>N/A</t>
        </is>
      </c>
      <c r="X511" s="99" t="n">
        <v>17.72</v>
      </c>
      <c r="Y511" s="99" t="n">
        <v>84.40000000000001</v>
      </c>
      <c r="Z511" s="99" t="n">
        <v>5</v>
      </c>
      <c r="AA511" s="94" t="inlineStr">
        <is>
          <t>WATCHLIST</t>
        </is>
      </c>
    </row>
    <row r="512">
      <c r="A512" s="97" t="inlineStr">
        <is>
          <t>DATAPATTNS</t>
        </is>
      </c>
      <c r="B512" s="97" t="inlineStr">
        <is>
          <t>Data Patterns (India) Ltd.</t>
        </is>
      </c>
      <c r="C512" s="97" t="inlineStr">
        <is>
          <t>Capital Goods</t>
        </is>
      </c>
      <c r="D512" s="97" t="inlineStr">
        <is>
          <t>Smallcap</t>
        </is>
      </c>
      <c r="E512" s="97" t="n">
        <v>4584.5</v>
      </c>
      <c r="F512" s="97" t="n">
        <v>-0.07000000000000001</v>
      </c>
      <c r="G512" s="97" t="n">
        <v>1344404</v>
      </c>
      <c r="H512" s="97" t="n">
        <v>0.43</v>
      </c>
      <c r="I512" s="97" t="n">
        <v>25666</v>
      </c>
      <c r="J512" s="97" t="inlineStr">
        <is>
          <t>Y</t>
        </is>
      </c>
      <c r="K512" s="97" t="inlineStr">
        <is>
          <t>Y</t>
        </is>
      </c>
      <c r="L512" s="97" t="inlineStr">
        <is>
          <t>Y</t>
        </is>
      </c>
      <c r="M512" s="97" t="n">
        <v>49.4</v>
      </c>
      <c r="N512" s="97" t="inlineStr">
        <is>
          <t>N</t>
        </is>
      </c>
      <c r="O512" s="97" t="n">
        <v>210.34</v>
      </c>
      <c r="P512" s="97" t="inlineStr">
        <is>
          <t>N</t>
        </is>
      </c>
      <c r="Q512" s="97" t="inlineStr">
        <is>
          <t>N/A</t>
        </is>
      </c>
      <c r="R512" s="97" t="inlineStr">
        <is>
          <t>N</t>
        </is>
      </c>
      <c r="S512" s="97" t="n">
        <v>3</v>
      </c>
      <c r="T512" s="97" t="n">
        <v>12.1</v>
      </c>
      <c r="U512" s="97" t="inlineStr">
        <is>
          <t>Y</t>
        </is>
      </c>
      <c r="V512" s="97" t="n">
        <v>94.3</v>
      </c>
      <c r="W512" s="97" t="n">
        <v>16.7</v>
      </c>
      <c r="X512" s="97" t="n">
        <v>0.3</v>
      </c>
      <c r="Y512" s="97" t="n">
        <v>137.4</v>
      </c>
      <c r="Z512" s="97" t="n">
        <v>6</v>
      </c>
      <c r="AA512" s="92" t="inlineStr">
        <is>
          <t>WATCHLIST</t>
        </is>
      </c>
    </row>
    <row r="513">
      <c r="A513" s="99" t="inlineStr">
        <is>
          <t>NAVINFLUOR</t>
        </is>
      </c>
      <c r="B513" s="99" t="inlineStr">
        <is>
          <t>Navin Fluorine International Ltd.</t>
        </is>
      </c>
      <c r="C513" s="99" t="inlineStr">
        <is>
          <t>Chemicals</t>
        </is>
      </c>
      <c r="D513" s="99" t="inlineStr">
        <is>
          <t>Smallcap</t>
        </is>
      </c>
      <c r="E513" s="99" t="n">
        <v>7520</v>
      </c>
      <c r="F513" s="99" t="n">
        <v>-2</v>
      </c>
      <c r="G513" s="99" t="n">
        <v>70434</v>
      </c>
      <c r="H513" s="99" t="n">
        <v>0.49</v>
      </c>
      <c r="I513" s="99" t="n">
        <v>38578</v>
      </c>
      <c r="J513" s="99" t="inlineStr">
        <is>
          <t>Y</t>
        </is>
      </c>
      <c r="K513" s="99" t="inlineStr">
        <is>
          <t>Y</t>
        </is>
      </c>
      <c r="L513" s="99" t="inlineStr">
        <is>
          <t>Y</t>
        </is>
      </c>
      <c r="M513" s="99" t="n">
        <v>43.6</v>
      </c>
      <c r="N513" s="99" t="inlineStr">
        <is>
          <t>N</t>
        </is>
      </c>
      <c r="O513" s="99" t="n">
        <v>212.68</v>
      </c>
      <c r="P513" s="99" t="inlineStr">
        <is>
          <t>N</t>
        </is>
      </c>
      <c r="Q513" s="99" t="inlineStr">
        <is>
          <t>N/A</t>
        </is>
      </c>
      <c r="R513" s="99" t="inlineStr">
        <is>
          <t>N</t>
        </is>
      </c>
      <c r="S513" s="99" t="n">
        <v>-0.1</v>
      </c>
      <c r="T513" s="99" t="n">
        <v>11.9</v>
      </c>
      <c r="U513" s="99" t="inlineStr">
        <is>
          <t>Y</t>
        </is>
      </c>
      <c r="V513" s="99" t="n">
        <v>57.8</v>
      </c>
      <c r="W513" s="99" t="n">
        <v>20.1</v>
      </c>
      <c r="X513" s="99" t="n">
        <v>32.09</v>
      </c>
      <c r="Y513" s="99" t="n">
        <v>14.7</v>
      </c>
      <c r="Z513" s="99" t="n">
        <v>6</v>
      </c>
      <c r="AA513" s="94" t="inlineStr">
        <is>
          <t>WATCHLIST</t>
        </is>
      </c>
    </row>
    <row r="514">
      <c r="A514" s="97" t="inlineStr">
        <is>
          <t>NH</t>
        </is>
      </c>
      <c r="B514" s="97" t="inlineStr">
        <is>
          <t>Narayana Hrudayalaya Ltd.</t>
        </is>
      </c>
      <c r="C514" s="97" t="inlineStr">
        <is>
          <t>Healthcare</t>
        </is>
      </c>
      <c r="D514" s="97" t="inlineStr">
        <is>
          <t>Smallcap</t>
        </is>
      </c>
      <c r="E514" s="97" t="n">
        <v>1961.5</v>
      </c>
      <c r="F514" s="97" t="n">
        <v>-1.06</v>
      </c>
      <c r="G514" s="97" t="n">
        <v>160451</v>
      </c>
      <c r="H514" s="97" t="n">
        <v>0.77</v>
      </c>
      <c r="I514" s="97" t="n">
        <v>39838</v>
      </c>
      <c r="J514" s="97" t="inlineStr">
        <is>
          <t>Y</t>
        </is>
      </c>
      <c r="K514" s="97" t="inlineStr">
        <is>
          <t>Y</t>
        </is>
      </c>
      <c r="L514" s="97" t="inlineStr">
        <is>
          <t>Y</t>
        </is>
      </c>
      <c r="M514" s="97" t="n">
        <v>43.3</v>
      </c>
      <c r="N514" s="97" t="inlineStr">
        <is>
          <t>N</t>
        </is>
      </c>
      <c r="O514" s="97" t="n">
        <v>41.3</v>
      </c>
      <c r="P514" s="97" t="inlineStr">
        <is>
          <t>N</t>
        </is>
      </c>
      <c r="Q514" s="97" t="inlineStr">
        <is>
          <t>N/A</t>
        </is>
      </c>
      <c r="R514" s="97" t="inlineStr">
        <is>
          <t>N</t>
        </is>
      </c>
      <c r="S514" s="97" t="n">
        <v>1.5</v>
      </c>
      <c r="T514" s="97" t="n">
        <v>11.6</v>
      </c>
      <c r="U514" s="97" t="inlineStr">
        <is>
          <t>Y</t>
        </is>
      </c>
      <c r="V514" s="97" t="n">
        <v>49.3</v>
      </c>
      <c r="W514" s="97" t="n">
        <v>19.8</v>
      </c>
      <c r="X514" s="97" t="n">
        <v>129.03</v>
      </c>
      <c r="Y514" s="97" t="n">
        <v>76.7</v>
      </c>
      <c r="Z514" s="97" t="n">
        <v>6</v>
      </c>
      <c r="AA514" s="92" t="inlineStr">
        <is>
          <t>WATCHLIST</t>
        </is>
      </c>
    </row>
    <row r="515">
      <c r="A515" s="99" t="inlineStr">
        <is>
          <t>MANKIND</t>
        </is>
      </c>
      <c r="B515" s="99" t="inlineStr">
        <is>
          <t>Mankind Pharma Ltd.</t>
        </is>
      </c>
      <c r="C515" s="99" t="inlineStr">
        <is>
          <t>Healthcare</t>
        </is>
      </c>
      <c r="D515" s="99" t="inlineStr">
        <is>
          <t>Large/Midcap</t>
        </is>
      </c>
      <c r="E515" s="99" t="n">
        <v>2507.2</v>
      </c>
      <c r="F515" s="99" t="n">
        <v>-1.96</v>
      </c>
      <c r="G515" s="99" t="n">
        <v>186027</v>
      </c>
      <c r="H515" s="99" t="n">
        <v>0.8</v>
      </c>
      <c r="I515" s="99" t="n">
        <v>103546</v>
      </c>
      <c r="J515" s="99" t="inlineStr">
        <is>
          <t>Y</t>
        </is>
      </c>
      <c r="K515" s="99" t="inlineStr">
        <is>
          <t>Y</t>
        </is>
      </c>
      <c r="L515" s="99" t="inlineStr">
        <is>
          <t>Y</t>
        </is>
      </c>
      <c r="M515" s="99" t="n">
        <v>45.8</v>
      </c>
      <c r="N515" s="99" t="inlineStr">
        <is>
          <t>N</t>
        </is>
      </c>
      <c r="O515" s="99" t="n">
        <v>65.34</v>
      </c>
      <c r="P515" s="99" t="inlineStr">
        <is>
          <t>N</t>
        </is>
      </c>
      <c r="Q515" s="99" t="inlineStr">
        <is>
          <t>N/A</t>
        </is>
      </c>
      <c r="R515" s="99" t="inlineStr">
        <is>
          <t>N</t>
        </is>
      </c>
      <c r="S515" s="99" t="n">
        <v>2.9</v>
      </c>
      <c r="T515" s="99" t="n">
        <v>11.3</v>
      </c>
      <c r="U515" s="99" t="inlineStr">
        <is>
          <t>Y</t>
        </is>
      </c>
      <c r="V515" s="99" t="n">
        <v>54.1</v>
      </c>
      <c r="W515" s="99" t="n">
        <v>12.5</v>
      </c>
      <c r="X515" s="99" t="n">
        <v>38.11</v>
      </c>
      <c r="Y515" s="99" t="n">
        <v>35.6</v>
      </c>
      <c r="Z515" s="99" t="n">
        <v>5</v>
      </c>
      <c r="AA515" s="94" t="inlineStr">
        <is>
          <t>WATCHLIST</t>
        </is>
      </c>
    </row>
    <row r="516">
      <c r="A516" s="97" t="inlineStr">
        <is>
          <t>CONCORDBIO</t>
        </is>
      </c>
      <c r="B516" s="97" t="inlineStr">
        <is>
          <t>Concord Biotech Ltd.</t>
        </is>
      </c>
      <c r="C516" s="97" t="inlineStr">
        <is>
          <t>Healthcare</t>
        </is>
      </c>
      <c r="D516" s="97" t="inlineStr">
        <is>
          <t>Smallcap</t>
        </is>
      </c>
      <c r="E516" s="97" t="n">
        <v>1248.5</v>
      </c>
      <c r="F516" s="97" t="n">
        <v>-0.99</v>
      </c>
      <c r="G516" s="97" t="n">
        <v>50664</v>
      </c>
      <c r="H516" s="97" t="n">
        <v>0.78</v>
      </c>
      <c r="I516" s="97" t="n">
        <v>13061</v>
      </c>
      <c r="J516" s="97" t="inlineStr">
        <is>
          <t>Y</t>
        </is>
      </c>
      <c r="K516" s="97" t="inlineStr">
        <is>
          <t>N</t>
        </is>
      </c>
      <c r="L516" s="97" t="inlineStr">
        <is>
          <t>N</t>
        </is>
      </c>
      <c r="M516" s="97" t="n">
        <v>44.5</v>
      </c>
      <c r="N516" s="97" t="inlineStr">
        <is>
          <t>N</t>
        </is>
      </c>
      <c r="O516" s="97" t="n">
        <v>44.65</v>
      </c>
      <c r="P516" s="97" t="inlineStr">
        <is>
          <t>N</t>
        </is>
      </c>
      <c r="Q516" s="97" t="inlineStr">
        <is>
          <t>N/A</t>
        </is>
      </c>
      <c r="R516" s="97" t="inlineStr">
        <is>
          <t>N</t>
        </is>
      </c>
      <c r="S516" s="97" t="n">
        <v>-1.3</v>
      </c>
      <c r="T516" s="97" t="n">
        <v>11.3</v>
      </c>
      <c r="U516" s="97" t="inlineStr">
        <is>
          <t>Y</t>
        </is>
      </c>
      <c r="V516" s="97" t="n">
        <v>50.5</v>
      </c>
      <c r="W516" s="97" t="n">
        <v>13.5</v>
      </c>
      <c r="X516" s="97" t="n">
        <v>0.12</v>
      </c>
      <c r="Y516" s="97" t="n">
        <v>39.5</v>
      </c>
      <c r="Z516" s="97" t="n">
        <v>3</v>
      </c>
      <c r="AA516" s="92" t="inlineStr">
        <is>
          <t>AVOID</t>
        </is>
      </c>
    </row>
    <row r="517">
      <c r="A517" s="99" t="inlineStr">
        <is>
          <t>ETERNAL</t>
        </is>
      </c>
      <c r="B517" s="99" t="inlineStr">
        <is>
          <t>Eternal Ltd.</t>
        </is>
      </c>
      <c r="C517" s="99" t="inlineStr">
        <is>
          <t>Consumer Services</t>
        </is>
      </c>
      <c r="D517" s="99" t="inlineStr">
        <is>
          <t>Large/Midcap</t>
        </is>
      </c>
      <c r="E517" s="99" t="n">
        <v>280</v>
      </c>
      <c r="F517" s="99" t="n">
        <v>-2.47</v>
      </c>
      <c r="G517" s="99" t="n">
        <v>37050034</v>
      </c>
      <c r="H517" s="99" t="n">
        <v>0.73</v>
      </c>
      <c r="I517" s="99" t="n">
        <v>257751</v>
      </c>
      <c r="J517" s="99" t="inlineStr">
        <is>
          <t>Y</t>
        </is>
      </c>
      <c r="K517" s="99" t="inlineStr">
        <is>
          <t>Y</t>
        </is>
      </c>
      <c r="L517" s="99" t="inlineStr">
        <is>
          <t>Y</t>
        </is>
      </c>
      <c r="M517" s="99" t="n">
        <v>46.8</v>
      </c>
      <c r="N517" s="99" t="inlineStr">
        <is>
          <t>N</t>
        </is>
      </c>
      <c r="O517" s="99" t="n">
        <v>9.859999999999999</v>
      </c>
      <c r="P517" s="99" t="inlineStr">
        <is>
          <t>N</t>
        </is>
      </c>
      <c r="Q517" s="99" t="inlineStr">
        <is>
          <t>N/A</t>
        </is>
      </c>
      <c r="R517" s="99" t="inlineStr">
        <is>
          <t>N</t>
        </is>
      </c>
      <c r="S517" s="99" t="n">
        <v>10.8</v>
      </c>
      <c r="T517" s="99" t="n">
        <v>10.8</v>
      </c>
      <c r="U517" s="99" t="inlineStr">
        <is>
          <t>Y</t>
        </is>
      </c>
      <c r="V517" s="99" t="n">
        <v>622.2</v>
      </c>
      <c r="W517" s="99" t="inlineStr">
        <is>
          <t>N/A</t>
        </is>
      </c>
      <c r="X517" s="99" t="n">
        <v>14.83</v>
      </c>
      <c r="Y517" s="99" t="n">
        <v>-47.1</v>
      </c>
      <c r="Z517" s="99" t="n">
        <v>4</v>
      </c>
      <c r="AA517" s="94" t="inlineStr">
        <is>
          <t>AVOID</t>
        </is>
      </c>
    </row>
    <row r="518">
      <c r="A518" s="97" t="inlineStr">
        <is>
          <t>POLYMED</t>
        </is>
      </c>
      <c r="B518" s="97" t="inlineStr">
        <is>
          <t>Poly Medicure Ltd.</t>
        </is>
      </c>
      <c r="C518" s="97" t="inlineStr">
        <is>
          <t>Healthcare</t>
        </is>
      </c>
      <c r="D518" s="97" t="inlineStr">
        <is>
          <t>Smallcap</t>
        </is>
      </c>
      <c r="E518" s="97" t="n">
        <v>1664</v>
      </c>
      <c r="F518" s="97" t="n">
        <v>2.07</v>
      </c>
      <c r="G518" s="97" t="n">
        <v>59004</v>
      </c>
      <c r="H518" s="97" t="n">
        <v>0.82</v>
      </c>
      <c r="I518" s="97" t="n">
        <v>16886</v>
      </c>
      <c r="J518" s="97" t="inlineStr">
        <is>
          <t>Y</t>
        </is>
      </c>
      <c r="K518" s="97" t="inlineStr">
        <is>
          <t>Y</t>
        </is>
      </c>
      <c r="L518" s="97" t="inlineStr">
        <is>
          <t>Y</t>
        </is>
      </c>
      <c r="M518" s="97" t="n">
        <v>47.2</v>
      </c>
      <c r="N518" s="97" t="inlineStr">
        <is>
          <t>N</t>
        </is>
      </c>
      <c r="O518" s="97" t="n">
        <v>53.19</v>
      </c>
      <c r="P518" s="97" t="inlineStr">
        <is>
          <t>N</t>
        </is>
      </c>
      <c r="Q518" s="97" t="inlineStr">
        <is>
          <t>N/A</t>
        </is>
      </c>
      <c r="R518" s="97" t="inlineStr">
        <is>
          <t>N</t>
        </is>
      </c>
      <c r="S518" s="97" t="n">
        <v>1.9</v>
      </c>
      <c r="T518" s="97" t="n">
        <v>10.2</v>
      </c>
      <c r="U518" s="97" t="inlineStr">
        <is>
          <t>Y</t>
        </is>
      </c>
      <c r="V518" s="97" t="n">
        <v>52.4</v>
      </c>
      <c r="W518" s="97" t="n">
        <v>10.8</v>
      </c>
      <c r="X518" s="97" t="n">
        <v>11.23</v>
      </c>
      <c r="Y518" s="97" t="n">
        <v>-8.300000000000001</v>
      </c>
      <c r="Z518" s="97" t="n">
        <v>4</v>
      </c>
      <c r="AA518" s="92" t="inlineStr">
        <is>
          <t>AVOID</t>
        </is>
      </c>
    </row>
    <row r="519">
      <c r="A519" s="99" t="inlineStr">
        <is>
          <t>BAJFINANCE</t>
        </is>
      </c>
      <c r="B519" s="99" t="inlineStr">
        <is>
          <t>Bajaj Finance Ltd.</t>
        </is>
      </c>
      <c r="C519" s="99" t="inlineStr">
        <is>
          <t>Financial Services</t>
        </is>
      </c>
      <c r="D519" s="99" t="inlineStr">
        <is>
          <t>Large/Midcap</t>
        </is>
      </c>
      <c r="E519" s="99" t="n">
        <v>1012.8</v>
      </c>
      <c r="F519" s="99" t="n">
        <v>-2.6</v>
      </c>
      <c r="G519" s="99" t="n">
        <v>18416962</v>
      </c>
      <c r="H519" s="99" t="n">
        <v>2.54</v>
      </c>
      <c r="I519" s="99" t="n">
        <v>629747</v>
      </c>
      <c r="J519" s="99" t="inlineStr">
        <is>
          <t>Y</t>
        </is>
      </c>
      <c r="K519" s="99" t="inlineStr">
        <is>
          <t>Y</t>
        </is>
      </c>
      <c r="L519" s="99" t="inlineStr">
        <is>
          <t>Y</t>
        </is>
      </c>
      <c r="M519" s="99" t="n">
        <v>46</v>
      </c>
      <c r="N519" s="99" t="inlineStr">
        <is>
          <t>N</t>
        </is>
      </c>
      <c r="O519" s="99" t="n">
        <v>25.14</v>
      </c>
      <c r="P519" s="99" t="inlineStr">
        <is>
          <t>Y</t>
        </is>
      </c>
      <c r="Q519" s="99" t="inlineStr">
        <is>
          <t>N/A</t>
        </is>
      </c>
      <c r="R519" s="99" t="inlineStr">
        <is>
          <t>N</t>
        </is>
      </c>
      <c r="S519" s="99" t="n">
        <v>5</v>
      </c>
      <c r="T519" s="99" t="n">
        <v>10.1</v>
      </c>
      <c r="U519" s="99" t="inlineStr">
        <is>
          <t>Y</t>
        </is>
      </c>
      <c r="V519" s="99" t="n">
        <v>33.2</v>
      </c>
      <c r="W519" s="99" t="n">
        <v>17.9</v>
      </c>
      <c r="X519" s="99" t="n">
        <v>314.83</v>
      </c>
      <c r="Y519" s="99" t="n">
        <v>37.4</v>
      </c>
      <c r="Z519" s="99" t="n">
        <v>7</v>
      </c>
      <c r="AA519" s="94" t="inlineStr">
        <is>
          <t>STRONG SETUP</t>
        </is>
      </c>
    </row>
    <row r="520">
      <c r="A520" s="97" t="inlineStr">
        <is>
          <t>INDUSINDBK</t>
        </is>
      </c>
      <c r="B520" s="97" t="inlineStr">
        <is>
          <t>IndusInd Bank Ltd.</t>
        </is>
      </c>
      <c r="C520" s="97" t="inlineStr">
        <is>
          <t>Financial Services</t>
        </is>
      </c>
      <c r="D520" s="97" t="inlineStr">
        <is>
          <t>Large/Midcap</t>
        </is>
      </c>
      <c r="E520" s="97" t="n">
        <v>996.05</v>
      </c>
      <c r="F520" s="97" t="n">
        <v>-0.9399999999999999</v>
      </c>
      <c r="G520" s="97" t="n">
        <v>1995292</v>
      </c>
      <c r="H520" s="97" t="n">
        <v>0.34</v>
      </c>
      <c r="I520" s="97" t="n">
        <v>77606</v>
      </c>
      <c r="J520" s="97" t="inlineStr">
        <is>
          <t>Y</t>
        </is>
      </c>
      <c r="K520" s="97" t="inlineStr">
        <is>
          <t>Y</t>
        </is>
      </c>
      <c r="L520" s="97" t="inlineStr">
        <is>
          <t>Y</t>
        </is>
      </c>
      <c r="M520" s="97" t="n">
        <v>46.9</v>
      </c>
      <c r="N520" s="97" t="inlineStr">
        <is>
          <t>N</t>
        </is>
      </c>
      <c r="O520" s="97" t="n">
        <v>28.03</v>
      </c>
      <c r="P520" s="97" t="inlineStr">
        <is>
          <t>N</t>
        </is>
      </c>
      <c r="Q520" s="97" t="inlineStr">
        <is>
          <t>N/A</t>
        </is>
      </c>
      <c r="R520" s="97" t="inlineStr">
        <is>
          <t>N</t>
        </is>
      </c>
      <c r="S520" s="97" t="n">
        <v>9.4</v>
      </c>
      <c r="T520" s="97" t="n">
        <v>9.699999999999999</v>
      </c>
      <c r="U520" s="97" t="inlineStr">
        <is>
          <t>Y</t>
        </is>
      </c>
      <c r="V520" s="97" t="n">
        <v>58.8</v>
      </c>
      <c r="W520" s="97" t="inlineStr">
        <is>
          <t>N/A</t>
        </is>
      </c>
      <c r="X520" s="97" t="inlineStr">
        <is>
          <t>N/A</t>
        </is>
      </c>
      <c r="Y520" s="97" t="n">
        <v>74.5</v>
      </c>
      <c r="Z520" s="97" t="n">
        <v>5</v>
      </c>
      <c r="AA520" s="92" t="inlineStr">
        <is>
          <t>WATCHLIST</t>
        </is>
      </c>
    </row>
    <row r="521">
      <c r="A521" s="99" t="inlineStr">
        <is>
          <t>POONAWALLA</t>
        </is>
      </c>
      <c r="B521" s="99" t="inlineStr">
        <is>
          <t>Poonawalla Fincorp Ltd.</t>
        </is>
      </c>
      <c r="C521" s="99" t="inlineStr">
        <is>
          <t>Financial Services</t>
        </is>
      </c>
      <c r="D521" s="99" t="inlineStr">
        <is>
          <t>Smallcap</t>
        </is>
      </c>
      <c r="E521" s="99" t="n">
        <v>459.7</v>
      </c>
      <c r="F521" s="99" t="n">
        <v>-1.13</v>
      </c>
      <c r="G521" s="99" t="n">
        <v>623865</v>
      </c>
      <c r="H521" s="99" t="n">
        <v>0.6899999999999999</v>
      </c>
      <c r="I521" s="99" t="n">
        <v>40255</v>
      </c>
      <c r="J521" s="99" t="inlineStr">
        <is>
          <t>Y</t>
        </is>
      </c>
      <c r="K521" s="99" t="inlineStr">
        <is>
          <t>Y</t>
        </is>
      </c>
      <c r="L521" s="99" t="inlineStr">
        <is>
          <t>Y</t>
        </is>
      </c>
      <c r="M521" s="99" t="n">
        <v>42.7</v>
      </c>
      <c r="N521" s="99" t="inlineStr">
        <is>
          <t>N</t>
        </is>
      </c>
      <c r="O521" s="99" t="n">
        <v>15.68</v>
      </c>
      <c r="P521" s="99" t="inlineStr">
        <is>
          <t>N</t>
        </is>
      </c>
      <c r="Q521" s="99" t="inlineStr">
        <is>
          <t>N/A</t>
        </is>
      </c>
      <c r="R521" s="99" t="inlineStr">
        <is>
          <t>N</t>
        </is>
      </c>
      <c r="S521" s="99" t="n">
        <v>5.5</v>
      </c>
      <c r="T521" s="99" t="n">
        <v>9.699999999999999</v>
      </c>
      <c r="U521" s="99" t="inlineStr">
        <is>
          <t>Y</t>
        </is>
      </c>
      <c r="V521" s="99" t="n">
        <v>48.1</v>
      </c>
      <c r="W521" s="99" t="inlineStr">
        <is>
          <t>N/A</t>
        </is>
      </c>
      <c r="X521" s="99" t="n">
        <v>468.06</v>
      </c>
      <c r="Y521" s="99" t="n">
        <v>20.8</v>
      </c>
      <c r="Z521" s="99" t="n">
        <v>5</v>
      </c>
      <c r="AA521" s="94" t="inlineStr">
        <is>
          <t>WATCHLIST</t>
        </is>
      </c>
    </row>
    <row r="522">
      <c r="A522" s="97" t="inlineStr">
        <is>
          <t>GODREJPROP</t>
        </is>
      </c>
      <c r="B522" s="97" t="inlineStr">
        <is>
          <t>Godrej Properties Ltd.</t>
        </is>
      </c>
      <c r="C522" s="97" t="inlineStr">
        <is>
          <t>Realty</t>
        </is>
      </c>
      <c r="D522" s="97" t="inlineStr">
        <is>
          <t>Large/Midcap</t>
        </is>
      </c>
      <c r="E522" s="97" t="n">
        <v>2028.7</v>
      </c>
      <c r="F522" s="97" t="n">
        <v>-0.6</v>
      </c>
      <c r="G522" s="97" t="n">
        <v>569927</v>
      </c>
      <c r="H522" s="97" t="n">
        <v>0.64</v>
      </c>
      <c r="I522" s="97" t="n">
        <v>61110</v>
      </c>
      <c r="J522" s="97" t="inlineStr">
        <is>
          <t>Y</t>
        </is>
      </c>
      <c r="K522" s="97" t="inlineStr">
        <is>
          <t>Y</t>
        </is>
      </c>
      <c r="L522" s="97" t="inlineStr">
        <is>
          <t>Y</t>
        </is>
      </c>
      <c r="M522" s="97" t="n">
        <v>48.3</v>
      </c>
      <c r="N522" s="97" t="inlineStr">
        <is>
          <t>N</t>
        </is>
      </c>
      <c r="O522" s="97" t="n">
        <v>72.06999999999999</v>
      </c>
      <c r="P522" s="97" t="inlineStr">
        <is>
          <t>N</t>
        </is>
      </c>
      <c r="Q522" s="97" t="inlineStr">
        <is>
          <t>N/A</t>
        </is>
      </c>
      <c r="R522" s="97" t="inlineStr">
        <is>
          <t>N</t>
        </is>
      </c>
      <c r="S522" s="97" t="n">
        <v>10.7</v>
      </c>
      <c r="T522" s="97" t="n">
        <v>9.5</v>
      </c>
      <c r="U522" s="97" t="inlineStr">
        <is>
          <t>Y</t>
        </is>
      </c>
      <c r="V522" s="97" t="n">
        <v>33</v>
      </c>
      <c r="W522" s="97" t="n">
        <v>10</v>
      </c>
      <c r="X522" s="97" t="n">
        <v>82.12</v>
      </c>
      <c r="Y522" s="97" t="n">
        <v>233</v>
      </c>
      <c r="Z522" s="97" t="n">
        <v>5</v>
      </c>
      <c r="AA522" s="92" t="inlineStr">
        <is>
          <t>WATCHLIST</t>
        </is>
      </c>
    </row>
    <row r="523">
      <c r="A523" s="99" t="inlineStr">
        <is>
          <t>STARHEALTH</t>
        </is>
      </c>
      <c r="B523" s="99" t="inlineStr">
        <is>
          <t>Star Health and Allied Insurance Company Ltd.</t>
        </is>
      </c>
      <c r="C523" s="99" t="inlineStr">
        <is>
          <t>Financial Services</t>
        </is>
      </c>
      <c r="D523" s="99" t="inlineStr">
        <is>
          <t>Smallcap</t>
        </is>
      </c>
      <c r="E523" s="99" t="n">
        <v>580.8</v>
      </c>
      <c r="F523" s="99" t="n">
        <v>0.66</v>
      </c>
      <c r="G523" s="99" t="n">
        <v>328746</v>
      </c>
      <c r="H523" s="99" t="n">
        <v>1.54</v>
      </c>
      <c r="I523" s="99" t="n">
        <v>34174</v>
      </c>
      <c r="J523" s="99" t="inlineStr">
        <is>
          <t>Y</t>
        </is>
      </c>
      <c r="K523" s="99" t="inlineStr">
        <is>
          <t>Y</t>
        </is>
      </c>
      <c r="L523" s="99" t="inlineStr">
        <is>
          <t>Y</t>
        </is>
      </c>
      <c r="M523" s="99" t="n">
        <v>49.7</v>
      </c>
      <c r="N523" s="99" t="inlineStr">
        <is>
          <t>N</t>
        </is>
      </c>
      <c r="O523" s="99" t="n">
        <v>17.88</v>
      </c>
      <c r="P523" s="99" t="inlineStr">
        <is>
          <t>N</t>
        </is>
      </c>
      <c r="Q523" s="99" t="inlineStr">
        <is>
          <t>N/A</t>
        </is>
      </c>
      <c r="R523" s="99" t="inlineStr">
        <is>
          <t>N</t>
        </is>
      </c>
      <c r="S523" s="99" t="n">
        <v>1.7</v>
      </c>
      <c r="T523" s="99" t="n">
        <v>9.5</v>
      </c>
      <c r="U523" s="99" t="inlineStr">
        <is>
          <t>Y</t>
        </is>
      </c>
      <c r="V523" s="99" t="n">
        <v>61.3</v>
      </c>
      <c r="W523" s="99" t="inlineStr">
        <is>
          <t>N/A</t>
        </is>
      </c>
      <c r="X523" s="99" t="inlineStr">
        <is>
          <t>N/A</t>
        </is>
      </c>
      <c r="Y523" s="99" t="n">
        <v>-13.2</v>
      </c>
      <c r="Z523" s="99" t="n">
        <v>4</v>
      </c>
      <c r="AA523" s="94" t="inlineStr">
        <is>
          <t>AVOID</t>
        </is>
      </c>
    </row>
    <row r="524">
      <c r="A524" s="97" t="inlineStr">
        <is>
          <t>DLF</t>
        </is>
      </c>
      <c r="B524" s="97" t="inlineStr">
        <is>
          <t>DLF Ltd.</t>
        </is>
      </c>
      <c r="C524" s="97" t="inlineStr">
        <is>
          <t>Realty</t>
        </is>
      </c>
      <c r="D524" s="97" t="inlineStr">
        <is>
          <t>Large/Midcap</t>
        </is>
      </c>
      <c r="E524" s="97" t="n">
        <v>645.2</v>
      </c>
      <c r="F524" s="97" t="n">
        <v>0.47</v>
      </c>
      <c r="G524" s="97" t="n">
        <v>2002254</v>
      </c>
      <c r="H524" s="97" t="n">
        <v>0.67</v>
      </c>
      <c r="I524" s="97" t="n">
        <v>159707</v>
      </c>
      <c r="J524" s="97" t="inlineStr">
        <is>
          <t>Y</t>
        </is>
      </c>
      <c r="K524" s="97" t="inlineStr">
        <is>
          <t>Y</t>
        </is>
      </c>
      <c r="L524" s="97" t="inlineStr">
        <is>
          <t>N</t>
        </is>
      </c>
      <c r="M524" s="97" t="n">
        <v>42.6</v>
      </c>
      <c r="N524" s="97" t="inlineStr">
        <is>
          <t>N</t>
        </is>
      </c>
      <c r="O524" s="97" t="n">
        <v>22.81</v>
      </c>
      <c r="P524" s="97" t="inlineStr">
        <is>
          <t>N</t>
        </is>
      </c>
      <c r="Q524" s="97" t="inlineStr">
        <is>
          <t>N/A</t>
        </is>
      </c>
      <c r="R524" s="97" t="inlineStr">
        <is>
          <t>N</t>
        </is>
      </c>
      <c r="S524" s="97" t="n">
        <v>4.9</v>
      </c>
      <c r="T524" s="97" t="n">
        <v>9.1</v>
      </c>
      <c r="U524" s="97" t="inlineStr">
        <is>
          <t>Y</t>
        </is>
      </c>
      <c r="V524" s="97" t="n">
        <v>36.2</v>
      </c>
      <c r="W524" s="97" t="n">
        <v>10</v>
      </c>
      <c r="X524" s="97" t="n">
        <v>0.67</v>
      </c>
      <c r="Y524" s="97" t="n">
        <v>5.4</v>
      </c>
      <c r="Z524" s="97" t="n">
        <v>4</v>
      </c>
      <c r="AA524" s="92" t="inlineStr">
        <is>
          <t>AVOID</t>
        </is>
      </c>
    </row>
    <row r="525">
      <c r="A525" s="99" t="inlineStr">
        <is>
          <t>HYUNDAI</t>
        </is>
      </c>
      <c r="B525" s="99" t="inlineStr">
        <is>
          <t>Hyundai Motor India Ltd.</t>
        </is>
      </c>
      <c r="C525" s="99" t="inlineStr">
        <is>
          <t>Automobile and Auto Components</t>
        </is>
      </c>
      <c r="D525" s="99" t="inlineStr">
        <is>
          <t>Large/Midcap</t>
        </is>
      </c>
      <c r="E525" s="99" t="n">
        <v>1952.6</v>
      </c>
      <c r="F525" s="99" t="n">
        <v>-0.09</v>
      </c>
      <c r="G525" s="99" t="n">
        <v>917025</v>
      </c>
      <c r="H525" s="99" t="n">
        <v>1.62</v>
      </c>
      <c r="I525" s="99" t="n">
        <v>158657</v>
      </c>
      <c r="J525" s="99" t="inlineStr">
        <is>
          <t>Y</t>
        </is>
      </c>
      <c r="K525" s="99" t="inlineStr">
        <is>
          <t>Y</t>
        </is>
      </c>
      <c r="L525" s="99" t="inlineStr">
        <is>
          <t>N</t>
        </is>
      </c>
      <c r="M525" s="99" t="n">
        <v>42.7</v>
      </c>
      <c r="N525" s="99" t="inlineStr">
        <is>
          <t>N</t>
        </is>
      </c>
      <c r="O525" s="99" t="n">
        <v>52.81</v>
      </c>
      <c r="P525" s="99" t="inlineStr">
        <is>
          <t>N</t>
        </is>
      </c>
      <c r="Q525" s="99" t="inlineStr">
        <is>
          <t>N/A</t>
        </is>
      </c>
      <c r="R525" s="99" t="inlineStr">
        <is>
          <t>N</t>
        </is>
      </c>
      <c r="S525" s="99" t="n">
        <v>0.2</v>
      </c>
      <c r="T525" s="99" t="n">
        <v>8</v>
      </c>
      <c r="U525" s="99" t="inlineStr">
        <is>
          <t>Y</t>
        </is>
      </c>
      <c r="V525" s="99" t="n">
        <v>29.2</v>
      </c>
      <c r="W525" s="99" t="n">
        <v>29.9</v>
      </c>
      <c r="X525" s="99" t="n">
        <v>5.48</v>
      </c>
      <c r="Y525" s="99" t="n">
        <v>1.7</v>
      </c>
      <c r="Z525" s="99" t="n">
        <v>5</v>
      </c>
      <c r="AA525" s="94" t="inlineStr">
        <is>
          <t>WATCHLIST</t>
        </is>
      </c>
    </row>
    <row r="526">
      <c r="A526" s="97" t="inlineStr">
        <is>
          <t>MEESHO</t>
        </is>
      </c>
      <c r="B526" s="97" t="inlineStr">
        <is>
          <t>Meesho Ltd.</t>
        </is>
      </c>
      <c r="C526" s="97" t="inlineStr">
        <is>
          <t>Consumer Services</t>
        </is>
      </c>
      <c r="D526" s="97" t="inlineStr">
        <is>
          <t>Smallcap</t>
        </is>
      </c>
      <c r="E526" s="97" t="n">
        <v>185.24</v>
      </c>
      <c r="F526" s="97" t="n">
        <v>-1.96</v>
      </c>
      <c r="G526" s="97" t="n">
        <v>20220263</v>
      </c>
      <c r="H526" s="97" t="n">
        <v>2.01</v>
      </c>
      <c r="I526" s="97" t="n">
        <v>85620</v>
      </c>
      <c r="J526" s="97" t="inlineStr">
        <is>
          <t>Y</t>
        </is>
      </c>
      <c r="K526" s="97" t="inlineStr">
        <is>
          <t>Y</t>
        </is>
      </c>
      <c r="L526" s="97" t="inlineStr">
        <is>
          <t>N/A</t>
        </is>
      </c>
      <c r="M526" s="97" t="n">
        <v>43</v>
      </c>
      <c r="N526" s="97" t="inlineStr">
        <is>
          <t>N</t>
        </is>
      </c>
      <c r="O526" s="97" t="n">
        <v>5.98</v>
      </c>
      <c r="P526" s="97" t="inlineStr">
        <is>
          <t>N</t>
        </is>
      </c>
      <c r="Q526" s="97" t="inlineStr">
        <is>
          <t>N/A</t>
        </is>
      </c>
      <c r="R526" s="97" t="inlineStr">
        <is>
          <t>N</t>
        </is>
      </c>
      <c r="S526" s="97" t="n">
        <v>0.4</v>
      </c>
      <c r="T526" s="97" t="n">
        <v>7.8</v>
      </c>
      <c r="U526" s="97" t="inlineStr">
        <is>
          <t>Y</t>
        </is>
      </c>
      <c r="V526" s="97" t="inlineStr">
        <is>
          <t>N/A</t>
        </is>
      </c>
      <c r="W526" s="97" t="inlineStr">
        <is>
          <t>N/A</t>
        </is>
      </c>
      <c r="X526" s="97" t="n">
        <v>1.43</v>
      </c>
      <c r="Y526" s="97" t="n">
        <v>20.1</v>
      </c>
      <c r="Z526" s="97" t="n">
        <v>4</v>
      </c>
      <c r="AA526" s="92" t="inlineStr">
        <is>
          <t>AVOID</t>
        </is>
      </c>
    </row>
    <row r="527">
      <c r="A527" s="99" t="inlineStr">
        <is>
          <t>FIVESTAR</t>
        </is>
      </c>
      <c r="B527" s="99" t="inlineStr">
        <is>
          <t>Five-Star Business Finance Ltd.</t>
        </is>
      </c>
      <c r="C527" s="99" t="inlineStr">
        <is>
          <t>Financial Services</t>
        </is>
      </c>
      <c r="D527" s="99" t="inlineStr">
        <is>
          <t>Smallcap</t>
        </is>
      </c>
      <c r="E527" s="99" t="n">
        <v>535.2</v>
      </c>
      <c r="F527" s="99" t="n">
        <v>0.17</v>
      </c>
      <c r="G527" s="99" t="n">
        <v>495386</v>
      </c>
      <c r="H527" s="99" t="n">
        <v>1.21</v>
      </c>
      <c r="I527" s="99" t="n">
        <v>15798</v>
      </c>
      <c r="J527" s="99" t="inlineStr">
        <is>
          <t>Y</t>
        </is>
      </c>
      <c r="K527" s="99" t="inlineStr">
        <is>
          <t>Y</t>
        </is>
      </c>
      <c r="L527" s="99" t="inlineStr">
        <is>
          <t>Y</t>
        </is>
      </c>
      <c r="M527" s="99" t="n">
        <v>41.3</v>
      </c>
      <c r="N527" s="99" t="inlineStr">
        <is>
          <t>N</t>
        </is>
      </c>
      <c r="O527" s="99" t="n">
        <v>18.45</v>
      </c>
      <c r="P527" s="99" t="inlineStr">
        <is>
          <t>N</t>
        </is>
      </c>
      <c r="Q527" s="99" t="inlineStr">
        <is>
          <t>N/A</t>
        </is>
      </c>
      <c r="R527" s="99" t="inlineStr">
        <is>
          <t>N</t>
        </is>
      </c>
      <c r="S527" s="99" t="n">
        <v>8.699999999999999</v>
      </c>
      <c r="T527" s="99" t="n">
        <v>7.5</v>
      </c>
      <c r="U527" s="99" t="inlineStr">
        <is>
          <t>Y</t>
        </is>
      </c>
      <c r="V527" s="99" t="n">
        <v>14.4</v>
      </c>
      <c r="W527" s="99" t="inlineStr">
        <is>
          <t>N/A</t>
        </is>
      </c>
      <c r="X527" s="99" t="n">
        <v>111.93</v>
      </c>
      <c r="Y527" s="99" t="n">
        <v>-2.8</v>
      </c>
      <c r="Z527" s="99" t="n">
        <v>4</v>
      </c>
      <c r="AA527" s="94" t="inlineStr">
        <is>
          <t>AVOID</t>
        </is>
      </c>
    </row>
    <row r="528">
      <c r="A528" s="97" t="inlineStr">
        <is>
          <t>JSWCEMENT</t>
        </is>
      </c>
      <c r="B528" s="97" t="inlineStr">
        <is>
          <t>JSW Cement Ltd.</t>
        </is>
      </c>
      <c r="C528" s="97" t="inlineStr">
        <is>
          <t>Construction Materials</t>
        </is>
      </c>
      <c r="D528" s="97" t="inlineStr">
        <is>
          <t>Smallcap</t>
        </is>
      </c>
      <c r="E528" s="97" t="n">
        <v>132.12</v>
      </c>
      <c r="F528" s="97" t="n">
        <v>-1.29</v>
      </c>
      <c r="G528" s="97" t="n">
        <v>1298867</v>
      </c>
      <c r="H528" s="97" t="n">
        <v>0.59</v>
      </c>
      <c r="I528" s="97" t="n">
        <v>17721</v>
      </c>
      <c r="J528" s="97" t="inlineStr">
        <is>
          <t>Y</t>
        </is>
      </c>
      <c r="K528" s="97" t="inlineStr">
        <is>
          <t>Y</t>
        </is>
      </c>
      <c r="L528" s="97" t="inlineStr">
        <is>
          <t>Y</t>
        </is>
      </c>
      <c r="M528" s="97" t="n">
        <v>42.5</v>
      </c>
      <c r="N528" s="97" t="inlineStr">
        <is>
          <t>N</t>
        </is>
      </c>
      <c r="O528" s="97" t="n">
        <v>3.53</v>
      </c>
      <c r="P528" s="97" t="inlineStr">
        <is>
          <t>N</t>
        </is>
      </c>
      <c r="Q528" s="97" t="inlineStr">
        <is>
          <t>N/A</t>
        </is>
      </c>
      <c r="R528" s="97" t="inlineStr">
        <is>
          <t>N</t>
        </is>
      </c>
      <c r="S528" s="97" t="n">
        <v>0.4</v>
      </c>
      <c r="T528" s="97" t="n">
        <v>7.2</v>
      </c>
      <c r="U528" s="97" t="inlineStr">
        <is>
          <t>Y</t>
        </is>
      </c>
      <c r="V528" s="97" t="inlineStr">
        <is>
          <t>N/A</t>
        </is>
      </c>
      <c r="W528" s="97" t="n">
        <v>-18</v>
      </c>
      <c r="X528" s="97" t="n">
        <v>68.39</v>
      </c>
      <c r="Y528" s="97" t="n">
        <v>161.3</v>
      </c>
      <c r="Z528" s="97" t="n">
        <v>5</v>
      </c>
      <c r="AA528" s="92" t="inlineStr">
        <is>
          <t>WATCHLIST</t>
        </is>
      </c>
    </row>
    <row r="529">
      <c r="A529" s="99" t="inlineStr">
        <is>
          <t>PCBL</t>
        </is>
      </c>
      <c r="B529" s="99" t="inlineStr">
        <is>
          <t>PCBL Chemical Ltd.</t>
        </is>
      </c>
      <c r="C529" s="99" t="inlineStr">
        <is>
          <t>Chemicals</t>
        </is>
      </c>
      <c r="D529" s="99" t="inlineStr">
        <is>
          <t>Smallcap</t>
        </is>
      </c>
      <c r="E529" s="99" t="n">
        <v>317.9</v>
      </c>
      <c r="F529" s="99" t="n">
        <v>-0.53</v>
      </c>
      <c r="G529" s="99" t="n">
        <v>1308687</v>
      </c>
      <c r="H529" s="99" t="n">
        <v>1.04</v>
      </c>
      <c r="I529" s="99" t="n">
        <v>12508</v>
      </c>
      <c r="J529" s="99" t="inlineStr">
        <is>
          <t>Y</t>
        </is>
      </c>
      <c r="K529" s="99" t="inlineStr">
        <is>
          <t>Y</t>
        </is>
      </c>
      <c r="L529" s="99" t="inlineStr">
        <is>
          <t>Y</t>
        </is>
      </c>
      <c r="M529" s="99" t="n">
        <v>47.7</v>
      </c>
      <c r="N529" s="99" t="inlineStr">
        <is>
          <t>N</t>
        </is>
      </c>
      <c r="O529" s="99" t="n">
        <v>12.47</v>
      </c>
      <c r="P529" s="99" t="inlineStr">
        <is>
          <t>N</t>
        </is>
      </c>
      <c r="Q529" s="99" t="inlineStr">
        <is>
          <t>N/A</t>
        </is>
      </c>
      <c r="R529" s="99" t="inlineStr">
        <is>
          <t>N</t>
        </is>
      </c>
      <c r="S529" s="99" t="n">
        <v>1.2</v>
      </c>
      <c r="T529" s="99" t="n">
        <v>7</v>
      </c>
      <c r="U529" s="99" t="inlineStr">
        <is>
          <t>Y</t>
        </is>
      </c>
      <c r="V529" s="99" t="n">
        <v>62.1</v>
      </c>
      <c r="W529" s="99" t="n">
        <v>5.1</v>
      </c>
      <c r="X529" s="99" t="n">
        <v>124.13</v>
      </c>
      <c r="Y529" s="99" t="n">
        <v>1882.8</v>
      </c>
      <c r="Z529" s="99" t="n">
        <v>5</v>
      </c>
      <c r="AA529" s="94" t="inlineStr">
        <is>
          <t>WATCHLIST</t>
        </is>
      </c>
    </row>
    <row r="530">
      <c r="A530" s="97" t="inlineStr">
        <is>
          <t>LICI</t>
        </is>
      </c>
      <c r="B530" s="97" t="inlineStr">
        <is>
          <t>Life Insurance Corporation of India</t>
        </is>
      </c>
      <c r="C530" s="97" t="inlineStr">
        <is>
          <t>Financial Services</t>
        </is>
      </c>
      <c r="D530" s="97" t="inlineStr">
        <is>
          <t>Large/Midcap</t>
        </is>
      </c>
      <c r="E530" s="97" t="n">
        <v>421.3</v>
      </c>
      <c r="F530" s="97" t="n">
        <v>-0.02</v>
      </c>
      <c r="G530" s="97" t="n">
        <v>862880</v>
      </c>
      <c r="H530" s="97" t="n">
        <v>0.68</v>
      </c>
      <c r="I530" s="97" t="n">
        <v>532944</v>
      </c>
      <c r="J530" s="97" t="inlineStr">
        <is>
          <t>Y</t>
        </is>
      </c>
      <c r="K530" s="97" t="inlineStr">
        <is>
          <t>Y</t>
        </is>
      </c>
      <c r="L530" s="97" t="inlineStr">
        <is>
          <t>Y</t>
        </is>
      </c>
      <c r="M530" s="97" t="n">
        <v>43.4</v>
      </c>
      <c r="N530" s="97" t="inlineStr">
        <is>
          <t>N</t>
        </is>
      </c>
      <c r="O530" s="97" t="n">
        <v>9.449999999999999</v>
      </c>
      <c r="P530" s="97" t="inlineStr">
        <is>
          <t>N</t>
        </is>
      </c>
      <c r="Q530" s="97" t="inlineStr">
        <is>
          <t>N/A</t>
        </is>
      </c>
      <c r="R530" s="97" t="inlineStr">
        <is>
          <t>N</t>
        </is>
      </c>
      <c r="S530" s="97" t="n">
        <v>0.6</v>
      </c>
      <c r="T530" s="97" t="n">
        <v>6.7</v>
      </c>
      <c r="U530" s="97" t="inlineStr">
        <is>
          <t>Y</t>
        </is>
      </c>
      <c r="V530" s="97" t="n">
        <v>9.300000000000001</v>
      </c>
      <c r="W530" s="97" t="n">
        <v>40.8</v>
      </c>
      <c r="X530" s="97" t="n">
        <v>0.43</v>
      </c>
      <c r="Y530" s="97" t="n">
        <v>81.5</v>
      </c>
      <c r="Z530" s="97" t="n">
        <v>6</v>
      </c>
      <c r="AA530" s="92" t="inlineStr">
        <is>
          <t>WATCHLIST</t>
        </is>
      </c>
    </row>
    <row r="531">
      <c r="A531" s="99" t="inlineStr">
        <is>
          <t>CUB</t>
        </is>
      </c>
      <c r="B531" s="99" t="inlineStr">
        <is>
          <t>City Union Bank Ltd.</t>
        </is>
      </c>
      <c r="C531" s="99" t="inlineStr">
        <is>
          <t>Financial Services</t>
        </is>
      </c>
      <c r="D531" s="99" t="inlineStr">
        <is>
          <t>Smallcap</t>
        </is>
      </c>
      <c r="E531" s="99" t="n">
        <v>219.75</v>
      </c>
      <c r="F531" s="99" t="n">
        <v>-0.06</v>
      </c>
      <c r="G531" s="99" t="n">
        <v>1635177</v>
      </c>
      <c r="H531" s="99" t="n">
        <v>0.64</v>
      </c>
      <c r="I531" s="99" t="n">
        <v>21773</v>
      </c>
      <c r="J531" s="99" t="inlineStr">
        <is>
          <t>Y</t>
        </is>
      </c>
      <c r="K531" s="99" t="inlineStr">
        <is>
          <t>Y</t>
        </is>
      </c>
      <c r="L531" s="99" t="inlineStr">
        <is>
          <t>Y</t>
        </is>
      </c>
      <c r="M531" s="99" t="n">
        <v>45</v>
      </c>
      <c r="N531" s="99" t="inlineStr">
        <is>
          <t>N</t>
        </is>
      </c>
      <c r="O531" s="99" t="n">
        <v>7.16</v>
      </c>
      <c r="P531" s="99" t="inlineStr">
        <is>
          <t>N</t>
        </is>
      </c>
      <c r="Q531" s="99" t="inlineStr">
        <is>
          <t>N/A</t>
        </is>
      </c>
      <c r="R531" s="99" t="inlineStr">
        <is>
          <t>N</t>
        </is>
      </c>
      <c r="S531" s="99" t="n">
        <v>11.6</v>
      </c>
      <c r="T531" s="99" t="n">
        <v>6.2</v>
      </c>
      <c r="U531" s="99" t="inlineStr">
        <is>
          <t>Y</t>
        </is>
      </c>
      <c r="V531" s="99" t="n">
        <v>16.4</v>
      </c>
      <c r="W531" s="99" t="n">
        <v>13.2</v>
      </c>
      <c r="X531" s="99" t="inlineStr">
        <is>
          <t>N/A</t>
        </is>
      </c>
      <c r="Y531" s="99" t="n">
        <v>8.300000000000001</v>
      </c>
      <c r="Z531" s="99" t="n">
        <v>5</v>
      </c>
      <c r="AA531" s="94" t="inlineStr">
        <is>
          <t>WATCHLIST</t>
        </is>
      </c>
    </row>
    <row r="532">
      <c r="A532" s="97" t="inlineStr">
        <is>
          <t>APTUS</t>
        </is>
      </c>
      <c r="B532" s="97" t="inlineStr">
        <is>
          <t>Aptus Value Housing Finance India Ltd.</t>
        </is>
      </c>
      <c r="C532" s="97" t="inlineStr">
        <is>
          <t>Financial Services</t>
        </is>
      </c>
      <c r="D532" s="97" t="inlineStr">
        <is>
          <t>Smallcap</t>
        </is>
      </c>
      <c r="E532" s="97" t="n">
        <v>277.15</v>
      </c>
      <c r="F532" s="97" t="n">
        <v>-2.65</v>
      </c>
      <c r="G532" s="97" t="n">
        <v>932035</v>
      </c>
      <c r="H532" s="97" t="n">
        <v>1.34</v>
      </c>
      <c r="I532" s="97" t="n">
        <v>13879</v>
      </c>
      <c r="J532" s="97" t="inlineStr">
        <is>
          <t>Y</t>
        </is>
      </c>
      <c r="K532" s="97" t="inlineStr">
        <is>
          <t>Y</t>
        </is>
      </c>
      <c r="L532" s="97" t="inlineStr">
        <is>
          <t>Y</t>
        </is>
      </c>
      <c r="M532" s="97" t="n">
        <v>43.7</v>
      </c>
      <c r="N532" s="97" t="inlineStr">
        <is>
          <t>N</t>
        </is>
      </c>
      <c r="O532" s="97" t="n">
        <v>8.789999999999999</v>
      </c>
      <c r="P532" s="97" t="inlineStr">
        <is>
          <t>N</t>
        </is>
      </c>
      <c r="Q532" s="97" t="inlineStr">
        <is>
          <t>N/A</t>
        </is>
      </c>
      <c r="R532" s="97" t="inlineStr">
        <is>
          <t>N</t>
        </is>
      </c>
      <c r="S532" s="97" t="n">
        <v>5.6</v>
      </c>
      <c r="T532" s="97" t="n">
        <v>6.2</v>
      </c>
      <c r="U532" s="97" t="inlineStr">
        <is>
          <t>Y</t>
        </is>
      </c>
      <c r="V532" s="97" t="n">
        <v>14.7</v>
      </c>
      <c r="W532" s="97" t="n">
        <v>20.1</v>
      </c>
      <c r="X532" s="97" t="n">
        <v>156.2</v>
      </c>
      <c r="Y532" s="97" t="n">
        <v>10.5</v>
      </c>
      <c r="Z532" s="97" t="n">
        <v>6</v>
      </c>
      <c r="AA532" s="92" t="inlineStr">
        <is>
          <t>WATCHLIST</t>
        </is>
      </c>
    </row>
    <row r="533">
      <c r="A533" s="99" t="inlineStr">
        <is>
          <t>360ONE</t>
        </is>
      </c>
      <c r="B533" s="99" t="inlineStr">
        <is>
          <t>360 ONE WAM Ltd.</t>
        </is>
      </c>
      <c r="C533" s="99" t="inlineStr">
        <is>
          <t>Financial Services</t>
        </is>
      </c>
      <c r="D533" s="99" t="inlineStr">
        <is>
          <t>Large/Midcap</t>
        </is>
      </c>
      <c r="E533" s="99" t="n">
        <v>1102.3</v>
      </c>
      <c r="F533" s="99" t="n">
        <v>1.76</v>
      </c>
      <c r="G533" s="99" t="n">
        <v>918262</v>
      </c>
      <c r="H533" s="99" t="n">
        <v>0.88</v>
      </c>
      <c r="I533" s="99" t="n">
        <v>44851</v>
      </c>
      <c r="J533" s="99" t="inlineStr">
        <is>
          <t>Y</t>
        </is>
      </c>
      <c r="K533" s="99" t="inlineStr">
        <is>
          <t>N</t>
        </is>
      </c>
      <c r="L533" s="99" t="inlineStr">
        <is>
          <t>Y</t>
        </is>
      </c>
      <c r="M533" s="99" t="n">
        <v>44.2</v>
      </c>
      <c r="N533" s="99" t="inlineStr">
        <is>
          <t>N</t>
        </is>
      </c>
      <c r="O533" s="99" t="n">
        <v>34.8</v>
      </c>
      <c r="P533" s="99" t="inlineStr">
        <is>
          <t>N</t>
        </is>
      </c>
      <c r="Q533" s="99" t="inlineStr">
        <is>
          <t>N/A</t>
        </is>
      </c>
      <c r="R533" s="99" t="inlineStr">
        <is>
          <t>N</t>
        </is>
      </c>
      <c r="S533" s="99" t="n">
        <v>2.6</v>
      </c>
      <c r="T533" s="99" t="n">
        <v>5.8</v>
      </c>
      <c r="U533" s="99" t="inlineStr">
        <is>
          <t>Y</t>
        </is>
      </c>
      <c r="V533" s="99" t="n">
        <v>36.6</v>
      </c>
      <c r="W533" s="99" t="inlineStr">
        <is>
          <t>N/A</t>
        </is>
      </c>
      <c r="X533" s="99" t="n">
        <v>161.98</v>
      </c>
      <c r="Y533" s="99" t="n">
        <v>14.5</v>
      </c>
      <c r="Z533" s="99" t="n">
        <v>4</v>
      </c>
      <c r="AA533" s="94" t="inlineStr">
        <is>
          <t>AVOID</t>
        </is>
      </c>
    </row>
    <row r="534">
      <c r="A534" s="97" t="inlineStr">
        <is>
          <t>CCL</t>
        </is>
      </c>
      <c r="B534" s="97" t="inlineStr">
        <is>
          <t>CCL Products (I) Ltd.</t>
        </is>
      </c>
      <c r="C534" s="97" t="inlineStr">
        <is>
          <t>Fast Moving Consumer Goods</t>
        </is>
      </c>
      <c r="D534" s="97" t="inlineStr">
        <is>
          <t>Smallcap</t>
        </is>
      </c>
      <c r="E534" s="97" t="n">
        <v>1183.6</v>
      </c>
      <c r="F534" s="97" t="n">
        <v>-0.14</v>
      </c>
      <c r="G534" s="97" t="n">
        <v>55391</v>
      </c>
      <c r="H534" s="97" t="n">
        <v>0.83</v>
      </c>
      <c r="I534" s="97" t="n">
        <v>15781</v>
      </c>
      <c r="J534" s="97" t="inlineStr">
        <is>
          <t>Y</t>
        </is>
      </c>
      <c r="K534" s="97" t="inlineStr">
        <is>
          <t>Y</t>
        </is>
      </c>
      <c r="L534" s="97" t="inlineStr">
        <is>
          <t>Y</t>
        </is>
      </c>
      <c r="M534" s="97" t="n">
        <v>44.3</v>
      </c>
      <c r="N534" s="97" t="inlineStr">
        <is>
          <t>N</t>
        </is>
      </c>
      <c r="O534" s="97" t="n">
        <v>31.96</v>
      </c>
      <c r="P534" s="97" t="inlineStr">
        <is>
          <t>N</t>
        </is>
      </c>
      <c r="Q534" s="97" t="inlineStr">
        <is>
          <t>N/A</t>
        </is>
      </c>
      <c r="R534" s="97" t="inlineStr">
        <is>
          <t>N</t>
        </is>
      </c>
      <c r="S534" s="97" t="n">
        <v>2.8</v>
      </c>
      <c r="T534" s="97" t="n">
        <v>5.7</v>
      </c>
      <c r="U534" s="97" t="inlineStr">
        <is>
          <t>Y</t>
        </is>
      </c>
      <c r="V534" s="97" t="n">
        <v>40.6</v>
      </c>
      <c r="W534" s="97" t="n">
        <v>18</v>
      </c>
      <c r="X534" s="97" t="n">
        <v>56.49</v>
      </c>
      <c r="Y534" s="97" t="n">
        <v>14.2</v>
      </c>
      <c r="Z534" s="97" t="n">
        <v>6</v>
      </c>
      <c r="AA534" s="92" t="inlineStr">
        <is>
          <t>WATCHLIST</t>
        </is>
      </c>
    </row>
    <row r="535">
      <c r="A535" s="99" t="inlineStr">
        <is>
          <t>TATACAP</t>
        </is>
      </c>
      <c r="B535" s="99" t="inlineStr">
        <is>
          <t>Tata Capital Ltd.</t>
        </is>
      </c>
      <c r="C535" s="99" t="inlineStr">
        <is>
          <t>Financial Services</t>
        </is>
      </c>
      <c r="D535" s="99" t="inlineStr">
        <is>
          <t>Large/Midcap</t>
        </is>
      </c>
      <c r="E535" s="99" t="n">
        <v>341.9</v>
      </c>
      <c r="F535" s="99" t="n">
        <v>0.13</v>
      </c>
      <c r="G535" s="99" t="n">
        <v>900008</v>
      </c>
      <c r="H535" s="99" t="n">
        <v>1.45</v>
      </c>
      <c r="I535" s="99" t="n">
        <v>144169</v>
      </c>
      <c r="J535" s="99" t="inlineStr">
        <is>
          <t>Y</t>
        </is>
      </c>
      <c r="K535" s="99" t="inlineStr">
        <is>
          <t>Y</t>
        </is>
      </c>
      <c r="L535" s="99" t="inlineStr">
        <is>
          <t>N/A</t>
        </is>
      </c>
      <c r="M535" s="99" t="n">
        <v>42.7</v>
      </c>
      <c r="N535" s="99" t="inlineStr">
        <is>
          <t>N</t>
        </is>
      </c>
      <c r="O535" s="99" t="n">
        <v>8.279999999999999</v>
      </c>
      <c r="P535" s="99" t="inlineStr">
        <is>
          <t>N</t>
        </is>
      </c>
      <c r="Q535" s="99" t="inlineStr">
        <is>
          <t>N/A</t>
        </is>
      </c>
      <c r="R535" s="99" t="inlineStr">
        <is>
          <t>N</t>
        </is>
      </c>
      <c r="S535" s="99" t="n">
        <v>-4.9</v>
      </c>
      <c r="T535" s="99" t="n">
        <v>5.7</v>
      </c>
      <c r="U535" s="99" t="inlineStr">
        <is>
          <t>Y</t>
        </is>
      </c>
      <c r="V535" s="99" t="n">
        <v>29.1</v>
      </c>
      <c r="W535" s="99" t="n">
        <v>12</v>
      </c>
      <c r="X535" s="99" t="n">
        <v>502.93</v>
      </c>
      <c r="Y535" s="99" t="n">
        <v>19.5</v>
      </c>
      <c r="Z535" s="99" t="n">
        <v>4</v>
      </c>
      <c r="AA535" s="94" t="inlineStr">
        <is>
          <t>AVOID</t>
        </is>
      </c>
    </row>
    <row r="536">
      <c r="A536" s="97" t="inlineStr">
        <is>
          <t>HOMEFIRST</t>
        </is>
      </c>
      <c r="B536" s="97" t="inlineStr">
        <is>
          <t>Home First Finance Company India Ltd.</t>
        </is>
      </c>
      <c r="C536" s="97" t="inlineStr">
        <is>
          <t>Financial Services</t>
        </is>
      </c>
      <c r="D536" s="97" t="inlineStr">
        <is>
          <t>Smallcap</t>
        </is>
      </c>
      <c r="E536" s="97" t="n">
        <v>1174</v>
      </c>
      <c r="F536" s="97" t="n">
        <v>-2.35</v>
      </c>
      <c r="G536" s="97" t="n">
        <v>259050</v>
      </c>
      <c r="H536" s="97" t="n">
        <v>1.1</v>
      </c>
      <c r="I536" s="97" t="n">
        <v>12272</v>
      </c>
      <c r="J536" s="97" t="inlineStr">
        <is>
          <t>Y</t>
        </is>
      </c>
      <c r="K536" s="97" t="inlineStr">
        <is>
          <t>Y</t>
        </is>
      </c>
      <c r="L536" s="97" t="inlineStr">
        <is>
          <t>Y</t>
        </is>
      </c>
      <c r="M536" s="97" t="n">
        <v>47.4</v>
      </c>
      <c r="N536" s="97" t="inlineStr">
        <is>
          <t>N</t>
        </is>
      </c>
      <c r="O536" s="97" t="n">
        <v>42.26</v>
      </c>
      <c r="P536" s="97" t="inlineStr">
        <is>
          <t>N</t>
        </is>
      </c>
      <c r="Q536" s="97" t="inlineStr">
        <is>
          <t>N/A</t>
        </is>
      </c>
      <c r="R536" s="97" t="inlineStr">
        <is>
          <t>N</t>
        </is>
      </c>
      <c r="S536" s="97" t="n">
        <v>-0.4</v>
      </c>
      <c r="T536" s="97" t="n">
        <v>5.5</v>
      </c>
      <c r="U536" s="97" t="inlineStr">
        <is>
          <t>Y</t>
        </is>
      </c>
      <c r="V536" s="97" t="n">
        <v>22.8</v>
      </c>
      <c r="W536" s="97" t="n">
        <v>15.7</v>
      </c>
      <c r="X536" s="97" t="n">
        <v>243.94</v>
      </c>
      <c r="Y536" s="97" t="n">
        <v>6.6</v>
      </c>
      <c r="Z536" s="97" t="n">
        <v>6</v>
      </c>
      <c r="AA536" s="92" t="inlineStr">
        <is>
          <t>WATCHLIST</t>
        </is>
      </c>
    </row>
    <row r="537">
      <c r="A537" s="99" t="inlineStr">
        <is>
          <t>BAJAJHLDNG</t>
        </is>
      </c>
      <c r="B537" s="99" t="inlineStr">
        <is>
          <t>Bajaj Holdings &amp; Investment Ltd.</t>
        </is>
      </c>
      <c r="C537" s="99" t="inlineStr">
        <is>
          <t>Financial Services</t>
        </is>
      </c>
      <c r="D537" s="99" t="inlineStr">
        <is>
          <t>Large/Midcap</t>
        </is>
      </c>
      <c r="E537" s="99" t="n">
        <v>10679</v>
      </c>
      <c r="F537" s="99" t="n">
        <v>0.4</v>
      </c>
      <c r="G537" s="99" t="n">
        <v>73470</v>
      </c>
      <c r="H537" s="99" t="n">
        <v>0.85</v>
      </c>
      <c r="I537" s="99" t="n">
        <v>118850</v>
      </c>
      <c r="J537" s="99" t="inlineStr">
        <is>
          <t>Y</t>
        </is>
      </c>
      <c r="K537" s="99" t="inlineStr">
        <is>
          <t>Y</t>
        </is>
      </c>
      <c r="L537" s="99" t="inlineStr">
        <is>
          <t>N</t>
        </is>
      </c>
      <c r="M537" s="99" t="n">
        <v>46.2</v>
      </c>
      <c r="N537" s="99" t="inlineStr">
        <is>
          <t>N</t>
        </is>
      </c>
      <c r="O537" s="99" t="n">
        <v>278.5</v>
      </c>
      <c r="P537" s="99" t="inlineStr">
        <is>
          <t>N</t>
        </is>
      </c>
      <c r="Q537" s="99" t="inlineStr">
        <is>
          <t>N/A</t>
        </is>
      </c>
      <c r="R537" s="99" t="inlineStr">
        <is>
          <t>N</t>
        </is>
      </c>
      <c r="S537" s="99" t="n">
        <v>3.1</v>
      </c>
      <c r="T537" s="99" t="n">
        <v>5.5</v>
      </c>
      <c r="U537" s="99" t="inlineStr">
        <is>
          <t>Y</t>
        </is>
      </c>
      <c r="V537" s="99" t="n">
        <v>12.3</v>
      </c>
      <c r="W537" s="99" t="n">
        <v>12.6</v>
      </c>
      <c r="X537" s="99" t="n">
        <v>0.01</v>
      </c>
      <c r="Y537" s="99" t="n">
        <v>27.7</v>
      </c>
      <c r="Z537" s="99" t="n">
        <v>4</v>
      </c>
      <c r="AA537" s="94" t="inlineStr">
        <is>
          <t>AVOID</t>
        </is>
      </c>
    </row>
    <row r="538">
      <c r="A538" s="97" t="inlineStr">
        <is>
          <t>RBLBANK</t>
        </is>
      </c>
      <c r="B538" s="97" t="inlineStr">
        <is>
          <t>RBL Bank Ltd.</t>
        </is>
      </c>
      <c r="C538" s="97" t="inlineStr">
        <is>
          <t>Financial Services</t>
        </is>
      </c>
      <c r="D538" s="97" t="inlineStr">
        <is>
          <t>Smallcap</t>
        </is>
      </c>
      <c r="E538" s="97" t="n">
        <v>352.9</v>
      </c>
      <c r="F538" s="97" t="n">
        <v>-0.27</v>
      </c>
      <c r="G538" s="97" t="n">
        <v>2705750</v>
      </c>
      <c r="H538" s="97" t="n">
        <v>0.64</v>
      </c>
      <c r="I538" s="97" t="n">
        <v>54649</v>
      </c>
      <c r="J538" s="97" t="inlineStr">
        <is>
          <t>Y</t>
        </is>
      </c>
      <c r="K538" s="97" t="inlineStr">
        <is>
          <t>N</t>
        </is>
      </c>
      <c r="L538" s="97" t="inlineStr">
        <is>
          <t>Y</t>
        </is>
      </c>
      <c r="M538" s="97" t="n">
        <v>40.4</v>
      </c>
      <c r="N538" s="97" t="inlineStr">
        <is>
          <t>N</t>
        </is>
      </c>
      <c r="O538" s="97" t="n">
        <v>10.55</v>
      </c>
      <c r="P538" s="97" t="inlineStr">
        <is>
          <t>N</t>
        </is>
      </c>
      <c r="Q538" s="97" t="inlineStr">
        <is>
          <t>N/A</t>
        </is>
      </c>
      <c r="R538" s="97" t="inlineStr">
        <is>
          <t>N</t>
        </is>
      </c>
      <c r="S538" s="97" t="n">
        <v>-3.8</v>
      </c>
      <c r="T538" s="97" t="n">
        <v>4</v>
      </c>
      <c r="U538" s="97" t="inlineStr">
        <is>
          <t>Y</t>
        </is>
      </c>
      <c r="V538" s="97" t="n">
        <v>29.2</v>
      </c>
      <c r="W538" s="97" t="inlineStr">
        <is>
          <t>N/A</t>
        </is>
      </c>
      <c r="X538" s="97" t="inlineStr">
        <is>
          <t>N/A</t>
        </is>
      </c>
      <c r="Y538" s="97" t="n">
        <v>-4.2</v>
      </c>
      <c r="Z538" s="97" t="n">
        <v>3</v>
      </c>
      <c r="AA538" s="92" t="inlineStr">
        <is>
          <t>AVOID</t>
        </is>
      </c>
    </row>
    <row r="539">
      <c r="A539" s="99" t="inlineStr">
        <is>
          <t>CDSL</t>
        </is>
      </c>
      <c r="B539" s="99" t="inlineStr">
        <is>
          <t>Central Depository Services (India) Ltd.</t>
        </is>
      </c>
      <c r="C539" s="99" t="inlineStr">
        <is>
          <t>Financial Services</t>
        </is>
      </c>
      <c r="D539" s="99" t="inlineStr">
        <is>
          <t>Smallcap</t>
        </is>
      </c>
      <c r="E539" s="99" t="n">
        <v>1333.1</v>
      </c>
      <c r="F539" s="99" t="n">
        <v>0.73</v>
      </c>
      <c r="G539" s="99" t="n">
        <v>969219</v>
      </c>
      <c r="H539" s="99" t="n">
        <v>0.73</v>
      </c>
      <c r="I539" s="99" t="n">
        <v>27862</v>
      </c>
      <c r="J539" s="99" t="inlineStr">
        <is>
          <t>Y</t>
        </is>
      </c>
      <c r="K539" s="99" t="inlineStr">
        <is>
          <t>Y</t>
        </is>
      </c>
      <c r="L539" s="99" t="inlineStr">
        <is>
          <t>N</t>
        </is>
      </c>
      <c r="M539" s="99" t="n">
        <v>48.2</v>
      </c>
      <c r="N539" s="99" t="inlineStr">
        <is>
          <t>N</t>
        </is>
      </c>
      <c r="O539" s="99" t="n">
        <v>39.62</v>
      </c>
      <c r="P539" s="99" t="inlineStr">
        <is>
          <t>N</t>
        </is>
      </c>
      <c r="Q539" s="99" t="inlineStr">
        <is>
          <t>N/A</t>
        </is>
      </c>
      <c r="R539" s="99" t="inlineStr">
        <is>
          <t>N</t>
        </is>
      </c>
      <c r="S539" s="99" t="n">
        <v>3.2</v>
      </c>
      <c r="T539" s="99" t="n">
        <v>3.5</v>
      </c>
      <c r="U539" s="99" t="inlineStr">
        <is>
          <t>Y</t>
        </is>
      </c>
      <c r="V539" s="99" t="n">
        <v>61</v>
      </c>
      <c r="W539" s="99" t="n">
        <v>23.9</v>
      </c>
      <c r="X539" s="99" t="n">
        <v>0.11</v>
      </c>
      <c r="Y539" s="99" t="n">
        <v>-39.8</v>
      </c>
      <c r="Z539" s="99" t="n">
        <v>4</v>
      </c>
      <c r="AA539" s="94" t="inlineStr">
        <is>
          <t>AVOID</t>
        </is>
      </c>
    </row>
    <row r="540">
      <c r="A540" s="97" t="inlineStr">
        <is>
          <t>JUBLPHARMA</t>
        </is>
      </c>
      <c r="B540" s="97" t="inlineStr">
        <is>
          <t>Jubilant Pharmova Ltd.</t>
        </is>
      </c>
      <c r="C540" s="97" t="inlineStr">
        <is>
          <t>Healthcare</t>
        </is>
      </c>
      <c r="D540" s="97" t="inlineStr">
        <is>
          <t>Smallcap</t>
        </is>
      </c>
      <c r="E540" s="97" t="n">
        <v>965.35</v>
      </c>
      <c r="F540" s="97" t="n">
        <v>-0.05</v>
      </c>
      <c r="G540" s="97" t="n">
        <v>57028</v>
      </c>
      <c r="H540" s="97" t="n">
        <v>0.67</v>
      </c>
      <c r="I540" s="97" t="n">
        <v>15290</v>
      </c>
      <c r="J540" s="97" t="inlineStr">
        <is>
          <t>Y</t>
        </is>
      </c>
      <c r="K540" s="97" t="inlineStr">
        <is>
          <t>N</t>
        </is>
      </c>
      <c r="L540" s="97" t="inlineStr">
        <is>
          <t>N</t>
        </is>
      </c>
      <c r="M540" s="97" t="n">
        <v>46.1</v>
      </c>
      <c r="N540" s="97" t="inlineStr">
        <is>
          <t>N</t>
        </is>
      </c>
      <c r="O540" s="97" t="n">
        <v>27.3</v>
      </c>
      <c r="P540" s="97" t="inlineStr">
        <is>
          <t>N</t>
        </is>
      </c>
      <c r="Q540" s="97" t="inlineStr">
        <is>
          <t>N/A</t>
        </is>
      </c>
      <c r="R540" s="97" t="inlineStr">
        <is>
          <t>N</t>
        </is>
      </c>
      <c r="S540" s="97" t="n">
        <v>1.7</v>
      </c>
      <c r="T540" s="97" t="n">
        <v>3.5</v>
      </c>
      <c r="U540" s="97" t="inlineStr">
        <is>
          <t>Y</t>
        </is>
      </c>
      <c r="V540" s="97" t="n">
        <v>38.5</v>
      </c>
      <c r="W540" s="97" t="n">
        <v>6</v>
      </c>
      <c r="X540" s="97" t="n">
        <v>50.94</v>
      </c>
      <c r="Y540" s="97" t="n">
        <v>113.6</v>
      </c>
      <c r="Z540" s="97" t="n">
        <v>3</v>
      </c>
      <c r="AA540" s="92" t="inlineStr">
        <is>
          <t>AVOID</t>
        </is>
      </c>
    </row>
    <row r="541">
      <c r="A541" s="99" t="inlineStr">
        <is>
          <t>MSUMI</t>
        </is>
      </c>
      <c r="B541" s="99" t="inlineStr">
        <is>
          <t>Motherson Sumi Wiring India Ltd.</t>
        </is>
      </c>
      <c r="C541" s="99" t="inlineStr">
        <is>
          <t>Automobile and Auto Components</t>
        </is>
      </c>
      <c r="D541" s="99" t="inlineStr">
        <is>
          <t>Smallcap</t>
        </is>
      </c>
      <c r="E541" s="99" t="n">
        <v>40.11</v>
      </c>
      <c r="F541" s="99" t="n">
        <v>0.45</v>
      </c>
      <c r="G541" s="99" t="n">
        <v>3663165</v>
      </c>
      <c r="H541" s="99" t="n">
        <v>0.66</v>
      </c>
      <c r="I541" s="99" t="n">
        <v>26600</v>
      </c>
      <c r="J541" s="99" t="inlineStr">
        <is>
          <t>Y</t>
        </is>
      </c>
      <c r="K541" s="99" t="inlineStr">
        <is>
          <t>Y</t>
        </is>
      </c>
      <c r="L541" s="99" t="inlineStr">
        <is>
          <t>N</t>
        </is>
      </c>
      <c r="M541" s="99" t="n">
        <v>46.2</v>
      </c>
      <c r="N541" s="99" t="inlineStr">
        <is>
          <t>N</t>
        </is>
      </c>
      <c r="O541" s="99" t="n">
        <v>0.97</v>
      </c>
      <c r="P541" s="99" t="inlineStr">
        <is>
          <t>N</t>
        </is>
      </c>
      <c r="Q541" s="99" t="inlineStr">
        <is>
          <t>N/A</t>
        </is>
      </c>
      <c r="R541" s="99" t="inlineStr">
        <is>
          <t>N</t>
        </is>
      </c>
      <c r="S541" s="99" t="n">
        <v>-0.3</v>
      </c>
      <c r="T541" s="99" t="n">
        <v>3.5</v>
      </c>
      <c r="U541" s="99" t="inlineStr">
        <is>
          <t>Y</t>
        </is>
      </c>
      <c r="V541" s="99" t="n">
        <v>42.7</v>
      </c>
      <c r="W541" s="99" t="n">
        <v>32.4</v>
      </c>
      <c r="X541" s="99" t="n">
        <v>10.79</v>
      </c>
      <c r="Y541" s="99" t="n">
        <v>12</v>
      </c>
      <c r="Z541" s="99" t="n">
        <v>5</v>
      </c>
      <c r="AA541" s="94" t="inlineStr">
        <is>
          <t>WATCHLIST</t>
        </is>
      </c>
    </row>
    <row r="542">
      <c r="A542" s="97" t="inlineStr">
        <is>
          <t>ELGIEQUIP</t>
        </is>
      </c>
      <c r="B542" s="97" t="inlineStr">
        <is>
          <t>Elgi Equipments Ltd.</t>
        </is>
      </c>
      <c r="C542" s="97" t="inlineStr">
        <is>
          <t>Capital Goods</t>
        </is>
      </c>
      <c r="D542" s="97" t="inlineStr">
        <is>
          <t>Smallcap</t>
        </is>
      </c>
      <c r="E542" s="97" t="n">
        <v>577.3</v>
      </c>
      <c r="F542" s="97" t="n">
        <v>-1.49</v>
      </c>
      <c r="G542" s="97" t="n">
        <v>173421</v>
      </c>
      <c r="H542" s="97" t="n">
        <v>0.49</v>
      </c>
      <c r="I542" s="97" t="n">
        <v>18199</v>
      </c>
      <c r="J542" s="97" t="inlineStr">
        <is>
          <t>Y</t>
        </is>
      </c>
      <c r="K542" s="97" t="inlineStr">
        <is>
          <t>N</t>
        </is>
      </c>
      <c r="L542" s="97" t="inlineStr">
        <is>
          <t>Y</t>
        </is>
      </c>
      <c r="M542" s="97" t="n">
        <v>44.9</v>
      </c>
      <c r="N542" s="97" t="inlineStr">
        <is>
          <t>N</t>
        </is>
      </c>
      <c r="O542" s="97" t="n">
        <v>17.68</v>
      </c>
      <c r="P542" s="97" t="inlineStr">
        <is>
          <t>N</t>
        </is>
      </c>
      <c r="Q542" s="97" t="inlineStr">
        <is>
          <t>N/A</t>
        </is>
      </c>
      <c r="R542" s="97" t="inlineStr">
        <is>
          <t>N</t>
        </is>
      </c>
      <c r="S542" s="97" t="n">
        <v>-2.9</v>
      </c>
      <c r="T542" s="97" t="n">
        <v>3</v>
      </c>
      <c r="U542" s="97" t="inlineStr">
        <is>
          <t>Y</t>
        </is>
      </c>
      <c r="V542" s="97" t="n">
        <v>42.4</v>
      </c>
      <c r="W542" s="97" t="n">
        <v>21</v>
      </c>
      <c r="X542" s="97" t="n">
        <v>23.89</v>
      </c>
      <c r="Y542" s="97" t="n">
        <v>34.5</v>
      </c>
      <c r="Z542" s="97" t="n">
        <v>5</v>
      </c>
      <c r="AA542" s="92" t="inlineStr">
        <is>
          <t>WATCHLIST</t>
        </is>
      </c>
    </row>
    <row r="543">
      <c r="A543" s="99" t="inlineStr">
        <is>
          <t>BHARTIARTL</t>
        </is>
      </c>
      <c r="B543" s="99" t="inlineStr">
        <is>
          <t>Bharti Airtel Ltd.</t>
        </is>
      </c>
      <c r="C543" s="99" t="inlineStr">
        <is>
          <t>Telecommunication</t>
        </is>
      </c>
      <c r="D543" s="99" t="inlineStr">
        <is>
          <t>Large/Midcap</t>
        </is>
      </c>
      <c r="E543" s="99" t="n">
        <v>1898.2</v>
      </c>
      <c r="F543" s="99" t="n">
        <v>-0.46</v>
      </c>
      <c r="G543" s="99" t="n">
        <v>4483600</v>
      </c>
      <c r="H543" s="99" t="n">
        <v>0.78</v>
      </c>
      <c r="I543" s="99" t="n">
        <v>1184222</v>
      </c>
      <c r="J543" s="99" t="inlineStr">
        <is>
          <t>Y</t>
        </is>
      </c>
      <c r="K543" s="99" t="inlineStr">
        <is>
          <t>Y</t>
        </is>
      </c>
      <c r="L543" s="99" t="inlineStr">
        <is>
          <t>N</t>
        </is>
      </c>
      <c r="M543" s="99" t="n">
        <v>49.3</v>
      </c>
      <c r="N543" s="99" t="inlineStr">
        <is>
          <t>N</t>
        </is>
      </c>
      <c r="O543" s="99" t="n">
        <v>33.53</v>
      </c>
      <c r="P543" s="99" t="inlineStr">
        <is>
          <t>N</t>
        </is>
      </c>
      <c r="Q543" s="99" t="inlineStr">
        <is>
          <t>N/A</t>
        </is>
      </c>
      <c r="R543" s="99" t="inlineStr">
        <is>
          <t>N</t>
        </is>
      </c>
      <c r="S543" s="99" t="n">
        <v>4.9</v>
      </c>
      <c r="T543" s="99" t="n">
        <v>2.3</v>
      </c>
      <c r="U543" s="99" t="inlineStr">
        <is>
          <t>Y</t>
        </is>
      </c>
      <c r="V543" s="99" t="n">
        <v>42.7</v>
      </c>
      <c r="W543" s="99" t="n">
        <v>19.4</v>
      </c>
      <c r="X543" s="99" t="n">
        <v>99.72</v>
      </c>
      <c r="Y543" s="99" t="n">
        <v>10.5</v>
      </c>
      <c r="Z543" s="99" t="n">
        <v>5</v>
      </c>
      <c r="AA543" s="94" t="inlineStr">
        <is>
          <t>WATCHLIST</t>
        </is>
      </c>
    </row>
    <row r="544">
      <c r="A544" s="97" t="inlineStr">
        <is>
          <t>FORTIS</t>
        </is>
      </c>
      <c r="B544" s="97" t="inlineStr">
        <is>
          <t>Fortis Healthcare Ltd.</t>
        </is>
      </c>
      <c r="C544" s="97" t="inlineStr">
        <is>
          <t>Healthcare</t>
        </is>
      </c>
      <c r="D544" s="97" t="inlineStr">
        <is>
          <t>Large/Midcap</t>
        </is>
      </c>
      <c r="E544" s="97" t="n">
        <v>948.7</v>
      </c>
      <c r="F544" s="97" t="n">
        <v>0.64</v>
      </c>
      <c r="G544" s="97" t="n">
        <v>503448</v>
      </c>
      <c r="H544" s="97" t="n">
        <v>0.72</v>
      </c>
      <c r="I544" s="97" t="n">
        <v>71623</v>
      </c>
      <c r="J544" s="97" t="inlineStr">
        <is>
          <t>Y</t>
        </is>
      </c>
      <c r="K544" s="97" t="inlineStr">
        <is>
          <t>N</t>
        </is>
      </c>
      <c r="L544" s="97" t="inlineStr">
        <is>
          <t>Y</t>
        </is>
      </c>
      <c r="M544" s="97" t="n">
        <v>40</v>
      </c>
      <c r="N544" s="97" t="inlineStr">
        <is>
          <t>N</t>
        </is>
      </c>
      <c r="O544" s="97" t="n">
        <v>20.17</v>
      </c>
      <c r="P544" s="97" t="inlineStr">
        <is>
          <t>N</t>
        </is>
      </c>
      <c r="Q544" s="97" t="inlineStr">
        <is>
          <t>N/A</t>
        </is>
      </c>
      <c r="R544" s="97" t="inlineStr">
        <is>
          <t>N</t>
        </is>
      </c>
      <c r="S544" s="97" t="n">
        <v>0.5</v>
      </c>
      <c r="T544" s="97" t="n">
        <v>2.1</v>
      </c>
      <c r="U544" s="97" t="inlineStr">
        <is>
          <t>Y</t>
        </is>
      </c>
      <c r="V544" s="97" t="n">
        <v>68.90000000000001</v>
      </c>
      <c r="W544" s="97" t="n">
        <v>11</v>
      </c>
      <c r="X544" s="97" t="n">
        <v>34.15</v>
      </c>
      <c r="Y544" s="97" t="n">
        <v>37.2</v>
      </c>
      <c r="Z544" s="97" t="n">
        <v>4</v>
      </c>
      <c r="AA544" s="92" t="inlineStr">
        <is>
          <t>AVOID</t>
        </is>
      </c>
    </row>
    <row r="545">
      <c r="A545" s="99" t="inlineStr">
        <is>
          <t>M&amp;M</t>
        </is>
      </c>
      <c r="B545" s="99" t="inlineStr">
        <is>
          <t>Mahindra &amp; Mahindra Ltd.</t>
        </is>
      </c>
      <c r="C545" s="99" t="inlineStr">
        <is>
          <t>Automobile and Auto Components</t>
        </is>
      </c>
      <c r="D545" s="99" t="inlineStr">
        <is>
          <t>Large/Midcap</t>
        </is>
      </c>
      <c r="E545" s="99" t="n">
        <v>3161.4</v>
      </c>
      <c r="F545" s="99" t="n">
        <v>-2.11</v>
      </c>
      <c r="G545" s="99" t="n">
        <v>2135688</v>
      </c>
      <c r="H545" s="99" t="n">
        <v>1.02</v>
      </c>
      <c r="I545" s="99" t="n">
        <v>379609</v>
      </c>
      <c r="J545" s="99" t="inlineStr">
        <is>
          <t>Y</t>
        </is>
      </c>
      <c r="K545" s="99" t="inlineStr">
        <is>
          <t>Y</t>
        </is>
      </c>
      <c r="L545" s="99" t="inlineStr">
        <is>
          <t>N</t>
        </is>
      </c>
      <c r="M545" s="99" t="n">
        <v>46.5</v>
      </c>
      <c r="N545" s="99" t="inlineStr">
        <is>
          <t>N</t>
        </is>
      </c>
      <c r="O545" s="99" t="n">
        <v>67.54000000000001</v>
      </c>
      <c r="P545" s="99" t="inlineStr">
        <is>
          <t>N</t>
        </is>
      </c>
      <c r="Q545" s="99" t="inlineStr">
        <is>
          <t>N/A</t>
        </is>
      </c>
      <c r="R545" s="99" t="inlineStr">
        <is>
          <t>N</t>
        </is>
      </c>
      <c r="S545" s="99" t="n">
        <v>1.4</v>
      </c>
      <c r="T545" s="99" t="n">
        <v>1.9</v>
      </c>
      <c r="U545" s="99" t="inlineStr">
        <is>
          <t>Y</t>
        </is>
      </c>
      <c r="V545" s="99" t="n">
        <v>20.8</v>
      </c>
      <c r="W545" s="99" t="n">
        <v>18.8</v>
      </c>
      <c r="X545" s="99" t="n">
        <v>125.28</v>
      </c>
      <c r="Y545" s="99" t="n">
        <v>-0.2</v>
      </c>
      <c r="Z545" s="99" t="n">
        <v>4</v>
      </c>
      <c r="AA545" s="94" t="inlineStr">
        <is>
          <t>AVOID</t>
        </is>
      </c>
    </row>
    <row r="546">
      <c r="A546" s="97" t="inlineStr">
        <is>
          <t>EIHOTEL</t>
        </is>
      </c>
      <c r="B546" s="97" t="inlineStr">
        <is>
          <t>EIH Ltd.</t>
        </is>
      </c>
      <c r="C546" s="97" t="inlineStr">
        <is>
          <t>Consumer Services</t>
        </is>
      </c>
      <c r="D546" s="97" t="inlineStr">
        <is>
          <t>Smallcap</t>
        </is>
      </c>
      <c r="E546" s="97" t="n">
        <v>326.4</v>
      </c>
      <c r="F546" s="97" t="n">
        <v>1.57</v>
      </c>
      <c r="G546" s="97" t="n">
        <v>156876</v>
      </c>
      <c r="H546" s="97" t="n">
        <v>1.26</v>
      </c>
      <c r="I546" s="97" t="n">
        <v>20412</v>
      </c>
      <c r="J546" s="97" t="inlineStr">
        <is>
          <t>Y</t>
        </is>
      </c>
      <c r="K546" s="97" t="inlineStr">
        <is>
          <t>Y</t>
        </is>
      </c>
      <c r="L546" s="97" t="inlineStr">
        <is>
          <t>N</t>
        </is>
      </c>
      <c r="M546" s="97" t="n">
        <v>44</v>
      </c>
      <c r="N546" s="97" t="inlineStr">
        <is>
          <t>N</t>
        </is>
      </c>
      <c r="O546" s="97" t="n">
        <v>10.88</v>
      </c>
      <c r="P546" s="97" t="inlineStr">
        <is>
          <t>N</t>
        </is>
      </c>
      <c r="Q546" s="97" t="inlineStr">
        <is>
          <t>N/A</t>
        </is>
      </c>
      <c r="R546" s="97" t="inlineStr">
        <is>
          <t>N</t>
        </is>
      </c>
      <c r="S546" s="97" t="n">
        <v>1</v>
      </c>
      <c r="T546" s="97" t="n">
        <v>1.5</v>
      </c>
      <c r="U546" s="97" t="inlineStr">
        <is>
          <t>Y</t>
        </is>
      </c>
      <c r="V546" s="97" t="n">
        <v>32.5</v>
      </c>
      <c r="W546" s="97" t="n">
        <v>12.9</v>
      </c>
      <c r="X546" s="97" t="n">
        <v>4.67</v>
      </c>
      <c r="Y546" s="97" t="n">
        <v>-2.2</v>
      </c>
      <c r="Z546" s="97" t="n">
        <v>3</v>
      </c>
      <c r="AA546" s="92" t="inlineStr">
        <is>
          <t>AVOID</t>
        </is>
      </c>
    </row>
    <row r="547">
      <c r="A547" s="99" t="inlineStr">
        <is>
          <t>AFFLE</t>
        </is>
      </c>
      <c r="B547" s="99" t="inlineStr">
        <is>
          <t>Affle 3i Ltd.</t>
        </is>
      </c>
      <c r="C547" s="99" t="inlineStr">
        <is>
          <t>Information Technology</t>
        </is>
      </c>
      <c r="D547" s="99" t="inlineStr">
        <is>
          <t>Smallcap</t>
        </is>
      </c>
      <c r="E547" s="99" t="n">
        <v>1445.3</v>
      </c>
      <c r="F547" s="99" t="n">
        <v>-1.07</v>
      </c>
      <c r="G547" s="99" t="n">
        <v>238606</v>
      </c>
      <c r="H547" s="99" t="n">
        <v>2.08</v>
      </c>
      <c r="I547" s="99" t="n">
        <v>20327</v>
      </c>
      <c r="J547" s="99" t="inlineStr">
        <is>
          <t>Y</t>
        </is>
      </c>
      <c r="K547" s="99" t="inlineStr">
        <is>
          <t>N</t>
        </is>
      </c>
      <c r="L547" s="99" t="inlineStr">
        <is>
          <t>N</t>
        </is>
      </c>
      <c r="M547" s="99" t="n">
        <v>49.7</v>
      </c>
      <c r="N547" s="99" t="inlineStr">
        <is>
          <t>N</t>
        </is>
      </c>
      <c r="O547" s="99" t="n">
        <v>48.56</v>
      </c>
      <c r="P547" s="99" t="inlineStr">
        <is>
          <t>N</t>
        </is>
      </c>
      <c r="Q547" s="99" t="inlineStr">
        <is>
          <t>N/A</t>
        </is>
      </c>
      <c r="R547" s="99" t="inlineStr">
        <is>
          <t>N</t>
        </is>
      </c>
      <c r="S547" s="99" t="n">
        <v>0.8</v>
      </c>
      <c r="T547" s="99" t="n">
        <v>1.4</v>
      </c>
      <c r="U547" s="99" t="inlineStr">
        <is>
          <t>Y</t>
        </is>
      </c>
      <c r="V547" s="99" t="n">
        <v>44.6</v>
      </c>
      <c r="W547" s="99" t="n">
        <v>13.8</v>
      </c>
      <c r="X547" s="99" t="n">
        <v>0.41</v>
      </c>
      <c r="Y547" s="99" t="n">
        <v>0.2</v>
      </c>
      <c r="Z547" s="99" t="n">
        <v>3</v>
      </c>
      <c r="AA547" s="94" t="inlineStr">
        <is>
          <t>AVOID</t>
        </is>
      </c>
    </row>
    <row r="548">
      <c r="A548" s="97" t="inlineStr">
        <is>
          <t>CAMS</t>
        </is>
      </c>
      <c r="B548" s="97" t="inlineStr">
        <is>
          <t>Computer Age Management Services Ltd.</t>
        </is>
      </c>
      <c r="C548" s="97" t="inlineStr">
        <is>
          <t>Financial Services</t>
        </is>
      </c>
      <c r="D548" s="97" t="inlineStr">
        <is>
          <t>Smallcap</t>
        </is>
      </c>
      <c r="E548" s="97" t="n">
        <v>761.45</v>
      </c>
      <c r="F548" s="97" t="n">
        <v>0.44</v>
      </c>
      <c r="G548" s="97" t="n">
        <v>966899</v>
      </c>
      <c r="H548" s="97" t="n">
        <v>0.91</v>
      </c>
      <c r="I548" s="97" t="n">
        <v>18900</v>
      </c>
      <c r="J548" s="97" t="inlineStr">
        <is>
          <t>Y</t>
        </is>
      </c>
      <c r="K548" s="97" t="inlineStr">
        <is>
          <t>N</t>
        </is>
      </c>
      <c r="L548" s="97" t="inlineStr">
        <is>
          <t>Y</t>
        </is>
      </c>
      <c r="M548" s="97" t="n">
        <v>43.1</v>
      </c>
      <c r="N548" s="97" t="inlineStr">
        <is>
          <t>N</t>
        </is>
      </c>
      <c r="O548" s="97" t="n">
        <v>20.96</v>
      </c>
      <c r="P548" s="97" t="inlineStr">
        <is>
          <t>N</t>
        </is>
      </c>
      <c r="Q548" s="97" t="inlineStr">
        <is>
          <t>N/A</t>
        </is>
      </c>
      <c r="R548" s="97" t="inlineStr">
        <is>
          <t>N</t>
        </is>
      </c>
      <c r="S548" s="97" t="n">
        <v>-3.1</v>
      </c>
      <c r="T548" s="97" t="n">
        <v>1.2</v>
      </c>
      <c r="U548" s="97" t="inlineStr">
        <is>
          <t>Y</t>
        </is>
      </c>
      <c r="V548" s="97" t="n">
        <v>39.8</v>
      </c>
      <c r="W548" s="97" t="n">
        <v>38.7</v>
      </c>
      <c r="X548" s="97" t="n">
        <v>4.86</v>
      </c>
      <c r="Y548" s="97" t="n">
        <v>0.7</v>
      </c>
      <c r="Z548" s="97" t="n">
        <v>5</v>
      </c>
      <c r="AA548" s="92" t="inlineStr">
        <is>
          <t>WATCHLIST</t>
        </is>
      </c>
    </row>
    <row r="549">
      <c r="A549" s="99" t="inlineStr">
        <is>
          <t>PNBHOUSING</t>
        </is>
      </c>
      <c r="B549" s="99" t="inlineStr">
        <is>
          <t>PNB Housing Finance Ltd.</t>
        </is>
      </c>
      <c r="C549" s="99" t="inlineStr">
        <is>
          <t>Financial Services</t>
        </is>
      </c>
      <c r="D549" s="99" t="inlineStr">
        <is>
          <t>Smallcap</t>
        </is>
      </c>
      <c r="E549" s="99" t="n">
        <v>1058</v>
      </c>
      <c r="F549" s="99" t="n">
        <v>-0.82</v>
      </c>
      <c r="G549" s="99" t="n">
        <v>429139</v>
      </c>
      <c r="H549" s="99" t="n">
        <v>0.82</v>
      </c>
      <c r="I549" s="99" t="n">
        <v>27570</v>
      </c>
      <c r="J549" s="99" t="inlineStr">
        <is>
          <t>Y</t>
        </is>
      </c>
      <c r="K549" s="99" t="inlineStr">
        <is>
          <t>Y</t>
        </is>
      </c>
      <c r="L549" s="99" t="inlineStr">
        <is>
          <t>Y</t>
        </is>
      </c>
      <c r="M549" s="99" t="n">
        <v>41.7</v>
      </c>
      <c r="N549" s="99" t="inlineStr">
        <is>
          <t>N</t>
        </is>
      </c>
      <c r="O549" s="99" t="n">
        <v>31.84</v>
      </c>
      <c r="P549" s="99" t="inlineStr">
        <is>
          <t>N</t>
        </is>
      </c>
      <c r="Q549" s="99" t="inlineStr">
        <is>
          <t>N/A</t>
        </is>
      </c>
      <c r="R549" s="99" t="inlineStr">
        <is>
          <t>N</t>
        </is>
      </c>
      <c r="S549" s="99" t="n">
        <v>2.3</v>
      </c>
      <c r="T549" s="99" t="n">
        <v>1</v>
      </c>
      <c r="U549" s="99" t="inlineStr">
        <is>
          <t>Y</t>
        </is>
      </c>
      <c r="V549" s="99" t="n">
        <v>12</v>
      </c>
      <c r="W549" s="99" t="n">
        <v>12.7</v>
      </c>
      <c r="X549" s="99" t="n">
        <v>277.42</v>
      </c>
      <c r="Y549" s="99" t="n">
        <v>26</v>
      </c>
      <c r="Z549" s="99" t="n">
        <v>5</v>
      </c>
      <c r="AA549" s="94" t="inlineStr">
        <is>
          <t>WATCHLIST</t>
        </is>
      </c>
    </row>
    <row r="550">
      <c r="A550" s="97" t="inlineStr">
        <is>
          <t>INTELLECT</t>
        </is>
      </c>
      <c r="B550" s="97" t="inlineStr">
        <is>
          <t>Intellect Design Arena Ltd.</t>
        </is>
      </c>
      <c r="C550" s="97" t="inlineStr">
        <is>
          <t>Information Technology</t>
        </is>
      </c>
      <c r="D550" s="97" t="inlineStr">
        <is>
          <t>Smallcap</t>
        </is>
      </c>
      <c r="E550" s="97" t="n">
        <v>732.2</v>
      </c>
      <c r="F550" s="97" t="n">
        <v>0.76</v>
      </c>
      <c r="G550" s="97" t="n">
        <v>312739</v>
      </c>
      <c r="H550" s="97" t="n">
        <v>0.75</v>
      </c>
      <c r="I550" s="97" t="n">
        <v>10201</v>
      </c>
      <c r="J550" s="97" t="inlineStr">
        <is>
          <t>Y</t>
        </is>
      </c>
      <c r="K550" s="97" t="inlineStr">
        <is>
          <t>N</t>
        </is>
      </c>
      <c r="L550" s="97" t="inlineStr">
        <is>
          <t>N</t>
        </is>
      </c>
      <c r="M550" s="97" t="n">
        <v>40.4</v>
      </c>
      <c r="N550" s="97" t="inlineStr">
        <is>
          <t>N</t>
        </is>
      </c>
      <c r="O550" s="97" t="n">
        <v>27.4</v>
      </c>
      <c r="P550" s="97" t="inlineStr">
        <is>
          <t>N</t>
        </is>
      </c>
      <c r="Q550" s="97" t="inlineStr">
        <is>
          <t>N/A</t>
        </is>
      </c>
      <c r="R550" s="97" t="inlineStr">
        <is>
          <t>N</t>
        </is>
      </c>
      <c r="S550" s="97" t="n">
        <v>0</v>
      </c>
      <c r="T550" s="97" t="n">
        <v>0.5</v>
      </c>
      <c r="U550" s="97" t="inlineStr">
        <is>
          <t>Y</t>
        </is>
      </c>
      <c r="V550" s="97" t="n">
        <v>30.1</v>
      </c>
      <c r="W550" s="97" t="n">
        <v>11.4</v>
      </c>
      <c r="X550" s="97" t="n">
        <v>4.96</v>
      </c>
      <c r="Y550" s="97" t="n">
        <v>322.6</v>
      </c>
      <c r="Z550" s="97" t="n">
        <v>3</v>
      </c>
      <c r="AA550" s="92" t="inlineStr">
        <is>
          <t>AVOID</t>
        </is>
      </c>
    </row>
    <row r="551">
      <c r="A551" s="99" t="inlineStr">
        <is>
          <t>UNOMINDA</t>
        </is>
      </c>
      <c r="B551" s="99" t="inlineStr">
        <is>
          <t>UNO Minda Ltd.</t>
        </is>
      </c>
      <c r="C551" s="99" t="inlineStr">
        <is>
          <t>Automobile and Auto Components</t>
        </is>
      </c>
      <c r="D551" s="99" t="inlineStr">
        <is>
          <t>Large/Midcap</t>
        </is>
      </c>
      <c r="E551" s="99" t="n">
        <v>1127</v>
      </c>
      <c r="F551" s="99" t="n">
        <v>-0.26</v>
      </c>
      <c r="G551" s="99" t="n">
        <v>1004753</v>
      </c>
      <c r="H551" s="99" t="n">
        <v>1.53</v>
      </c>
      <c r="I551" s="99" t="n">
        <v>65081</v>
      </c>
      <c r="J551" s="99" t="inlineStr">
        <is>
          <t>Y</t>
        </is>
      </c>
      <c r="K551" s="99" t="inlineStr">
        <is>
          <t>Y</t>
        </is>
      </c>
      <c r="L551" s="99" t="inlineStr">
        <is>
          <t>N</t>
        </is>
      </c>
      <c r="M551" s="99" t="n">
        <v>45.9</v>
      </c>
      <c r="N551" s="99" t="inlineStr">
        <is>
          <t>N</t>
        </is>
      </c>
      <c r="O551" s="99" t="n">
        <v>30.01</v>
      </c>
      <c r="P551" s="99" t="inlineStr">
        <is>
          <t>N</t>
        </is>
      </c>
      <c r="Q551" s="99" t="inlineStr">
        <is>
          <t>N/A</t>
        </is>
      </c>
      <c r="R551" s="99" t="inlineStr">
        <is>
          <t>N</t>
        </is>
      </c>
      <c r="S551" s="99" t="n">
        <v>0.2</v>
      </c>
      <c r="T551" s="99" t="n">
        <v>0.3</v>
      </c>
      <c r="U551" s="99" t="inlineStr">
        <is>
          <t>Y</t>
        </is>
      </c>
      <c r="V551" s="99" t="n">
        <v>54.3</v>
      </c>
      <c r="W551" s="99" t="n">
        <v>19.2</v>
      </c>
      <c r="X551" s="99" t="n">
        <v>37.74</v>
      </c>
      <c r="Y551" s="99" t="n">
        <v>17.8</v>
      </c>
      <c r="Z551" s="99" t="n">
        <v>5</v>
      </c>
      <c r="AA551" s="94" t="inlineStr">
        <is>
          <t>WATCHLIST</t>
        </is>
      </c>
    </row>
    <row r="552">
      <c r="A552" s="97" t="inlineStr">
        <is>
          <t>ANTHEM</t>
        </is>
      </c>
      <c r="B552" s="97" t="inlineStr">
        <is>
          <t>Anthem Biosciences Ltd.</t>
        </is>
      </c>
      <c r="C552" s="97" t="inlineStr">
        <is>
          <t>Healthcare</t>
        </is>
      </c>
      <c r="D552" s="97" t="inlineStr">
        <is>
          <t>Large/Midcap</t>
        </is>
      </c>
      <c r="E552" s="97" t="n">
        <v>769.9</v>
      </c>
      <c r="F552" s="97" t="n">
        <v>-1.02</v>
      </c>
      <c r="G552" s="97" t="n">
        <v>242556</v>
      </c>
      <c r="H552" s="97" t="n">
        <v>0.13</v>
      </c>
      <c r="I552" s="97" t="n">
        <v>43246</v>
      </c>
      <c r="J552" s="97" t="inlineStr">
        <is>
          <t>Y</t>
        </is>
      </c>
      <c r="K552" s="97" t="inlineStr">
        <is>
          <t>Y</t>
        </is>
      </c>
      <c r="L552" s="97" t="inlineStr">
        <is>
          <t>Y</t>
        </is>
      </c>
      <c r="M552" s="97" t="n">
        <v>48</v>
      </c>
      <c r="N552" s="97" t="inlineStr">
        <is>
          <t>N</t>
        </is>
      </c>
      <c r="O552" s="97" t="n">
        <v>21.08</v>
      </c>
      <c r="P552" s="97" t="inlineStr">
        <is>
          <t>N</t>
        </is>
      </c>
      <c r="Q552" s="97" t="inlineStr">
        <is>
          <t>N/A</t>
        </is>
      </c>
      <c r="R552" s="97" t="inlineStr">
        <is>
          <t>N</t>
        </is>
      </c>
      <c r="S552" s="97" t="n">
        <v>2.1</v>
      </c>
      <c r="T552" s="97" t="n">
        <v>0.1</v>
      </c>
      <c r="U552" s="97" t="inlineStr">
        <is>
          <t>Y</t>
        </is>
      </c>
      <c r="V552" s="97" t="n">
        <v>76.3</v>
      </c>
      <c r="W552" s="97" t="inlineStr">
        <is>
          <t>N/A</t>
        </is>
      </c>
      <c r="X552" s="97" t="n">
        <v>1.77</v>
      </c>
      <c r="Y552" s="97" t="n">
        <v>-36.8</v>
      </c>
      <c r="Z552" s="97" t="n">
        <v>4</v>
      </c>
      <c r="AA552" s="92" t="inlineStr">
        <is>
          <t>AVOID</t>
        </is>
      </c>
    </row>
    <row r="553">
      <c r="A553" s="99" t="inlineStr">
        <is>
          <t>CYIENT</t>
        </is>
      </c>
      <c r="B553" s="99" t="inlineStr">
        <is>
          <t>Cyient Ltd.</t>
        </is>
      </c>
      <c r="C553" s="99" t="inlineStr">
        <is>
          <t>Information Technology</t>
        </is>
      </c>
      <c r="D553" s="99" t="inlineStr">
        <is>
          <t>Smallcap</t>
        </is>
      </c>
      <c r="E553" s="99" t="n">
        <v>840.05</v>
      </c>
      <c r="F553" s="99" t="n">
        <v>1.13</v>
      </c>
      <c r="G553" s="99" t="n">
        <v>2956680</v>
      </c>
      <c r="H553" s="99" t="n">
        <v>15.02</v>
      </c>
      <c r="I553" s="99" t="n">
        <v>8744</v>
      </c>
      <c r="J553" s="99" t="inlineStr">
        <is>
          <t>Y</t>
        </is>
      </c>
      <c r="K553" s="99" t="inlineStr">
        <is>
          <t>N</t>
        </is>
      </c>
      <c r="L553" s="99" t="inlineStr">
        <is>
          <t>N</t>
        </is>
      </c>
      <c r="M553" s="99" t="n">
        <v>40.8</v>
      </c>
      <c r="N553" s="99" t="inlineStr">
        <is>
          <t>N</t>
        </is>
      </c>
      <c r="O553" s="99" t="n">
        <v>24.71</v>
      </c>
      <c r="P553" s="99" t="inlineStr">
        <is>
          <t>Y</t>
        </is>
      </c>
      <c r="Q553" s="99" t="inlineStr">
        <is>
          <t>N/A</t>
        </is>
      </c>
      <c r="R553" s="99" t="inlineStr">
        <is>
          <t>N</t>
        </is>
      </c>
      <c r="S553" s="99" t="n">
        <v>-4.2</v>
      </c>
      <c r="T553" s="99" t="n">
        <v>0.1</v>
      </c>
      <c r="U553" s="99" t="inlineStr">
        <is>
          <t>Y</t>
        </is>
      </c>
      <c r="V553" s="99" t="n">
        <v>24.7</v>
      </c>
      <c r="W553" s="99" t="inlineStr">
        <is>
          <t>N/A</t>
        </is>
      </c>
      <c r="X553" s="99" t="n">
        <v>7.53</v>
      </c>
      <c r="Y553" s="99" t="n">
        <v>90</v>
      </c>
      <c r="Z553" s="99" t="n">
        <v>4</v>
      </c>
      <c r="AA553" s="94" t="inlineStr">
        <is>
          <t>AVOID</t>
        </is>
      </c>
    </row>
    <row r="554">
      <c r="A554" s="97" t="inlineStr">
        <is>
          <t>RECLTD</t>
        </is>
      </c>
      <c r="B554" s="97" t="inlineStr">
        <is>
          <t>REC Ltd.</t>
        </is>
      </c>
      <c r="C554" s="97" t="inlineStr">
        <is>
          <t>Financial Services</t>
        </is>
      </c>
      <c r="D554" s="97" t="inlineStr">
        <is>
          <t>Large/Midcap</t>
        </is>
      </c>
      <c r="E554" s="97" t="n">
        <v>361.6</v>
      </c>
      <c r="F554" s="97" t="n">
        <v>0.88</v>
      </c>
      <c r="G554" s="97" t="n">
        <v>4578306</v>
      </c>
      <c r="H554" s="97" t="n">
        <v>1.58</v>
      </c>
      <c r="I554" s="97" t="n">
        <v>95217</v>
      </c>
      <c r="J554" s="97" t="inlineStr">
        <is>
          <t>Y</t>
        </is>
      </c>
      <c r="K554" s="97" t="inlineStr">
        <is>
          <t>Y</t>
        </is>
      </c>
      <c r="L554" s="97" t="inlineStr">
        <is>
          <t>Y</t>
        </is>
      </c>
      <c r="M554" s="97" t="n">
        <v>46.6</v>
      </c>
      <c r="N554" s="97" t="inlineStr">
        <is>
          <t>N</t>
        </is>
      </c>
      <c r="O554" s="97" t="n">
        <v>7.91</v>
      </c>
      <c r="P554" s="97" t="inlineStr">
        <is>
          <t>N</t>
        </is>
      </c>
      <c r="Q554" s="97" t="inlineStr">
        <is>
          <t>N/A</t>
        </is>
      </c>
      <c r="R554" s="97" t="inlineStr">
        <is>
          <t>N</t>
        </is>
      </c>
      <c r="S554" s="97" t="n">
        <v>0.2</v>
      </c>
      <c r="T554" s="97" t="n">
        <v>0</v>
      </c>
      <c r="U554" s="97" t="inlineStr">
        <is>
          <t>Y</t>
        </is>
      </c>
      <c r="V554" s="97" t="n">
        <v>5.9</v>
      </c>
      <c r="W554" s="97" t="inlineStr">
        <is>
          <t>N/A</t>
        </is>
      </c>
      <c r="X554" s="97" t="n">
        <v>607.46</v>
      </c>
      <c r="Y554" s="97" t="n">
        <v>-16.7</v>
      </c>
      <c r="Z554" s="97" t="n">
        <v>4</v>
      </c>
      <c r="AA554" s="92" t="inlineStr">
        <is>
          <t>AVOID</t>
        </is>
      </c>
    </row>
    <row r="555">
      <c r="A555" s="99" t="inlineStr">
        <is>
          <t>INDGN</t>
        </is>
      </c>
      <c r="B555" s="99" t="inlineStr">
        <is>
          <t>Indegene Ltd.</t>
        </is>
      </c>
      <c r="C555" s="99" t="inlineStr">
        <is>
          <t>Healthcare</t>
        </is>
      </c>
      <c r="D555" s="99" t="inlineStr">
        <is>
          <t>Smallcap</t>
        </is>
      </c>
      <c r="E555" s="99" t="n">
        <v>492.65</v>
      </c>
      <c r="F555" s="99" t="n">
        <v>0.85</v>
      </c>
      <c r="G555" s="99" t="n">
        <v>84358</v>
      </c>
      <c r="H555" s="99" t="n">
        <v>0.86</v>
      </c>
      <c r="I555" s="99" t="n">
        <v>11850</v>
      </c>
      <c r="J555" s="99" t="inlineStr">
        <is>
          <t>Y</t>
        </is>
      </c>
      <c r="K555" s="99" t="inlineStr">
        <is>
          <t>N</t>
        </is>
      </c>
      <c r="L555" s="99" t="inlineStr">
        <is>
          <t>N</t>
        </is>
      </c>
      <c r="M555" s="99" t="n">
        <v>48.7</v>
      </c>
      <c r="N555" s="99" t="inlineStr">
        <is>
          <t>N</t>
        </is>
      </c>
      <c r="O555" s="99" t="n">
        <v>13.09</v>
      </c>
      <c r="P555" s="99" t="inlineStr">
        <is>
          <t>N</t>
        </is>
      </c>
      <c r="Q555" s="99" t="inlineStr">
        <is>
          <t>N/A</t>
        </is>
      </c>
      <c r="R555" s="99" t="inlineStr">
        <is>
          <t>N</t>
        </is>
      </c>
      <c r="S555" s="99" t="n">
        <v>-3.8</v>
      </c>
      <c r="T555" s="99" t="n">
        <v>0</v>
      </c>
      <c r="U555" s="99" t="inlineStr">
        <is>
          <t>N</t>
        </is>
      </c>
      <c r="V555" s="99" t="n">
        <v>29.7</v>
      </c>
      <c r="W555" s="99" t="n">
        <v>13.9</v>
      </c>
      <c r="X555" s="99" t="n">
        <v>5.04</v>
      </c>
      <c r="Y555" s="99" t="n">
        <v>-22.5</v>
      </c>
      <c r="Z555" s="99" t="n">
        <v>1</v>
      </c>
      <c r="AA555" s="94" t="inlineStr">
        <is>
          <t>AVOID</t>
        </is>
      </c>
    </row>
    <row r="556">
      <c r="A556" s="97" t="inlineStr">
        <is>
          <t>PETRONET</t>
        </is>
      </c>
      <c r="B556" s="97" t="inlineStr">
        <is>
          <t>Petronet LNG Ltd.</t>
        </is>
      </c>
      <c r="C556" s="97" t="inlineStr">
        <is>
          <t>Oil Gas &amp; Consumable Fuels</t>
        </is>
      </c>
      <c r="D556" s="97" t="inlineStr">
        <is>
          <t>Large/Midcap</t>
        </is>
      </c>
      <c r="E556" s="97" t="n">
        <v>274.7</v>
      </c>
      <c r="F556" s="97" t="n">
        <v>1.95</v>
      </c>
      <c r="G556" s="97" t="n">
        <v>2466930</v>
      </c>
      <c r="H556" s="97" t="n">
        <v>0.86</v>
      </c>
      <c r="I556" s="97" t="n">
        <v>41205</v>
      </c>
      <c r="J556" s="97" t="inlineStr">
        <is>
          <t>Y</t>
        </is>
      </c>
      <c r="K556" s="97" t="inlineStr">
        <is>
          <t>N</t>
        </is>
      </c>
      <c r="L556" s="97" t="inlineStr">
        <is>
          <t>N</t>
        </is>
      </c>
      <c r="M556" s="97" t="n">
        <v>49.2</v>
      </c>
      <c r="N556" s="97" t="inlineStr">
        <is>
          <t>N</t>
        </is>
      </c>
      <c r="O556" s="97" t="n">
        <v>6.39</v>
      </c>
      <c r="P556" s="97" t="inlineStr">
        <is>
          <t>N</t>
        </is>
      </c>
      <c r="Q556" s="97" t="inlineStr">
        <is>
          <t>N/A</t>
        </is>
      </c>
      <c r="R556" s="97" t="inlineStr">
        <is>
          <t>N</t>
        </is>
      </c>
      <c r="S556" s="97" t="n">
        <v>-1.6</v>
      </c>
      <c r="T556" s="97" t="n">
        <v>-0.3</v>
      </c>
      <c r="U556" s="97" t="inlineStr">
        <is>
          <t>N</t>
        </is>
      </c>
      <c r="V556" s="97" t="n">
        <v>10.5</v>
      </c>
      <c r="W556" s="97" t="n">
        <v>18.6</v>
      </c>
      <c r="X556" s="97" t="n">
        <v>10.51</v>
      </c>
      <c r="Y556" s="97" t="n">
        <v>57.6</v>
      </c>
      <c r="Z556" s="97" t="n">
        <v>3</v>
      </c>
      <c r="AA556" s="92" t="inlineStr">
        <is>
          <t>AVOID</t>
        </is>
      </c>
    </row>
    <row r="557">
      <c r="A557" s="99" t="inlineStr">
        <is>
          <t>NESTLEIND</t>
        </is>
      </c>
      <c r="B557" s="99" t="inlineStr">
        <is>
          <t>Nestle India Ltd.</t>
        </is>
      </c>
      <c r="C557" s="99" t="inlineStr">
        <is>
          <t>Fast Moving Consumer Goods</t>
        </is>
      </c>
      <c r="D557" s="99" t="inlineStr">
        <is>
          <t>Large/Midcap</t>
        </is>
      </c>
      <c r="E557" s="99" t="n">
        <v>1443.5</v>
      </c>
      <c r="F557" s="99" t="n">
        <v>-0.3</v>
      </c>
      <c r="G557" s="99" t="n">
        <v>3041475</v>
      </c>
      <c r="H557" s="99" t="n">
        <v>0.85</v>
      </c>
      <c r="I557" s="99" t="n">
        <v>278352</v>
      </c>
      <c r="J557" s="99" t="inlineStr">
        <is>
          <t>Y</t>
        </is>
      </c>
      <c r="K557" s="99" t="inlineStr">
        <is>
          <t>Y</t>
        </is>
      </c>
      <c r="L557" s="99" t="inlineStr">
        <is>
          <t>Y</t>
        </is>
      </c>
      <c r="M557" s="99" t="n">
        <v>43.9</v>
      </c>
      <c r="N557" s="99" t="inlineStr">
        <is>
          <t>N</t>
        </is>
      </c>
      <c r="O557" s="99" t="n">
        <v>32.31</v>
      </c>
      <c r="P557" s="99" t="inlineStr">
        <is>
          <t>N</t>
        </is>
      </c>
      <c r="Q557" s="99" t="inlineStr">
        <is>
          <t>N/A</t>
        </is>
      </c>
      <c r="R557" s="99" t="inlineStr">
        <is>
          <t>N</t>
        </is>
      </c>
      <c r="S557" s="99" t="n">
        <v>4.5</v>
      </c>
      <c r="T557" s="99" t="n">
        <v>-0.5</v>
      </c>
      <c r="U557" s="99" t="inlineStr">
        <is>
          <t>N</t>
        </is>
      </c>
      <c r="V557" s="99" t="n">
        <v>73</v>
      </c>
      <c r="W557" s="99" t="inlineStr">
        <is>
          <t>N/A</t>
        </is>
      </c>
      <c r="X557" s="99" t="n">
        <v>8.619999999999999</v>
      </c>
      <c r="Y557" s="99" t="n">
        <v>-4</v>
      </c>
      <c r="Z557" s="99" t="n">
        <v>3</v>
      </c>
      <c r="AA557" s="94" t="inlineStr">
        <is>
          <t>AVOID</t>
        </is>
      </c>
    </row>
    <row r="558">
      <c r="A558" s="97" t="inlineStr">
        <is>
          <t>KAJARIACER</t>
        </is>
      </c>
      <c r="B558" s="97" t="inlineStr">
        <is>
          <t>Kajaria Ceramics Ltd.</t>
        </is>
      </c>
      <c r="C558" s="97" t="inlineStr">
        <is>
          <t>Consumer Durables</t>
        </is>
      </c>
      <c r="D558" s="97" t="inlineStr">
        <is>
          <t>Smallcap</t>
        </is>
      </c>
      <c r="E558" s="97" t="n">
        <v>1214.9</v>
      </c>
      <c r="F558" s="97" t="n">
        <v>0.44</v>
      </c>
      <c r="G558" s="97" t="n">
        <v>130038</v>
      </c>
      <c r="H558" s="97" t="n">
        <v>0.53</v>
      </c>
      <c r="I558" s="97" t="n">
        <v>19091</v>
      </c>
      <c r="J558" s="97" t="inlineStr">
        <is>
          <t>Y</t>
        </is>
      </c>
      <c r="K558" s="97" t="inlineStr">
        <is>
          <t>Y</t>
        </is>
      </c>
      <c r="L558" s="97" t="inlineStr">
        <is>
          <t>Y</t>
        </is>
      </c>
      <c r="M558" s="97" t="n">
        <v>49.7</v>
      </c>
      <c r="N558" s="97" t="inlineStr">
        <is>
          <t>N</t>
        </is>
      </c>
      <c r="O558" s="97" t="n">
        <v>28.04</v>
      </c>
      <c r="P558" s="97" t="inlineStr">
        <is>
          <t>N</t>
        </is>
      </c>
      <c r="Q558" s="97" t="inlineStr">
        <is>
          <t>N/A</t>
        </is>
      </c>
      <c r="R558" s="97" t="inlineStr">
        <is>
          <t>N</t>
        </is>
      </c>
      <c r="S558" s="97" t="n">
        <v>2.6</v>
      </c>
      <c r="T558" s="97" t="n">
        <v>-0.5</v>
      </c>
      <c r="U558" s="97" t="inlineStr">
        <is>
          <t>N</t>
        </is>
      </c>
      <c r="V558" s="97" t="n">
        <v>39.7</v>
      </c>
      <c r="W558" s="97" t="n">
        <v>16.5</v>
      </c>
      <c r="X558" s="97" t="n">
        <v>7.3</v>
      </c>
      <c r="Y558" s="97" t="n">
        <v>77.59999999999999</v>
      </c>
      <c r="Z558" s="97" t="n">
        <v>5</v>
      </c>
      <c r="AA558" s="92" t="inlineStr">
        <is>
          <t>WATCHLIST</t>
        </is>
      </c>
    </row>
    <row r="559">
      <c r="A559" s="99" t="inlineStr">
        <is>
          <t>UCOBANK</t>
        </is>
      </c>
      <c r="B559" s="99" t="inlineStr">
        <is>
          <t>UCO Bank</t>
        </is>
      </c>
      <c r="C559" s="99" t="inlineStr">
        <is>
          <t>Financial Services</t>
        </is>
      </c>
      <c r="D559" s="99" t="inlineStr">
        <is>
          <t>Smallcap</t>
        </is>
      </c>
      <c r="E559" s="99" t="n">
        <v>25.88</v>
      </c>
      <c r="F559" s="99" t="n">
        <v>-0.46</v>
      </c>
      <c r="G559" s="99" t="n">
        <v>4743797</v>
      </c>
      <c r="H559" s="99" t="n">
        <v>0.86</v>
      </c>
      <c r="I559" s="99" t="n">
        <v>32452</v>
      </c>
      <c r="J559" s="99" t="inlineStr">
        <is>
          <t>Y</t>
        </is>
      </c>
      <c r="K559" s="99" t="inlineStr">
        <is>
          <t>N</t>
        </is>
      </c>
      <c r="L559" s="99" t="inlineStr">
        <is>
          <t>N</t>
        </is>
      </c>
      <c r="M559" s="99" t="n">
        <v>40.7</v>
      </c>
      <c r="N559" s="99" t="inlineStr">
        <is>
          <t>N</t>
        </is>
      </c>
      <c r="O559" s="99" t="n">
        <v>0.6</v>
      </c>
      <c r="P559" s="99" t="inlineStr">
        <is>
          <t>N</t>
        </is>
      </c>
      <c r="Q559" s="99" t="inlineStr">
        <is>
          <t>N/A</t>
        </is>
      </c>
      <c r="R559" s="99" t="inlineStr">
        <is>
          <t>N</t>
        </is>
      </c>
      <c r="S559" s="99" t="n">
        <v>-3.7</v>
      </c>
      <c r="T559" s="99" t="n">
        <v>-0.6</v>
      </c>
      <c r="U559" s="99" t="inlineStr">
        <is>
          <t>N</t>
        </is>
      </c>
      <c r="V559" s="99" t="n">
        <v>11.5</v>
      </c>
      <c r="W559" s="99" t="n">
        <v>8.5</v>
      </c>
      <c r="X559" s="99" t="inlineStr">
        <is>
          <t>N/A</t>
        </is>
      </c>
      <c r="Y559" s="99" t="n">
        <v>8.300000000000001</v>
      </c>
      <c r="Z559" s="99" t="n">
        <v>2</v>
      </c>
      <c r="AA559" s="94" t="inlineStr">
        <is>
          <t>AVOID</t>
        </is>
      </c>
    </row>
    <row r="560">
      <c r="A560" s="97" t="inlineStr">
        <is>
          <t>PREMIERENE</t>
        </is>
      </c>
      <c r="B560" s="97" t="inlineStr">
        <is>
          <t>Premier Energies Ltd.</t>
        </is>
      </c>
      <c r="C560" s="97" t="inlineStr">
        <is>
          <t>Capital Goods</t>
        </is>
      </c>
      <c r="D560" s="97" t="inlineStr">
        <is>
          <t>Large/Midcap</t>
        </is>
      </c>
      <c r="E560" s="97" t="n">
        <v>1019.3</v>
      </c>
      <c r="F560" s="97" t="n">
        <v>-0.53</v>
      </c>
      <c r="G560" s="97" t="n">
        <v>934272</v>
      </c>
      <c r="H560" s="97" t="n">
        <v>0.87</v>
      </c>
      <c r="I560" s="97" t="n">
        <v>46001</v>
      </c>
      <c r="J560" s="97" t="inlineStr">
        <is>
          <t>Y</t>
        </is>
      </c>
      <c r="K560" s="97" t="inlineStr">
        <is>
          <t>N</t>
        </is>
      </c>
      <c r="L560" s="97" t="inlineStr">
        <is>
          <t>Y</t>
        </is>
      </c>
      <c r="M560" s="97" t="n">
        <v>49.2</v>
      </c>
      <c r="N560" s="97" t="inlineStr">
        <is>
          <t>N</t>
        </is>
      </c>
      <c r="O560" s="97" t="n">
        <v>35.49</v>
      </c>
      <c r="P560" s="97" t="inlineStr">
        <is>
          <t>N</t>
        </is>
      </c>
      <c r="Q560" s="97" t="inlineStr">
        <is>
          <t>N/A</t>
        </is>
      </c>
      <c r="R560" s="97" t="inlineStr">
        <is>
          <t>N</t>
        </is>
      </c>
      <c r="S560" s="97" t="n">
        <v>-1.9</v>
      </c>
      <c r="T560" s="97" t="n">
        <v>-1.3</v>
      </c>
      <c r="U560" s="97" t="inlineStr">
        <is>
          <t>N</t>
        </is>
      </c>
      <c r="V560" s="97" t="n">
        <v>30.3</v>
      </c>
      <c r="W560" s="97" t="n">
        <v>42.3</v>
      </c>
      <c r="X560" s="97" t="n">
        <v>86</v>
      </c>
      <c r="Y560" s="97" t="n">
        <v>16.6</v>
      </c>
      <c r="Z560" s="97" t="n">
        <v>4</v>
      </c>
      <c r="AA560" s="92" t="inlineStr">
        <is>
          <t>AVOID</t>
        </is>
      </c>
    </row>
    <row r="561">
      <c r="A561" s="99" t="inlineStr">
        <is>
          <t>SBFC</t>
        </is>
      </c>
      <c r="B561" s="99" t="inlineStr">
        <is>
          <t>SBFC Finance Ltd.</t>
        </is>
      </c>
      <c r="C561" s="99" t="inlineStr">
        <is>
          <t>Financial Services</t>
        </is>
      </c>
      <c r="D561" s="99" t="inlineStr">
        <is>
          <t>Smallcap</t>
        </is>
      </c>
      <c r="E561" s="99" t="n">
        <v>92.18000000000001</v>
      </c>
      <c r="F561" s="99" t="n">
        <v>1.83</v>
      </c>
      <c r="G561" s="99" t="n">
        <v>696691</v>
      </c>
      <c r="H561" s="99" t="n">
        <v>1.09</v>
      </c>
      <c r="I561" s="99" t="n">
        <v>10201</v>
      </c>
      <c r="J561" s="99" t="inlineStr">
        <is>
          <t>Y</t>
        </is>
      </c>
      <c r="K561" s="99" t="inlineStr">
        <is>
          <t>Y</t>
        </is>
      </c>
      <c r="L561" s="99" t="inlineStr">
        <is>
          <t>N</t>
        </is>
      </c>
      <c r="M561" s="99" t="n">
        <v>48.7</v>
      </c>
      <c r="N561" s="99" t="inlineStr">
        <is>
          <t>N</t>
        </is>
      </c>
      <c r="O561" s="99" t="n">
        <v>1.97</v>
      </c>
      <c r="P561" s="99" t="inlineStr">
        <is>
          <t>N</t>
        </is>
      </c>
      <c r="Q561" s="99" t="inlineStr">
        <is>
          <t>N/A</t>
        </is>
      </c>
      <c r="R561" s="99" t="inlineStr">
        <is>
          <t>N</t>
        </is>
      </c>
      <c r="S561" s="99" t="n">
        <v>2.6</v>
      </c>
      <c r="T561" s="99" t="n">
        <v>-1.4</v>
      </c>
      <c r="U561" s="99" t="inlineStr">
        <is>
          <t>N</t>
        </is>
      </c>
      <c r="V561" s="99" t="n">
        <v>22.5</v>
      </c>
      <c r="W561" s="99" t="inlineStr">
        <is>
          <t>N/A</t>
        </is>
      </c>
      <c r="X561" s="99" t="n">
        <v>195.69</v>
      </c>
      <c r="Y561" s="99" t="n">
        <v>4</v>
      </c>
      <c r="Z561" s="99" t="n">
        <v>3</v>
      </c>
      <c r="AA561" s="94" t="inlineStr">
        <is>
          <t>AVOID</t>
        </is>
      </c>
    </row>
    <row r="562">
      <c r="A562" s="97" t="inlineStr">
        <is>
          <t>RITES</t>
        </is>
      </c>
      <c r="B562" s="97" t="inlineStr">
        <is>
          <t>RITES Ltd.</t>
        </is>
      </c>
      <c r="C562" s="97" t="inlineStr">
        <is>
          <t>Construction</t>
        </is>
      </c>
      <c r="D562" s="97" t="inlineStr">
        <is>
          <t>Smallcap</t>
        </is>
      </c>
      <c r="E562" s="97" t="n">
        <v>213.7</v>
      </c>
      <c r="F562" s="97" t="n">
        <v>0.15</v>
      </c>
      <c r="G562" s="97" t="n">
        <v>351076</v>
      </c>
      <c r="H562" s="97" t="n">
        <v>0.84</v>
      </c>
      <c r="I562" s="97" t="n">
        <v>10271</v>
      </c>
      <c r="J562" s="97" t="inlineStr">
        <is>
          <t>Y</t>
        </is>
      </c>
      <c r="K562" s="97" t="inlineStr">
        <is>
          <t>Y</t>
        </is>
      </c>
      <c r="L562" s="97" t="inlineStr">
        <is>
          <t>N</t>
        </is>
      </c>
      <c r="M562" s="97" t="n">
        <v>47.8</v>
      </c>
      <c r="N562" s="97" t="inlineStr">
        <is>
          <t>N</t>
        </is>
      </c>
      <c r="O562" s="97" t="n">
        <v>7.36</v>
      </c>
      <c r="P562" s="97" t="inlineStr">
        <is>
          <t>N</t>
        </is>
      </c>
      <c r="Q562" s="97" t="inlineStr">
        <is>
          <t>N/A</t>
        </is>
      </c>
      <c r="R562" s="97" t="inlineStr">
        <is>
          <t>N</t>
        </is>
      </c>
      <c r="S562" s="97" t="n">
        <v>3.4</v>
      </c>
      <c r="T562" s="97" t="n">
        <v>-2</v>
      </c>
      <c r="U562" s="97" t="inlineStr">
        <is>
          <t>N</t>
        </is>
      </c>
      <c r="V562" s="97" t="n">
        <v>25</v>
      </c>
      <c r="W562" s="97" t="n">
        <v>16.4</v>
      </c>
      <c r="X562" s="97" t="n">
        <v>0.24</v>
      </c>
      <c r="Y562" s="97" t="n">
        <v>27.4</v>
      </c>
      <c r="Z562" s="97" t="n">
        <v>4</v>
      </c>
      <c r="AA562" s="92" t="inlineStr">
        <is>
          <t>AVOID</t>
        </is>
      </c>
    </row>
    <row r="563">
      <c r="A563" s="99" t="inlineStr">
        <is>
          <t>ADANIPOWER</t>
        </is>
      </c>
      <c r="B563" s="99" t="inlineStr">
        <is>
          <t>Adani Power Ltd.</t>
        </is>
      </c>
      <c r="C563" s="99" t="inlineStr">
        <is>
          <t>Power</t>
        </is>
      </c>
      <c r="D563" s="99" t="inlineStr">
        <is>
          <t>Large/Midcap</t>
        </is>
      </c>
      <c r="E563" s="99" t="n">
        <v>213.66</v>
      </c>
      <c r="F563" s="99" t="n">
        <v>0.67</v>
      </c>
      <c r="G563" s="99" t="n">
        <v>29273015</v>
      </c>
      <c r="H563" s="99" t="n">
        <v>0.88</v>
      </c>
      <c r="I563" s="99" t="n">
        <v>412037</v>
      </c>
      <c r="J563" s="99" t="inlineStr">
        <is>
          <t>Y</t>
        </is>
      </c>
      <c r="K563" s="99" t="inlineStr">
        <is>
          <t>N</t>
        </is>
      </c>
      <c r="L563" s="99" t="inlineStr">
        <is>
          <t>Y</t>
        </is>
      </c>
      <c r="M563" s="99" t="n">
        <v>43.4</v>
      </c>
      <c r="N563" s="99" t="inlineStr">
        <is>
          <t>N</t>
        </is>
      </c>
      <c r="O563" s="99" t="n">
        <v>6.78</v>
      </c>
      <c r="P563" s="99" t="inlineStr">
        <is>
          <t>N</t>
        </is>
      </c>
      <c r="Q563" s="99" t="inlineStr">
        <is>
          <t>N/A</t>
        </is>
      </c>
      <c r="R563" s="99" t="inlineStr">
        <is>
          <t>N</t>
        </is>
      </c>
      <c r="S563" s="99" t="n">
        <v>-5.8</v>
      </c>
      <c r="T563" s="99" t="n">
        <v>-2</v>
      </c>
      <c r="U563" s="99" t="inlineStr">
        <is>
          <t>N</t>
        </is>
      </c>
      <c r="V563" s="99" t="n">
        <v>28.9</v>
      </c>
      <c r="W563" s="99" t="inlineStr">
        <is>
          <t>N/A</t>
        </is>
      </c>
      <c r="X563" s="99" t="n">
        <v>82.33</v>
      </c>
      <c r="Y563" s="99" t="n">
        <v>19.6</v>
      </c>
      <c r="Z563" s="99" t="n">
        <v>3</v>
      </c>
      <c r="AA563" s="94" t="inlineStr">
        <is>
          <t>AVOID</t>
        </is>
      </c>
    </row>
    <row r="564">
      <c r="A564" s="97" t="inlineStr">
        <is>
          <t>SAGILITY</t>
        </is>
      </c>
      <c r="B564" s="97" t="inlineStr">
        <is>
          <t>Sagility Ltd.</t>
        </is>
      </c>
      <c r="C564" s="97" t="inlineStr">
        <is>
          <t>Information Technology</t>
        </is>
      </c>
      <c r="D564" s="97" t="inlineStr">
        <is>
          <t>Smallcap</t>
        </is>
      </c>
      <c r="E564" s="97" t="n">
        <v>40.42</v>
      </c>
      <c r="F564" s="97" t="n">
        <v>-2.18</v>
      </c>
      <c r="G564" s="97" t="n">
        <v>18644024</v>
      </c>
      <c r="H564" s="97" t="n">
        <v>0.68</v>
      </c>
      <c r="I564" s="97" t="n">
        <v>18922</v>
      </c>
      <c r="J564" s="97" t="inlineStr">
        <is>
          <t>Y</t>
        </is>
      </c>
      <c r="K564" s="97" t="inlineStr">
        <is>
          <t>N</t>
        </is>
      </c>
      <c r="L564" s="97" t="inlineStr">
        <is>
          <t>N</t>
        </is>
      </c>
      <c r="M564" s="97" t="n">
        <v>49.1</v>
      </c>
      <c r="N564" s="97" t="inlineStr">
        <is>
          <t>N</t>
        </is>
      </c>
      <c r="O564" s="97" t="n">
        <v>1.46</v>
      </c>
      <c r="P564" s="97" t="inlineStr">
        <is>
          <t>N</t>
        </is>
      </c>
      <c r="Q564" s="97" t="inlineStr">
        <is>
          <t>N/A</t>
        </is>
      </c>
      <c r="R564" s="97" t="inlineStr">
        <is>
          <t>N</t>
        </is>
      </c>
      <c r="S564" s="97" t="n">
        <v>1.2</v>
      </c>
      <c r="T564" s="97" t="n">
        <v>-2</v>
      </c>
      <c r="U564" s="97" t="inlineStr">
        <is>
          <t>N</t>
        </is>
      </c>
      <c r="V564" s="97" t="n">
        <v>19.1</v>
      </c>
      <c r="W564" s="97" t="inlineStr">
        <is>
          <t>N/A</t>
        </is>
      </c>
      <c r="X564" s="97" t="n">
        <v>11.5</v>
      </c>
      <c r="Y564" s="97" t="n">
        <v>-15.9</v>
      </c>
      <c r="Z564" s="97" t="n">
        <v>1</v>
      </c>
      <c r="AA564" s="92" t="inlineStr">
        <is>
          <t>AVOID</t>
        </is>
      </c>
    </row>
    <row r="565">
      <c r="A565" s="99" t="inlineStr">
        <is>
          <t>SUNDARMFIN</t>
        </is>
      </c>
      <c r="B565" s="99" t="inlineStr">
        <is>
          <t>Sundaram Finance Ltd.</t>
        </is>
      </c>
      <c r="C565" s="99" t="inlineStr">
        <is>
          <t>Financial Services</t>
        </is>
      </c>
      <c r="D565" s="99" t="inlineStr">
        <is>
          <t>Large/Midcap</t>
        </is>
      </c>
      <c r="E565" s="99" t="n">
        <v>4447.8</v>
      </c>
      <c r="F565" s="99" t="n">
        <v>0.73</v>
      </c>
      <c r="G565" s="99" t="n">
        <v>50414</v>
      </c>
      <c r="H565" s="99" t="n">
        <v>1.06</v>
      </c>
      <c r="I565" s="99" t="n">
        <v>49023</v>
      </c>
      <c r="J565" s="99" t="inlineStr">
        <is>
          <t>Y</t>
        </is>
      </c>
      <c r="K565" s="99" t="inlineStr">
        <is>
          <t>Y</t>
        </is>
      </c>
      <c r="L565" s="99" t="inlineStr">
        <is>
          <t>N</t>
        </is>
      </c>
      <c r="M565" s="99" t="n">
        <v>40</v>
      </c>
      <c r="N565" s="99" t="inlineStr">
        <is>
          <t>N</t>
        </is>
      </c>
      <c r="O565" s="99" t="n">
        <v>106.09</v>
      </c>
      <c r="P565" s="99" t="inlineStr">
        <is>
          <t>N</t>
        </is>
      </c>
      <c r="Q565" s="99" t="inlineStr">
        <is>
          <t>N/A</t>
        </is>
      </c>
      <c r="R565" s="99" t="inlineStr">
        <is>
          <t>N</t>
        </is>
      </c>
      <c r="S565" s="99" t="n">
        <v>-2.3</v>
      </c>
      <c r="T565" s="99" t="n">
        <v>-2.9</v>
      </c>
      <c r="U565" s="99" t="inlineStr">
        <is>
          <t>N</t>
        </is>
      </c>
      <c r="V565" s="99" t="n">
        <v>23.8</v>
      </c>
      <c r="W565" s="99" t="n">
        <v>14.7</v>
      </c>
      <c r="X565" s="99" t="n">
        <v>409.16</v>
      </c>
      <c r="Y565" s="99" t="n">
        <v>2.4</v>
      </c>
      <c r="Z565" s="99" t="n">
        <v>3</v>
      </c>
      <c r="AA565" s="94" t="inlineStr">
        <is>
          <t>AVOID</t>
        </is>
      </c>
    </row>
    <row r="566">
      <c r="A566" s="97" t="inlineStr">
        <is>
          <t>IOB</t>
        </is>
      </c>
      <c r="B566" s="97" t="inlineStr">
        <is>
          <t>Indian Overseas Bank</t>
        </is>
      </c>
      <c r="C566" s="97" t="inlineStr">
        <is>
          <t>Financial Services</t>
        </is>
      </c>
      <c r="D566" s="97" t="inlineStr">
        <is>
          <t>Smallcap</t>
        </is>
      </c>
      <c r="E566" s="97" t="n">
        <v>33.88</v>
      </c>
      <c r="F566" s="97" t="n">
        <v>0.18</v>
      </c>
      <c r="G566" s="97" t="n">
        <v>2789486</v>
      </c>
      <c r="H566" s="97" t="n">
        <v>0.31</v>
      </c>
      <c r="I566" s="97" t="n">
        <v>65241</v>
      </c>
      <c r="J566" s="97" t="inlineStr">
        <is>
          <t>Y</t>
        </is>
      </c>
      <c r="K566" s="97" t="inlineStr">
        <is>
          <t>N</t>
        </is>
      </c>
      <c r="L566" s="97" t="inlineStr">
        <is>
          <t>N</t>
        </is>
      </c>
      <c r="M566" s="97" t="n">
        <v>47.2</v>
      </c>
      <c r="N566" s="97" t="inlineStr">
        <is>
          <t>N</t>
        </is>
      </c>
      <c r="O566" s="97" t="n">
        <v>0.85</v>
      </c>
      <c r="P566" s="97" t="inlineStr">
        <is>
          <t>N</t>
        </is>
      </c>
      <c r="Q566" s="97" t="inlineStr">
        <is>
          <t>N/A</t>
        </is>
      </c>
      <c r="R566" s="97" t="inlineStr">
        <is>
          <t>N</t>
        </is>
      </c>
      <c r="S566" s="97" t="n">
        <v>-0.7</v>
      </c>
      <c r="T566" s="97" t="n">
        <v>-3.1</v>
      </c>
      <c r="U566" s="97" t="inlineStr">
        <is>
          <t>N</t>
        </is>
      </c>
      <c r="V566" s="97" t="n">
        <v>11.4</v>
      </c>
      <c r="W566" s="97" t="n">
        <v>16.5</v>
      </c>
      <c r="X566" s="97" t="inlineStr">
        <is>
          <t>N/A</t>
        </is>
      </c>
      <c r="Y566" s="97" t="n">
        <v>10.3</v>
      </c>
      <c r="Z566" s="97" t="n">
        <v>3</v>
      </c>
      <c r="AA566" s="92" t="inlineStr">
        <is>
          <t>AVOID</t>
        </is>
      </c>
    </row>
    <row r="567">
      <c r="A567" s="99" t="inlineStr">
        <is>
          <t>IOC</t>
        </is>
      </c>
      <c r="B567" s="99" t="inlineStr">
        <is>
          <t>Indian Oil Corporation Ltd.</t>
        </is>
      </c>
      <c r="C567" s="99" t="inlineStr">
        <is>
          <t>Oil Gas &amp; Consumable Fuels</t>
        </is>
      </c>
      <c r="D567" s="99" t="inlineStr">
        <is>
          <t>Large/Midcap</t>
        </is>
      </c>
      <c r="E567" s="99" t="n">
        <v>138.47</v>
      </c>
      <c r="F567" s="99" t="n">
        <v>-1.04</v>
      </c>
      <c r="G567" s="99" t="n">
        <v>11902268</v>
      </c>
      <c r="H567" s="99" t="n">
        <v>1.15</v>
      </c>
      <c r="I567" s="99" t="n">
        <v>195537</v>
      </c>
      <c r="J567" s="99" t="inlineStr">
        <is>
          <t>Y</t>
        </is>
      </c>
      <c r="K567" s="99" t="inlineStr">
        <is>
          <t>N</t>
        </is>
      </c>
      <c r="L567" s="99" t="inlineStr">
        <is>
          <t>N</t>
        </is>
      </c>
      <c r="M567" s="99" t="n">
        <v>42.6</v>
      </c>
      <c r="N567" s="99" t="inlineStr">
        <is>
          <t>N</t>
        </is>
      </c>
      <c r="O567" s="99" t="n">
        <v>3.06</v>
      </c>
      <c r="P567" s="99" t="inlineStr">
        <is>
          <t>N</t>
        </is>
      </c>
      <c r="Q567" s="99" t="inlineStr">
        <is>
          <t>N/A</t>
        </is>
      </c>
      <c r="R567" s="99" t="inlineStr">
        <is>
          <t>N</t>
        </is>
      </c>
      <c r="S567" s="99" t="n">
        <v>-2.7</v>
      </c>
      <c r="T567" s="99" t="n">
        <v>-3.4</v>
      </c>
      <c r="U567" s="99" t="inlineStr">
        <is>
          <t>N</t>
        </is>
      </c>
      <c r="V567" s="99" t="n">
        <v>4.5</v>
      </c>
      <c r="W567" s="99" t="n">
        <v>21</v>
      </c>
      <c r="X567" s="99" t="n">
        <v>58.45</v>
      </c>
      <c r="Y567" s="99" t="n">
        <v>11.2</v>
      </c>
      <c r="Z567" s="99" t="n">
        <v>3</v>
      </c>
      <c r="AA567" s="94" t="inlineStr">
        <is>
          <t>AVOID</t>
        </is>
      </c>
    </row>
    <row r="568">
      <c r="A568" s="97" t="inlineStr">
        <is>
          <t>JKTYRE</t>
        </is>
      </c>
      <c r="B568" s="97" t="inlineStr">
        <is>
          <t>JK Tyre &amp; Industries Ltd.</t>
        </is>
      </c>
      <c r="C568" s="97" t="inlineStr">
        <is>
          <t>Automobile and Auto Components</t>
        </is>
      </c>
      <c r="D568" s="97" t="inlineStr">
        <is>
          <t>Smallcap</t>
        </is>
      </c>
      <c r="E568" s="97" t="n">
        <v>390.6</v>
      </c>
      <c r="F568" s="97" t="n">
        <v>0.97</v>
      </c>
      <c r="G568" s="97" t="n">
        <v>576399</v>
      </c>
      <c r="H568" s="97" t="n">
        <v>0.86</v>
      </c>
      <c r="I568" s="97" t="n">
        <v>11261</v>
      </c>
      <c r="J568" s="97" t="inlineStr">
        <is>
          <t>Y</t>
        </is>
      </c>
      <c r="K568" s="97" t="inlineStr">
        <is>
          <t>N</t>
        </is>
      </c>
      <c r="L568" s="97" t="inlineStr">
        <is>
          <t>N</t>
        </is>
      </c>
      <c r="M568" s="97" t="n">
        <v>40.4</v>
      </c>
      <c r="N568" s="97" t="inlineStr">
        <is>
          <t>N</t>
        </is>
      </c>
      <c r="O568" s="97" t="n">
        <v>11.73</v>
      </c>
      <c r="P568" s="97" t="inlineStr">
        <is>
          <t>N</t>
        </is>
      </c>
      <c r="Q568" s="97" t="inlineStr">
        <is>
          <t>N/A</t>
        </is>
      </c>
      <c r="R568" s="97" t="inlineStr">
        <is>
          <t>N</t>
        </is>
      </c>
      <c r="S568" s="97" t="n">
        <v>-0.6</v>
      </c>
      <c r="T568" s="97" t="n">
        <v>-3.5</v>
      </c>
      <c r="U568" s="97" t="inlineStr">
        <is>
          <t>N</t>
        </is>
      </c>
      <c r="V568" s="97" t="n">
        <v>14.3</v>
      </c>
      <c r="W568" s="97" t="n">
        <v>14.1</v>
      </c>
      <c r="X568" s="97" t="n">
        <v>80.55</v>
      </c>
      <c r="Y568" s="97" t="n">
        <v>-14.3</v>
      </c>
      <c r="Z568" s="97" t="n">
        <v>1</v>
      </c>
      <c r="AA568" s="92" t="inlineStr">
        <is>
          <t>AVOID</t>
        </is>
      </c>
    </row>
    <row r="569">
      <c r="A569" s="99" t="inlineStr">
        <is>
          <t>LICHSGFIN</t>
        </is>
      </c>
      <c r="B569" s="99" t="inlineStr">
        <is>
          <t>LIC Housing Finance Ltd.</t>
        </is>
      </c>
      <c r="C569" s="99" t="inlineStr">
        <is>
          <t>Financial Services</t>
        </is>
      </c>
      <c r="D569" s="99" t="inlineStr">
        <is>
          <t>Large/Midcap</t>
        </is>
      </c>
      <c r="E569" s="99" t="n">
        <v>538.95</v>
      </c>
      <c r="F569" s="99" t="n">
        <v>0.98</v>
      </c>
      <c r="G569" s="99" t="n">
        <v>516519</v>
      </c>
      <c r="H569" s="99" t="n">
        <v>0.99</v>
      </c>
      <c r="I569" s="99" t="n">
        <v>29646</v>
      </c>
      <c r="J569" s="99" t="inlineStr">
        <is>
          <t>Y</t>
        </is>
      </c>
      <c r="K569" s="99" t="inlineStr">
        <is>
          <t>N</t>
        </is>
      </c>
      <c r="L569" s="99" t="inlineStr">
        <is>
          <t>N</t>
        </is>
      </c>
      <c r="M569" s="99" t="n">
        <v>43.4</v>
      </c>
      <c r="N569" s="99" t="inlineStr">
        <is>
          <t>N</t>
        </is>
      </c>
      <c r="O569" s="99" t="n">
        <v>10.75</v>
      </c>
      <c r="P569" s="99" t="inlineStr">
        <is>
          <t>N</t>
        </is>
      </c>
      <c r="Q569" s="99" t="inlineStr">
        <is>
          <t>N/A</t>
        </is>
      </c>
      <c r="R569" s="99" t="inlineStr">
        <is>
          <t>N</t>
        </is>
      </c>
      <c r="S569" s="99" t="n">
        <v>-0.9</v>
      </c>
      <c r="T569" s="99" t="n">
        <v>-3.6</v>
      </c>
      <c r="U569" s="99" t="inlineStr">
        <is>
          <t>N</t>
        </is>
      </c>
      <c r="V569" s="99" t="n">
        <v>5.3</v>
      </c>
      <c r="W569" s="99" t="n">
        <v>14.4</v>
      </c>
      <c r="X569" s="99" t="n">
        <v>642.52</v>
      </c>
      <c r="Y569" s="99" t="n">
        <v>6.8</v>
      </c>
      <c r="Z569" s="99" t="n">
        <v>2</v>
      </c>
      <c r="AA569" s="94" t="inlineStr">
        <is>
          <t>AVOID</t>
        </is>
      </c>
    </row>
    <row r="570">
      <c r="A570" s="97" t="inlineStr">
        <is>
          <t>AARTIIND</t>
        </is>
      </c>
      <c r="B570" s="97" t="inlineStr">
        <is>
          <t>Aarti Industries Ltd.</t>
        </is>
      </c>
      <c r="C570" s="97" t="inlineStr">
        <is>
          <t>Chemicals</t>
        </is>
      </c>
      <c r="D570" s="97" t="inlineStr">
        <is>
          <t>Smallcap</t>
        </is>
      </c>
      <c r="E570" s="97" t="n">
        <v>477.8</v>
      </c>
      <c r="F570" s="97" t="n">
        <v>-0.08</v>
      </c>
      <c r="G570" s="97" t="n">
        <v>309677</v>
      </c>
      <c r="H570" s="97" t="n">
        <v>0.49</v>
      </c>
      <c r="I570" s="97" t="n">
        <v>17331</v>
      </c>
      <c r="J570" s="97" t="inlineStr">
        <is>
          <t>Y</t>
        </is>
      </c>
      <c r="K570" s="97" t="inlineStr">
        <is>
          <t>Y</t>
        </is>
      </c>
      <c r="L570" s="97" t="inlineStr">
        <is>
          <t>Y</t>
        </is>
      </c>
      <c r="M570" s="97" t="n">
        <v>44.8</v>
      </c>
      <c r="N570" s="97" t="inlineStr">
        <is>
          <t>N</t>
        </is>
      </c>
      <c r="O570" s="97" t="n">
        <v>16.23</v>
      </c>
      <c r="P570" s="97" t="inlineStr">
        <is>
          <t>N</t>
        </is>
      </c>
      <c r="Q570" s="97" t="inlineStr">
        <is>
          <t>N/A</t>
        </is>
      </c>
      <c r="R570" s="97" t="inlineStr">
        <is>
          <t>N</t>
        </is>
      </c>
      <c r="S570" s="97" t="n">
        <v>3.6</v>
      </c>
      <c r="T570" s="97" t="n">
        <v>-4.3</v>
      </c>
      <c r="U570" s="97" t="inlineStr">
        <is>
          <t>N</t>
        </is>
      </c>
      <c r="V570" s="97" t="n">
        <v>41.3</v>
      </c>
      <c r="W570" s="97" t="n">
        <v>7.2</v>
      </c>
      <c r="X570" s="97" t="n">
        <v>83.39</v>
      </c>
      <c r="Y570" s="97" t="n">
        <v>3</v>
      </c>
      <c r="Z570" s="97" t="n">
        <v>4</v>
      </c>
      <c r="AA570" s="92" t="inlineStr">
        <is>
          <t>AVOID</t>
        </is>
      </c>
    </row>
    <row r="571">
      <c r="A571" s="99" t="inlineStr">
        <is>
          <t>SBIN</t>
        </is>
      </c>
      <c r="B571" s="99" t="inlineStr">
        <is>
          <t>State Bank of India</t>
        </is>
      </c>
      <c r="C571" s="99" t="inlineStr">
        <is>
          <t>Financial Services</t>
        </is>
      </c>
      <c r="D571" s="99" t="inlineStr">
        <is>
          <t>Large/Midcap</t>
        </is>
      </c>
      <c r="E571" s="99" t="n">
        <v>1015</v>
      </c>
      <c r="F571" s="99" t="n">
        <v>0.24</v>
      </c>
      <c r="G571" s="99" t="n">
        <v>13797053</v>
      </c>
      <c r="H571" s="99" t="n">
        <v>1.35</v>
      </c>
      <c r="I571" s="99" t="n">
        <v>936908</v>
      </c>
      <c r="J571" s="99" t="inlineStr">
        <is>
          <t>Y</t>
        </is>
      </c>
      <c r="K571" s="99" t="inlineStr">
        <is>
          <t>Y</t>
        </is>
      </c>
      <c r="L571" s="99" t="inlineStr">
        <is>
          <t>Y</t>
        </is>
      </c>
      <c r="M571" s="99" t="n">
        <v>42.8</v>
      </c>
      <c r="N571" s="99" t="inlineStr">
        <is>
          <t>N</t>
        </is>
      </c>
      <c r="O571" s="99" t="n">
        <v>20.71</v>
      </c>
      <c r="P571" s="99" t="inlineStr">
        <is>
          <t>N</t>
        </is>
      </c>
      <c r="Q571" s="99" t="inlineStr">
        <is>
          <t>N/A</t>
        </is>
      </c>
      <c r="R571" s="99" t="inlineStr">
        <is>
          <t>N</t>
        </is>
      </c>
      <c r="S571" s="99" t="n">
        <v>-1.8</v>
      </c>
      <c r="T571" s="99" t="n">
        <v>-4.4</v>
      </c>
      <c r="U571" s="99" t="inlineStr">
        <is>
          <t>N</t>
        </is>
      </c>
      <c r="V571" s="99" t="n">
        <v>11.1</v>
      </c>
      <c r="W571" s="99" t="n">
        <v>15.5</v>
      </c>
      <c r="X571" s="99" t="inlineStr">
        <is>
          <t>N/A</t>
        </is>
      </c>
      <c r="Y571" s="99" t="n">
        <v>-7.9</v>
      </c>
      <c r="Z571" s="99" t="n">
        <v>4</v>
      </c>
      <c r="AA571" s="94" t="inlineStr">
        <is>
          <t>AVOID</t>
        </is>
      </c>
    </row>
    <row r="572">
      <c r="A572" s="97" t="inlineStr">
        <is>
          <t>SCHAEFFLER</t>
        </is>
      </c>
      <c r="B572" s="97" t="inlineStr">
        <is>
          <t>Schaeffler India Ltd.</t>
        </is>
      </c>
      <c r="C572" s="97" t="inlineStr">
        <is>
          <t>Automobile and Auto Components</t>
        </is>
      </c>
      <c r="D572" s="97" t="inlineStr">
        <is>
          <t>Large/Midcap</t>
        </is>
      </c>
      <c r="E572" s="97" t="n">
        <v>4107.7</v>
      </c>
      <c r="F572" s="97" t="n">
        <v>0.35</v>
      </c>
      <c r="G572" s="97" t="n">
        <v>79917</v>
      </c>
      <c r="H572" s="97" t="n">
        <v>1.39</v>
      </c>
      <c r="I572" s="97" t="n">
        <v>64205</v>
      </c>
      <c r="J572" s="97" t="inlineStr">
        <is>
          <t>Y</t>
        </is>
      </c>
      <c r="K572" s="97" t="inlineStr">
        <is>
          <t>N</t>
        </is>
      </c>
      <c r="L572" s="97" t="inlineStr">
        <is>
          <t>Y</t>
        </is>
      </c>
      <c r="M572" s="97" t="n">
        <v>46.4</v>
      </c>
      <c r="N572" s="97" t="inlineStr">
        <is>
          <t>N</t>
        </is>
      </c>
      <c r="O572" s="97" t="n">
        <v>96.86</v>
      </c>
      <c r="P572" s="97" t="inlineStr">
        <is>
          <t>N</t>
        </is>
      </c>
      <c r="Q572" s="97" t="inlineStr">
        <is>
          <t>N/A</t>
        </is>
      </c>
      <c r="R572" s="97" t="inlineStr">
        <is>
          <t>N</t>
        </is>
      </c>
      <c r="S572" s="97" t="n">
        <v>-0.1</v>
      </c>
      <c r="T572" s="97" t="n">
        <v>-4.5</v>
      </c>
      <c r="U572" s="97" t="inlineStr">
        <is>
          <t>N</t>
        </is>
      </c>
      <c r="V572" s="97" t="n">
        <v>51.3</v>
      </c>
      <c r="W572" s="97" t="n">
        <v>21.6</v>
      </c>
      <c r="X572" s="97" t="n">
        <v>0.78</v>
      </c>
      <c r="Y572" s="97" t="n">
        <v>3.1</v>
      </c>
      <c r="Z572" s="97" t="n">
        <v>4</v>
      </c>
      <c r="AA572" s="92" t="inlineStr">
        <is>
          <t>AVOID</t>
        </is>
      </c>
    </row>
    <row r="573">
      <c r="A573" s="99" t="inlineStr">
        <is>
          <t>BANKBARODA</t>
        </is>
      </c>
      <c r="B573" s="99" t="inlineStr">
        <is>
          <t>Bank of Baroda</t>
        </is>
      </c>
      <c r="C573" s="99" t="inlineStr">
        <is>
          <t>Financial Services</t>
        </is>
      </c>
      <c r="D573" s="99" t="inlineStr">
        <is>
          <t>Large/Midcap</t>
        </is>
      </c>
      <c r="E573" s="99" t="n">
        <v>246.45</v>
      </c>
      <c r="F573" s="99" t="n">
        <v>1.36</v>
      </c>
      <c r="G573" s="99" t="n">
        <v>8475748</v>
      </c>
      <c r="H573" s="99" t="n">
        <v>0.92</v>
      </c>
      <c r="I573" s="99" t="n">
        <v>127448</v>
      </c>
      <c r="J573" s="99" t="inlineStr">
        <is>
          <t>Y</t>
        </is>
      </c>
      <c r="K573" s="99" t="inlineStr">
        <is>
          <t>N</t>
        </is>
      </c>
      <c r="L573" s="99" t="inlineStr">
        <is>
          <t>N</t>
        </is>
      </c>
      <c r="M573" s="99" t="n">
        <v>46.5</v>
      </c>
      <c r="N573" s="99" t="inlineStr">
        <is>
          <t>N</t>
        </is>
      </c>
      <c r="O573" s="99" t="n">
        <v>6.14</v>
      </c>
      <c r="P573" s="99" t="inlineStr">
        <is>
          <t>N</t>
        </is>
      </c>
      <c r="Q573" s="99" t="inlineStr">
        <is>
          <t>N/A</t>
        </is>
      </c>
      <c r="R573" s="99" t="inlineStr">
        <is>
          <t>N</t>
        </is>
      </c>
      <c r="S573" s="99" t="n">
        <v>-10.7</v>
      </c>
      <c r="T573" s="99" t="n">
        <v>-4.6</v>
      </c>
      <c r="U573" s="99" t="inlineStr">
        <is>
          <t>N</t>
        </is>
      </c>
      <c r="V573" s="99" t="n">
        <v>7</v>
      </c>
      <c r="W573" s="99" t="n">
        <v>11.3</v>
      </c>
      <c r="X573" s="99" t="inlineStr">
        <is>
          <t>N/A</t>
        </is>
      </c>
      <c r="Y573" s="99" t="n">
        <v>6.6</v>
      </c>
      <c r="Z573" s="99" t="n">
        <v>2</v>
      </c>
      <c r="AA573" s="94" t="inlineStr">
        <is>
          <t>AVOID</t>
        </is>
      </c>
    </row>
    <row r="574">
      <c r="A574" s="97" t="inlineStr">
        <is>
          <t>ZFCVINDIA</t>
        </is>
      </c>
      <c r="B574" s="97" t="inlineStr">
        <is>
          <t>ZF Commercial Vehicle Control Systems India Ltd.</t>
        </is>
      </c>
      <c r="C574" s="97" t="inlineStr">
        <is>
          <t>Automobile and Auto Components</t>
        </is>
      </c>
      <c r="D574" s="97" t="inlineStr">
        <is>
          <t>Smallcap</t>
        </is>
      </c>
      <c r="E574" s="97" t="n">
        <v>2320.6</v>
      </c>
      <c r="F574" s="97" t="n">
        <v>-1.91</v>
      </c>
      <c r="G574" s="97" t="n">
        <v>319971</v>
      </c>
      <c r="H574" s="97" t="n">
        <v>1.13</v>
      </c>
      <c r="I574" s="97" t="n">
        <v>26410</v>
      </c>
      <c r="J574" s="97" t="inlineStr">
        <is>
          <t>Y</t>
        </is>
      </c>
      <c r="K574" s="97" t="inlineStr">
        <is>
          <t>N</t>
        </is>
      </c>
      <c r="L574" s="97" t="inlineStr">
        <is>
          <t>N</t>
        </is>
      </c>
      <c r="M574" s="97" t="n">
        <v>42.5</v>
      </c>
      <c r="N574" s="97" t="inlineStr">
        <is>
          <t>N</t>
        </is>
      </c>
      <c r="O574" s="97" t="n">
        <v>89.25</v>
      </c>
      <c r="P574" s="97" t="inlineStr">
        <is>
          <t>N</t>
        </is>
      </c>
      <c r="Q574" s="97" t="inlineStr">
        <is>
          <t>N/A</t>
        </is>
      </c>
      <c r="R574" s="97" t="inlineStr">
        <is>
          <t>N</t>
        </is>
      </c>
      <c r="S574" s="97" t="n">
        <v>-10.1</v>
      </c>
      <c r="T574" s="97" t="n">
        <v>-4.7</v>
      </c>
      <c r="U574" s="97" t="inlineStr">
        <is>
          <t>N</t>
        </is>
      </c>
      <c r="V574" s="97" t="n">
        <v>2.6</v>
      </c>
      <c r="W574" s="97" t="inlineStr">
        <is>
          <t>N/A</t>
        </is>
      </c>
      <c r="X574" s="97" t="inlineStr">
        <is>
          <t>N/A</t>
        </is>
      </c>
      <c r="Y574" s="97" t="n">
        <v>-28.6</v>
      </c>
      <c r="Z574" s="97" t="n">
        <v>1</v>
      </c>
      <c r="AA574" s="92" t="inlineStr">
        <is>
          <t>AVOID</t>
        </is>
      </c>
    </row>
    <row r="575">
      <c r="A575" s="99" t="inlineStr">
        <is>
          <t>CANBK</t>
        </is>
      </c>
      <c r="B575" s="99" t="inlineStr">
        <is>
          <t>Canara Bank</t>
        </is>
      </c>
      <c r="C575" s="99" t="inlineStr">
        <is>
          <t>Financial Services</t>
        </is>
      </c>
      <c r="D575" s="99" t="inlineStr">
        <is>
          <t>Large/Midcap</t>
        </is>
      </c>
      <c r="E575" s="99" t="n">
        <v>125.65</v>
      </c>
      <c r="F575" s="99" t="n">
        <v>0.34</v>
      </c>
      <c r="G575" s="99" t="n">
        <v>36714624</v>
      </c>
      <c r="H575" s="99" t="n">
        <v>2.12</v>
      </c>
      <c r="I575" s="99" t="n">
        <v>113973</v>
      </c>
      <c r="J575" s="99" t="inlineStr">
        <is>
          <t>Y</t>
        </is>
      </c>
      <c r="K575" s="99" t="inlineStr">
        <is>
          <t>N</t>
        </is>
      </c>
      <c r="L575" s="99" t="inlineStr">
        <is>
          <t>N</t>
        </is>
      </c>
      <c r="M575" s="99" t="n">
        <v>48.5</v>
      </c>
      <c r="N575" s="99" t="inlineStr">
        <is>
          <t>N</t>
        </is>
      </c>
      <c r="O575" s="99" t="n">
        <v>3.43</v>
      </c>
      <c r="P575" s="99" t="inlineStr">
        <is>
          <t>N</t>
        </is>
      </c>
      <c r="Q575" s="99" t="inlineStr">
        <is>
          <t>N/A</t>
        </is>
      </c>
      <c r="R575" s="99" t="inlineStr">
        <is>
          <t>N</t>
        </is>
      </c>
      <c r="S575" s="99" t="n">
        <v>-1.5</v>
      </c>
      <c r="T575" s="99" t="n">
        <v>-4.8</v>
      </c>
      <c r="U575" s="99" t="inlineStr">
        <is>
          <t>N</t>
        </is>
      </c>
      <c r="V575" s="99" t="n">
        <v>5.8</v>
      </c>
      <c r="W575" s="99" t="n">
        <v>15.9</v>
      </c>
      <c r="X575" s="99" t="inlineStr">
        <is>
          <t>N/A</t>
        </is>
      </c>
      <c r="Y575" s="99" t="n">
        <v>-12.9</v>
      </c>
      <c r="Z575" s="99" t="n">
        <v>2</v>
      </c>
      <c r="AA575" s="94" t="inlineStr">
        <is>
          <t>AVOID</t>
        </is>
      </c>
    </row>
    <row r="576">
      <c r="A576" s="97" t="inlineStr">
        <is>
          <t>ATUL</t>
        </is>
      </c>
      <c r="B576" s="97" t="inlineStr">
        <is>
          <t>Atul Ltd.</t>
        </is>
      </c>
      <c r="C576" s="97" t="inlineStr">
        <is>
          <t>Chemicals</t>
        </is>
      </c>
      <c r="D576" s="97" t="inlineStr">
        <is>
          <t>Smallcap</t>
        </is>
      </c>
      <c r="E576" s="97" t="n">
        <v>6407.5</v>
      </c>
      <c r="F576" s="97" t="n">
        <v>4.53</v>
      </c>
      <c r="G576" s="97" t="n">
        <v>403648</v>
      </c>
      <c r="H576" s="97" t="n">
        <v>10.57</v>
      </c>
      <c r="I576" s="97" t="n">
        <v>18865</v>
      </c>
      <c r="J576" s="97" t="inlineStr">
        <is>
          <t>Y</t>
        </is>
      </c>
      <c r="K576" s="97" t="inlineStr">
        <is>
          <t>N</t>
        </is>
      </c>
      <c r="L576" s="97" t="inlineStr">
        <is>
          <t>Y</t>
        </is>
      </c>
      <c r="M576" s="97" t="n">
        <v>49.1</v>
      </c>
      <c r="N576" s="97" t="inlineStr">
        <is>
          <t>N</t>
        </is>
      </c>
      <c r="O576" s="97" t="n">
        <v>187.32</v>
      </c>
      <c r="P576" s="97" t="inlineStr">
        <is>
          <t>Y</t>
        </is>
      </c>
      <c r="Q576" s="97" t="inlineStr">
        <is>
          <t>N/A</t>
        </is>
      </c>
      <c r="R576" s="97" t="inlineStr">
        <is>
          <t>N</t>
        </is>
      </c>
      <c r="S576" s="97" t="n">
        <v>-2.4</v>
      </c>
      <c r="T576" s="97" t="n">
        <v>-4.9</v>
      </c>
      <c r="U576" s="97" t="inlineStr">
        <is>
          <t>N</t>
        </is>
      </c>
      <c r="V576" s="97" t="n">
        <v>23.7</v>
      </c>
      <c r="W576" s="97" t="inlineStr">
        <is>
          <t>N/A</t>
        </is>
      </c>
      <c r="X576" s="97" t="n">
        <v>2.91</v>
      </c>
      <c r="Y576" s="97" t="n">
        <v>16.7</v>
      </c>
      <c r="Z576" s="97" t="n">
        <v>4</v>
      </c>
      <c r="AA576" s="92" t="inlineStr">
        <is>
          <t>AVOID</t>
        </is>
      </c>
    </row>
    <row r="577">
      <c r="A577" s="99" t="inlineStr">
        <is>
          <t>AWL</t>
        </is>
      </c>
      <c r="B577" s="99" t="inlineStr">
        <is>
          <t>AWL Agri Business Ltd.</t>
        </is>
      </c>
      <c r="C577" s="99" t="inlineStr">
        <is>
          <t>Fast Moving Consumer Goods</t>
        </is>
      </c>
      <c r="D577" s="99" t="inlineStr">
        <is>
          <t>Large/Midcap</t>
        </is>
      </c>
      <c r="E577" s="99" t="n">
        <v>188.16</v>
      </c>
      <c r="F577" s="99" t="n">
        <v>0.39</v>
      </c>
      <c r="G577" s="99" t="n">
        <v>1118052</v>
      </c>
      <c r="H577" s="99" t="n">
        <v>0.31</v>
      </c>
      <c r="I577" s="99" t="n">
        <v>24336</v>
      </c>
      <c r="J577" s="99" t="inlineStr">
        <is>
          <t>Y</t>
        </is>
      </c>
      <c r="K577" s="99" t="inlineStr">
        <is>
          <t>N</t>
        </is>
      </c>
      <c r="L577" s="99" t="inlineStr">
        <is>
          <t>N</t>
        </is>
      </c>
      <c r="M577" s="99" t="n">
        <v>46.1</v>
      </c>
      <c r="N577" s="99" t="inlineStr">
        <is>
          <t>N</t>
        </is>
      </c>
      <c r="O577" s="99" t="n">
        <v>5.13</v>
      </c>
      <c r="P577" s="99" t="inlineStr">
        <is>
          <t>N</t>
        </is>
      </c>
      <c r="Q577" s="99" t="inlineStr">
        <is>
          <t>N/A</t>
        </is>
      </c>
      <c r="R577" s="99" t="inlineStr">
        <is>
          <t>N</t>
        </is>
      </c>
      <c r="S577" s="99" t="n">
        <v>4.4</v>
      </c>
      <c r="T577" s="99" t="n">
        <v>-5</v>
      </c>
      <c r="U577" s="99" t="inlineStr">
        <is>
          <t>N</t>
        </is>
      </c>
      <c r="V577" s="99" t="n">
        <v>23.4</v>
      </c>
      <c r="W577" s="99" t="n">
        <v>10.5</v>
      </c>
      <c r="X577" s="99" t="n">
        <v>10.62</v>
      </c>
      <c r="Y577" s="99" t="n">
        <v>8.699999999999999</v>
      </c>
      <c r="Z577" s="99" t="n">
        <v>2</v>
      </c>
      <c r="AA577" s="94" t="inlineStr">
        <is>
          <t>AVOID</t>
        </is>
      </c>
    </row>
    <row r="578">
      <c r="A578" s="97" t="inlineStr">
        <is>
          <t>POWERINDIA</t>
        </is>
      </c>
      <c r="B578" s="97" t="inlineStr">
        <is>
          <t>Hitachi Energy India Ltd.</t>
        </is>
      </c>
      <c r="C578" s="97" t="inlineStr">
        <is>
          <t>Capital Goods</t>
        </is>
      </c>
      <c r="D578" s="97" t="inlineStr">
        <is>
          <t>Large/Midcap</t>
        </is>
      </c>
      <c r="E578" s="97" t="n">
        <v>31070</v>
      </c>
      <c r="F578" s="97" t="n">
        <v>-3.1</v>
      </c>
      <c r="G578" s="97" t="n">
        <v>118166</v>
      </c>
      <c r="H578" s="97" t="n">
        <v>1.33</v>
      </c>
      <c r="I578" s="97" t="n">
        <v>138486</v>
      </c>
      <c r="J578" s="97" t="inlineStr">
        <is>
          <t>Y</t>
        </is>
      </c>
      <c r="K578" s="97" t="inlineStr">
        <is>
          <t>N</t>
        </is>
      </c>
      <c r="L578" s="97" t="inlineStr">
        <is>
          <t>Y</t>
        </is>
      </c>
      <c r="M578" s="97" t="n">
        <v>41.8</v>
      </c>
      <c r="N578" s="97" t="inlineStr">
        <is>
          <t>N</t>
        </is>
      </c>
      <c r="O578" s="97" t="n">
        <v>1091.43</v>
      </c>
      <c r="P578" s="97" t="inlineStr">
        <is>
          <t>N</t>
        </is>
      </c>
      <c r="Q578" s="97" t="inlineStr">
        <is>
          <t>N/A</t>
        </is>
      </c>
      <c r="R578" s="97" t="inlineStr">
        <is>
          <t>N</t>
        </is>
      </c>
      <c r="S578" s="97" t="n">
        <v>-7.5</v>
      </c>
      <c r="T578" s="97" t="n">
        <v>-5</v>
      </c>
      <c r="U578" s="97" t="inlineStr">
        <is>
          <t>N</t>
        </is>
      </c>
      <c r="V578" s="97" t="n">
        <v>140.8</v>
      </c>
      <c r="W578" s="97" t="n">
        <v>21</v>
      </c>
      <c r="X578" s="97" t="n">
        <v>1.66</v>
      </c>
      <c r="Y578" s="97" t="n">
        <v>26.4</v>
      </c>
      <c r="Z578" s="97" t="n">
        <v>4</v>
      </c>
      <c r="AA578" s="92" t="inlineStr">
        <is>
          <t>AVOID</t>
        </is>
      </c>
    </row>
    <row r="579">
      <c r="A579" s="99" t="inlineStr">
        <is>
          <t>UPL</t>
        </is>
      </c>
      <c r="B579" s="99" t="inlineStr">
        <is>
          <t>UPL Ltd.</t>
        </is>
      </c>
      <c r="C579" s="99" t="inlineStr">
        <is>
          <t>Chemicals</t>
        </is>
      </c>
      <c r="D579" s="99" t="inlineStr">
        <is>
          <t>Large/Midcap</t>
        </is>
      </c>
      <c r="E579" s="99" t="n">
        <v>602.45</v>
      </c>
      <c r="F579" s="99" t="n">
        <v>-0.75</v>
      </c>
      <c r="G579" s="99" t="n">
        <v>622872</v>
      </c>
      <c r="H579" s="99" t="n">
        <v>0.47</v>
      </c>
      <c r="I579" s="99" t="n">
        <v>50924</v>
      </c>
      <c r="J579" s="99" t="inlineStr">
        <is>
          <t>Y</t>
        </is>
      </c>
      <c r="K579" s="99" t="inlineStr">
        <is>
          <t>N</t>
        </is>
      </c>
      <c r="L579" s="99" t="inlineStr">
        <is>
          <t>N</t>
        </is>
      </c>
      <c r="M579" s="99" t="n">
        <v>49.8</v>
      </c>
      <c r="N579" s="99" t="inlineStr">
        <is>
          <t>N</t>
        </is>
      </c>
      <c r="O579" s="99" t="n">
        <v>15.79</v>
      </c>
      <c r="P579" s="99" t="inlineStr">
        <is>
          <t>N</t>
        </is>
      </c>
      <c r="Q579" s="99" t="inlineStr">
        <is>
          <t>N/A</t>
        </is>
      </c>
      <c r="R579" s="99" t="inlineStr">
        <is>
          <t>N</t>
        </is>
      </c>
      <c r="S579" s="99" t="n">
        <v>4.1</v>
      </c>
      <c r="T579" s="99" t="n">
        <v>-5</v>
      </c>
      <c r="U579" s="99" t="inlineStr">
        <is>
          <t>N</t>
        </is>
      </c>
      <c r="V579" s="99" t="n">
        <v>27</v>
      </c>
      <c r="W579" s="99" t="n">
        <v>5.6</v>
      </c>
      <c r="X579" s="99" t="n">
        <v>57.13</v>
      </c>
      <c r="Y579" s="99" t="n">
        <v>167.9</v>
      </c>
      <c r="Z579" s="99" t="n">
        <v>2</v>
      </c>
      <c r="AA579" s="94" t="inlineStr">
        <is>
          <t>AVOID</t>
        </is>
      </c>
    </row>
    <row r="580">
      <c r="A580" s="97" t="inlineStr">
        <is>
          <t>NHPC</t>
        </is>
      </c>
      <c r="B580" s="97" t="inlineStr">
        <is>
          <t>NHPC Ltd.</t>
        </is>
      </c>
      <c r="C580" s="97" t="inlineStr">
        <is>
          <t>Power</t>
        </is>
      </c>
      <c r="D580" s="97" t="inlineStr">
        <is>
          <t>Large/Midcap</t>
        </is>
      </c>
      <c r="E580" s="97" t="n">
        <v>79.39</v>
      </c>
      <c r="F580" s="97" t="n">
        <v>-1.07</v>
      </c>
      <c r="G580" s="97" t="n">
        <v>8630234</v>
      </c>
      <c r="H580" s="97" t="n">
        <v>0.24</v>
      </c>
      <c r="I580" s="97" t="n">
        <v>79748</v>
      </c>
      <c r="J580" s="97" t="inlineStr">
        <is>
          <t>Y</t>
        </is>
      </c>
      <c r="K580" s="97" t="inlineStr">
        <is>
          <t>Y</t>
        </is>
      </c>
      <c r="L580" s="97" t="inlineStr">
        <is>
          <t>Y</t>
        </is>
      </c>
      <c r="M580" s="97" t="n">
        <v>47</v>
      </c>
      <c r="N580" s="97" t="inlineStr">
        <is>
          <t>N</t>
        </is>
      </c>
      <c r="O580" s="97" t="n">
        <v>1.64</v>
      </c>
      <c r="P580" s="97" t="inlineStr">
        <is>
          <t>N</t>
        </is>
      </c>
      <c r="Q580" s="97" t="inlineStr">
        <is>
          <t>N/A</t>
        </is>
      </c>
      <c r="R580" s="97" t="inlineStr">
        <is>
          <t>N</t>
        </is>
      </c>
      <c r="S580" s="97" t="n">
        <v>1</v>
      </c>
      <c r="T580" s="97" t="n">
        <v>-5</v>
      </c>
      <c r="U580" s="97" t="inlineStr">
        <is>
          <t>N</t>
        </is>
      </c>
      <c r="V580" s="97" t="n">
        <v>28.7</v>
      </c>
      <c r="W580" s="97" t="n">
        <v>9</v>
      </c>
      <c r="X580" s="97" t="n">
        <v>113.11</v>
      </c>
      <c r="Y580" s="97" t="n">
        <v>566.4</v>
      </c>
      <c r="Z580" s="97" t="n">
        <v>4</v>
      </c>
      <c r="AA580" s="92" t="inlineStr">
        <is>
          <t>AVOID</t>
        </is>
      </c>
    </row>
    <row r="581">
      <c r="A581" s="99" t="inlineStr">
        <is>
          <t>BRITANNIA</t>
        </is>
      </c>
      <c r="B581" s="99" t="inlineStr">
        <is>
          <t>Britannia Industries Ltd.</t>
        </is>
      </c>
      <c r="C581" s="99" t="inlineStr">
        <is>
          <t>Fast Moving Consumer Goods</t>
        </is>
      </c>
      <c r="D581" s="99" t="inlineStr">
        <is>
          <t>Large/Midcap</t>
        </is>
      </c>
      <c r="E581" s="99" t="n">
        <v>5379.5</v>
      </c>
      <c r="F581" s="99" t="n">
        <v>-0.16</v>
      </c>
      <c r="G581" s="99" t="n">
        <v>208047</v>
      </c>
      <c r="H581" s="99" t="n">
        <v>1.04</v>
      </c>
      <c r="I581" s="99" t="n">
        <v>129575</v>
      </c>
      <c r="J581" s="99" t="inlineStr">
        <is>
          <t>Y</t>
        </is>
      </c>
      <c r="K581" s="99" t="inlineStr">
        <is>
          <t>Y</t>
        </is>
      </c>
      <c r="L581" s="99" t="inlineStr">
        <is>
          <t>N</t>
        </is>
      </c>
      <c r="M581" s="99" t="n">
        <v>43.5</v>
      </c>
      <c r="N581" s="99" t="inlineStr">
        <is>
          <t>N</t>
        </is>
      </c>
      <c r="O581" s="99" t="n">
        <v>100.11</v>
      </c>
      <c r="P581" s="99" t="inlineStr">
        <is>
          <t>N</t>
        </is>
      </c>
      <c r="Q581" s="99" t="inlineStr">
        <is>
          <t>N/A</t>
        </is>
      </c>
      <c r="R581" s="99" t="inlineStr">
        <is>
          <t>N</t>
        </is>
      </c>
      <c r="S581" s="99" t="n">
        <v>3.8</v>
      </c>
      <c r="T581" s="99" t="n">
        <v>-5.2</v>
      </c>
      <c r="U581" s="99" t="inlineStr">
        <is>
          <t>N</t>
        </is>
      </c>
      <c r="V581" s="99" t="n">
        <v>51</v>
      </c>
      <c r="W581" s="99" t="n">
        <v>53.3</v>
      </c>
      <c r="X581" s="99" t="n">
        <v>26.88</v>
      </c>
      <c r="Y581" s="99" t="n">
        <v>-0.2</v>
      </c>
      <c r="Z581" s="99" t="n">
        <v>3</v>
      </c>
      <c r="AA581" s="94" t="inlineStr">
        <is>
          <t>AVOID</t>
        </is>
      </c>
    </row>
    <row r="582">
      <c r="A582" s="97" t="inlineStr">
        <is>
          <t>TATACONSUM</t>
        </is>
      </c>
      <c r="B582" s="97" t="inlineStr">
        <is>
          <t>Tata Consumer Products Ltd.</t>
        </is>
      </c>
      <c r="C582" s="97" t="inlineStr">
        <is>
          <t>Fast Moving Consumer Goods</t>
        </is>
      </c>
      <c r="D582" s="97" t="inlineStr">
        <is>
          <t>Large/Midcap</t>
        </is>
      </c>
      <c r="E582" s="97" t="n">
        <v>1088</v>
      </c>
      <c r="F582" s="97" t="n">
        <v>-1.78</v>
      </c>
      <c r="G582" s="97" t="n">
        <v>1644917</v>
      </c>
      <c r="H582" s="97" t="n">
        <v>1.04</v>
      </c>
      <c r="I582" s="97" t="n">
        <v>107674</v>
      </c>
      <c r="J582" s="97" t="inlineStr">
        <is>
          <t>Y</t>
        </is>
      </c>
      <c r="K582" s="97" t="inlineStr">
        <is>
          <t>N</t>
        </is>
      </c>
      <c r="L582" s="97" t="inlineStr">
        <is>
          <t>N</t>
        </is>
      </c>
      <c r="M582" s="97" t="n">
        <v>40.3</v>
      </c>
      <c r="N582" s="97" t="inlineStr">
        <is>
          <t>N</t>
        </is>
      </c>
      <c r="O582" s="97" t="n">
        <v>22.23</v>
      </c>
      <c r="P582" s="97" t="inlineStr">
        <is>
          <t>N</t>
        </is>
      </c>
      <c r="Q582" s="97" t="inlineStr">
        <is>
          <t>N/A</t>
        </is>
      </c>
      <c r="R582" s="97" t="inlineStr">
        <is>
          <t>N</t>
        </is>
      </c>
      <c r="S582" s="97" t="n">
        <v>-2.8</v>
      </c>
      <c r="T582" s="97" t="n">
        <v>-5.5</v>
      </c>
      <c r="U582" s="97" t="inlineStr">
        <is>
          <t>N</t>
        </is>
      </c>
      <c r="V582" s="97" t="n">
        <v>65.8</v>
      </c>
      <c r="W582" s="97" t="inlineStr">
        <is>
          <t>N/A</t>
        </is>
      </c>
      <c r="X582" s="97" t="n">
        <v>12.16</v>
      </c>
      <c r="Y582" s="97" t="n">
        <v>9</v>
      </c>
      <c r="Z582" s="97" t="n">
        <v>2</v>
      </c>
      <c r="AA582" s="92" t="inlineStr">
        <is>
          <t>AVOID</t>
        </is>
      </c>
    </row>
    <row r="583">
      <c r="A583" s="99" t="inlineStr">
        <is>
          <t>LGEINDIA</t>
        </is>
      </c>
      <c r="B583" s="99" t="inlineStr">
        <is>
          <t>LG Electronics India Ltd.</t>
        </is>
      </c>
      <c r="C583" s="99" t="inlineStr">
        <is>
          <t>Consumer Durables</t>
        </is>
      </c>
      <c r="D583" s="99" t="inlineStr">
        <is>
          <t>Large/Midcap</t>
        </is>
      </c>
      <c r="E583" s="99" t="n">
        <v>1527.2</v>
      </c>
      <c r="F583" s="99" t="n">
        <v>-0.09</v>
      </c>
      <c r="G583" s="99" t="n">
        <v>203768</v>
      </c>
      <c r="H583" s="99" t="n">
        <v>1.01</v>
      </c>
      <c r="I583" s="99" t="n">
        <v>103662</v>
      </c>
      <c r="J583" s="99" t="inlineStr">
        <is>
          <t>Y</t>
        </is>
      </c>
      <c r="K583" s="99" t="inlineStr">
        <is>
          <t>N</t>
        </is>
      </c>
      <c r="L583" s="99" t="inlineStr">
        <is>
          <t>N/A</t>
        </is>
      </c>
      <c r="M583" s="99" t="n">
        <v>42</v>
      </c>
      <c r="N583" s="99" t="inlineStr">
        <is>
          <t>N</t>
        </is>
      </c>
      <c r="O583" s="99" t="n">
        <v>30.06</v>
      </c>
      <c r="P583" s="99" t="inlineStr">
        <is>
          <t>N</t>
        </is>
      </c>
      <c r="Q583" s="99" t="inlineStr">
        <is>
          <t>N/A</t>
        </is>
      </c>
      <c r="R583" s="99" t="inlineStr">
        <is>
          <t>N</t>
        </is>
      </c>
      <c r="S583" s="99" t="n">
        <v>-1.7</v>
      </c>
      <c r="T583" s="99" t="n">
        <v>-5.6</v>
      </c>
      <c r="U583" s="99" t="inlineStr">
        <is>
          <t>N</t>
        </is>
      </c>
      <c r="V583" s="99" t="n">
        <v>61.4</v>
      </c>
      <c r="W583" s="99" t="n">
        <v>24.7</v>
      </c>
      <c r="X583" s="99" t="n">
        <v>5.99</v>
      </c>
      <c r="Y583" s="99" t="n">
        <v>672.5</v>
      </c>
      <c r="Z583" s="99" t="n">
        <v>3</v>
      </c>
      <c r="AA583" s="94" t="inlineStr">
        <is>
          <t>AVOID</t>
        </is>
      </c>
    </row>
    <row r="584">
      <c r="A584" s="97" t="inlineStr">
        <is>
          <t>ONESOURCE</t>
        </is>
      </c>
      <c r="B584" s="97" t="inlineStr">
        <is>
          <t>Onesource Specialty Pharma Ltd.</t>
        </is>
      </c>
      <c r="C584" s="97" t="inlineStr">
        <is>
          <t>Healthcare</t>
        </is>
      </c>
      <c r="D584" s="97" t="inlineStr">
        <is>
          <t>Smallcap</t>
        </is>
      </c>
      <c r="E584" s="97" t="n">
        <v>1653.9</v>
      </c>
      <c r="F584" s="97" t="n">
        <v>-0.02</v>
      </c>
      <c r="G584" s="97" t="n">
        <v>87251</v>
      </c>
      <c r="H584" s="97" t="n">
        <v>0.38</v>
      </c>
      <c r="I584" s="97" t="n">
        <v>18965</v>
      </c>
      <c r="J584" s="97" t="inlineStr">
        <is>
          <t>Y</t>
        </is>
      </c>
      <c r="K584" s="97" t="inlineStr">
        <is>
          <t>N</t>
        </is>
      </c>
      <c r="L584" s="97" t="inlineStr">
        <is>
          <t>Y</t>
        </is>
      </c>
      <c r="M584" s="97" t="n">
        <v>48.4</v>
      </c>
      <c r="N584" s="97" t="inlineStr">
        <is>
          <t>N</t>
        </is>
      </c>
      <c r="O584" s="97" t="n">
        <v>72.11</v>
      </c>
      <c r="P584" s="97" t="inlineStr">
        <is>
          <t>N</t>
        </is>
      </c>
      <c r="Q584" s="97" t="inlineStr">
        <is>
          <t>N/A</t>
        </is>
      </c>
      <c r="R584" s="97" t="inlineStr">
        <is>
          <t>N</t>
        </is>
      </c>
      <c r="S584" s="97" t="n">
        <v>7.3</v>
      </c>
      <c r="T584" s="97" t="n">
        <v>-5.6</v>
      </c>
      <c r="U584" s="97" t="inlineStr">
        <is>
          <t>N</t>
        </is>
      </c>
      <c r="V584" s="97" t="inlineStr">
        <is>
          <t>N/A</t>
        </is>
      </c>
      <c r="W584" s="97" t="inlineStr">
        <is>
          <t>N/A</t>
        </is>
      </c>
      <c r="X584" s="97" t="n">
        <v>25.79</v>
      </c>
      <c r="Y584" s="97" t="n">
        <v>105.2</v>
      </c>
      <c r="Z584" s="97" t="n">
        <v>3</v>
      </c>
      <c r="AA584" s="92" t="inlineStr">
        <is>
          <t>AVOID</t>
        </is>
      </c>
    </row>
    <row r="585">
      <c r="A585" s="99" t="inlineStr">
        <is>
          <t>HDFCLIFE</t>
        </is>
      </c>
      <c r="B585" s="99" t="inlineStr">
        <is>
          <t>HDFC Life Insurance Company Ltd.</t>
        </is>
      </c>
      <c r="C585" s="99" t="inlineStr">
        <is>
          <t>Financial Services</t>
        </is>
      </c>
      <c r="D585" s="99" t="inlineStr">
        <is>
          <t>Large/Midcap</t>
        </is>
      </c>
      <c r="E585" s="99" t="n">
        <v>555.05</v>
      </c>
      <c r="F585" s="99" t="n">
        <v>0.74</v>
      </c>
      <c r="G585" s="99" t="n">
        <v>1354038</v>
      </c>
      <c r="H585" s="99" t="n">
        <v>0.62</v>
      </c>
      <c r="I585" s="99" t="n">
        <v>120553</v>
      </c>
      <c r="J585" s="99" t="inlineStr">
        <is>
          <t>Y</t>
        </is>
      </c>
      <c r="K585" s="99" t="inlineStr">
        <is>
          <t>N</t>
        </is>
      </c>
      <c r="L585" s="99" t="inlineStr">
        <is>
          <t>N</t>
        </is>
      </c>
      <c r="M585" s="99" t="n">
        <v>45.7</v>
      </c>
      <c r="N585" s="99" t="inlineStr">
        <is>
          <t>N</t>
        </is>
      </c>
      <c r="O585" s="99" t="n">
        <v>14.26</v>
      </c>
      <c r="P585" s="99" t="inlineStr">
        <is>
          <t>N</t>
        </is>
      </c>
      <c r="Q585" s="99" t="inlineStr">
        <is>
          <t>N/A</t>
        </is>
      </c>
      <c r="R585" s="99" t="inlineStr">
        <is>
          <t>N</t>
        </is>
      </c>
      <c r="S585" s="99" t="n">
        <v>-4.1</v>
      </c>
      <c r="T585" s="99" t="n">
        <v>-5.7</v>
      </c>
      <c r="U585" s="99" t="inlineStr">
        <is>
          <t>N</t>
        </is>
      </c>
      <c r="V585" s="99" t="n">
        <v>60.6</v>
      </c>
      <c r="W585" s="99" t="n">
        <v>10.8</v>
      </c>
      <c r="X585" s="99" t="n">
        <v>15.84</v>
      </c>
      <c r="Y585" s="99" t="n">
        <v>22.9</v>
      </c>
      <c r="Z585" s="99" t="n">
        <v>2</v>
      </c>
      <c r="AA585" s="94" t="inlineStr">
        <is>
          <t>AVOID</t>
        </is>
      </c>
    </row>
    <row r="586">
      <c r="A586" s="97" t="inlineStr">
        <is>
          <t>JIOFIN</t>
        </is>
      </c>
      <c r="B586" s="97" t="inlineStr">
        <is>
          <t>Jio Financial Services Ltd.</t>
        </is>
      </c>
      <c r="C586" s="97" t="inlineStr">
        <is>
          <t>Financial Services</t>
        </is>
      </c>
      <c r="D586" s="97" t="inlineStr">
        <is>
          <t>Large/Midcap</t>
        </is>
      </c>
      <c r="E586" s="97" t="n">
        <v>234.71</v>
      </c>
      <c r="F586" s="97" t="n">
        <v>0.66</v>
      </c>
      <c r="G586" s="97" t="n">
        <v>10217898</v>
      </c>
      <c r="H586" s="97" t="n">
        <v>0.6899999999999999</v>
      </c>
      <c r="I586" s="97" t="n">
        <v>154982</v>
      </c>
      <c r="J586" s="97" t="inlineStr">
        <is>
          <t>Y</t>
        </is>
      </c>
      <c r="K586" s="97" t="inlineStr">
        <is>
          <t>N</t>
        </is>
      </c>
      <c r="L586" s="97" t="inlineStr">
        <is>
          <t>N</t>
        </is>
      </c>
      <c r="M586" s="97" t="n">
        <v>45.3</v>
      </c>
      <c r="N586" s="97" t="inlineStr">
        <is>
          <t>N</t>
        </is>
      </c>
      <c r="O586" s="97" t="n">
        <v>6.45</v>
      </c>
      <c r="P586" s="97" t="inlineStr">
        <is>
          <t>N</t>
        </is>
      </c>
      <c r="Q586" s="97" t="inlineStr">
        <is>
          <t>N/A</t>
        </is>
      </c>
      <c r="R586" s="97" t="inlineStr">
        <is>
          <t>N</t>
        </is>
      </c>
      <c r="S586" s="97" t="n">
        <v>-0.9</v>
      </c>
      <c r="T586" s="97" t="n">
        <v>-5.8</v>
      </c>
      <c r="U586" s="97" t="inlineStr">
        <is>
          <t>N</t>
        </is>
      </c>
      <c r="V586" s="97" t="n">
        <v>74</v>
      </c>
      <c r="W586" s="97" t="inlineStr">
        <is>
          <t>N/A</t>
        </is>
      </c>
      <c r="X586" s="97" t="n">
        <v>16.29</v>
      </c>
      <c r="Y586" s="97" t="n">
        <v>205</v>
      </c>
      <c r="Z586" s="97" t="n">
        <v>2</v>
      </c>
      <c r="AA586" s="92" t="inlineStr">
        <is>
          <t>AVOID</t>
        </is>
      </c>
    </row>
    <row r="587">
      <c r="A587" s="99" t="inlineStr">
        <is>
          <t>GODFRYPHLP</t>
        </is>
      </c>
      <c r="B587" s="99" t="inlineStr">
        <is>
          <t>Godfrey Phillips India Ltd.</t>
        </is>
      </c>
      <c r="C587" s="99" t="inlineStr">
        <is>
          <t>Fast Moving Consumer Goods</t>
        </is>
      </c>
      <c r="D587" s="99" t="inlineStr">
        <is>
          <t>Large/Midcap</t>
        </is>
      </c>
      <c r="E587" s="99" t="n">
        <v>2129.6</v>
      </c>
      <c r="F587" s="99" t="n">
        <v>4.06</v>
      </c>
      <c r="G587" s="99" t="n">
        <v>408425</v>
      </c>
      <c r="H587" s="99" t="n">
        <v>2.03</v>
      </c>
      <c r="I587" s="99" t="n">
        <v>33218</v>
      </c>
      <c r="J587" s="99" t="inlineStr">
        <is>
          <t>Y</t>
        </is>
      </c>
      <c r="K587" s="99" t="inlineStr">
        <is>
          <t>N</t>
        </is>
      </c>
      <c r="L587" s="99" t="inlineStr">
        <is>
          <t>N</t>
        </is>
      </c>
      <c r="M587" s="99" t="n">
        <v>48.3</v>
      </c>
      <c r="N587" s="99" t="inlineStr">
        <is>
          <t>N</t>
        </is>
      </c>
      <c r="O587" s="99" t="n">
        <v>48.43</v>
      </c>
      <c r="P587" s="99" t="inlineStr">
        <is>
          <t>Y</t>
        </is>
      </c>
      <c r="Q587" s="99" t="inlineStr">
        <is>
          <t>N/A</t>
        </is>
      </c>
      <c r="R587" s="99" t="inlineStr">
        <is>
          <t>N</t>
        </is>
      </c>
      <c r="S587" s="99" t="n">
        <v>-4.2</v>
      </c>
      <c r="T587" s="99" t="n">
        <v>-5.9</v>
      </c>
      <c r="U587" s="99" t="inlineStr">
        <is>
          <t>N</t>
        </is>
      </c>
      <c r="V587" s="99" t="n">
        <v>21.8</v>
      </c>
      <c r="W587" s="99" t="n">
        <v>26.6</v>
      </c>
      <c r="X587" s="99" t="n">
        <v>3.76</v>
      </c>
      <c r="Y587" s="99" t="n">
        <v>51.9</v>
      </c>
      <c r="Z587" s="99" t="n">
        <v>4</v>
      </c>
      <c r="AA587" s="94" t="inlineStr">
        <is>
          <t>AVOID</t>
        </is>
      </c>
    </row>
    <row r="588">
      <c r="A588" s="97" t="inlineStr">
        <is>
          <t>CONCOR</t>
        </is>
      </c>
      <c r="B588" s="97" t="inlineStr">
        <is>
          <t>Container Corporation of India Ltd.</t>
        </is>
      </c>
      <c r="C588" s="97" t="inlineStr">
        <is>
          <t>Services</t>
        </is>
      </c>
      <c r="D588" s="97" t="inlineStr">
        <is>
          <t>Large/Midcap</t>
        </is>
      </c>
      <c r="E588" s="97" t="n">
        <v>477.55</v>
      </c>
      <c r="F588" s="97" t="n">
        <v>-0.61</v>
      </c>
      <c r="G588" s="97" t="n">
        <v>579577</v>
      </c>
      <c r="H588" s="97" t="n">
        <v>0.65</v>
      </c>
      <c r="I588" s="97" t="n">
        <v>36371</v>
      </c>
      <c r="J588" s="97" t="inlineStr">
        <is>
          <t>Y</t>
        </is>
      </c>
      <c r="K588" s="97" t="inlineStr">
        <is>
          <t>Y</t>
        </is>
      </c>
      <c r="L588" s="97" t="inlineStr">
        <is>
          <t>N</t>
        </is>
      </c>
      <c r="M588" s="97" t="n">
        <v>48.3</v>
      </c>
      <c r="N588" s="97" t="inlineStr">
        <is>
          <t>N</t>
        </is>
      </c>
      <c r="O588" s="97" t="n">
        <v>13.51</v>
      </c>
      <c r="P588" s="97" t="inlineStr">
        <is>
          <t>N</t>
        </is>
      </c>
      <c r="Q588" s="97" t="inlineStr">
        <is>
          <t>N/A</t>
        </is>
      </c>
      <c r="R588" s="97" t="inlineStr">
        <is>
          <t>N</t>
        </is>
      </c>
      <c r="S588" s="97" t="n">
        <v>2.7</v>
      </c>
      <c r="T588" s="97" t="n">
        <v>-6.7</v>
      </c>
      <c r="U588" s="97" t="inlineStr">
        <is>
          <t>N</t>
        </is>
      </c>
      <c r="V588" s="97" t="n">
        <v>29.2</v>
      </c>
      <c r="W588" s="97" t="inlineStr">
        <is>
          <t>N/A</t>
        </is>
      </c>
      <c r="X588" s="97" t="n">
        <v>7.39</v>
      </c>
      <c r="Y588" s="97" t="n">
        <v>-21.3</v>
      </c>
      <c r="Z588" s="97" t="n">
        <v>2</v>
      </c>
      <c r="AA588" s="92" t="inlineStr">
        <is>
          <t>AVOID</t>
        </is>
      </c>
    </row>
    <row r="589">
      <c r="A589" s="99" t="inlineStr">
        <is>
          <t>ITC</t>
        </is>
      </c>
      <c r="B589" s="99" t="inlineStr">
        <is>
          <t>ITC Ltd.</t>
        </is>
      </c>
      <c r="C589" s="99" t="inlineStr">
        <is>
          <t>Fast Moving Consumer Goods</t>
        </is>
      </c>
      <c r="D589" s="99" t="inlineStr">
        <is>
          <t>Large/Midcap</t>
        </is>
      </c>
      <c r="E589" s="99" t="n">
        <v>283.45</v>
      </c>
      <c r="F589" s="99" t="n">
        <v>0.76</v>
      </c>
      <c r="G589" s="99" t="n">
        <v>24954082</v>
      </c>
      <c r="H589" s="99" t="n">
        <v>1.7</v>
      </c>
      <c r="I589" s="99" t="n">
        <v>355148</v>
      </c>
      <c r="J589" s="99" t="inlineStr">
        <is>
          <t>Y</t>
        </is>
      </c>
      <c r="K589" s="99" t="inlineStr">
        <is>
          <t>N</t>
        </is>
      </c>
      <c r="L589" s="99" t="inlineStr">
        <is>
          <t>N</t>
        </is>
      </c>
      <c r="M589" s="99" t="n">
        <v>41.5</v>
      </c>
      <c r="N589" s="99" t="inlineStr">
        <is>
          <t>N</t>
        </is>
      </c>
      <c r="O589" s="99" t="n">
        <v>4.36</v>
      </c>
      <c r="P589" s="99" t="inlineStr">
        <is>
          <t>Y</t>
        </is>
      </c>
      <c r="Q589" s="99" t="inlineStr">
        <is>
          <t>N/A</t>
        </is>
      </c>
      <c r="R589" s="99" t="inlineStr">
        <is>
          <t>N</t>
        </is>
      </c>
      <c r="S589" s="99" t="n">
        <v>-1.2</v>
      </c>
      <c r="T589" s="99" t="n">
        <v>-7.4</v>
      </c>
      <c r="U589" s="99" t="inlineStr">
        <is>
          <t>N</t>
        </is>
      </c>
      <c r="V589" s="99" t="n">
        <v>17.2</v>
      </c>
      <c r="W589" s="99" t="n">
        <v>29.3</v>
      </c>
      <c r="X589" s="99" t="n">
        <v>3.29</v>
      </c>
      <c r="Y589" s="99" t="n">
        <v>9.300000000000001</v>
      </c>
      <c r="Z589" s="99" t="n">
        <v>4</v>
      </c>
      <c r="AA589" s="94" t="inlineStr">
        <is>
          <t>AVOID</t>
        </is>
      </c>
    </row>
    <row r="590">
      <c r="A590" s="97" t="inlineStr">
        <is>
          <t>POLICYBZR</t>
        </is>
      </c>
      <c r="B590" s="97" t="inlineStr">
        <is>
          <t>PB Fintech Ltd.</t>
        </is>
      </c>
      <c r="C590" s="97" t="inlineStr">
        <is>
          <t>Financial Services</t>
        </is>
      </c>
      <c r="D590" s="97" t="inlineStr">
        <is>
          <t>Large/Midcap</t>
        </is>
      </c>
      <c r="E590" s="97" t="n">
        <v>1537.2</v>
      </c>
      <c r="F590" s="97" t="n">
        <v>0.6899999999999999</v>
      </c>
      <c r="G590" s="97" t="n">
        <v>1154630</v>
      </c>
      <c r="H590" s="97" t="n">
        <v>0.97</v>
      </c>
      <c r="I590" s="97" t="n">
        <v>71025</v>
      </c>
      <c r="J590" s="97" t="inlineStr">
        <is>
          <t>Y</t>
        </is>
      </c>
      <c r="K590" s="97" t="inlineStr">
        <is>
          <t>N</t>
        </is>
      </c>
      <c r="L590" s="97" t="inlineStr">
        <is>
          <t>N</t>
        </is>
      </c>
      <c r="M590" s="97" t="n">
        <v>43.2</v>
      </c>
      <c r="N590" s="97" t="inlineStr">
        <is>
          <t>N</t>
        </is>
      </c>
      <c r="O590" s="97" t="n">
        <v>43.79</v>
      </c>
      <c r="P590" s="97" t="inlineStr">
        <is>
          <t>N</t>
        </is>
      </c>
      <c r="Q590" s="97" t="inlineStr">
        <is>
          <t>N/A</t>
        </is>
      </c>
      <c r="R590" s="97" t="inlineStr">
        <is>
          <t>N</t>
        </is>
      </c>
      <c r="S590" s="97" t="n">
        <v>-3.8</v>
      </c>
      <c r="T590" s="97" t="n">
        <v>-8.199999999999999</v>
      </c>
      <c r="U590" s="97" t="inlineStr">
        <is>
          <t>N</t>
        </is>
      </c>
      <c r="V590" s="97" t="n">
        <v>106.4</v>
      </c>
      <c r="W590" s="97" t="n">
        <v>9.699999999999999</v>
      </c>
      <c r="X590" s="97" t="n">
        <v>4.92</v>
      </c>
      <c r="Y590" s="97" t="n">
        <v>37.9</v>
      </c>
      <c r="Z590" s="97" t="n">
        <v>2</v>
      </c>
      <c r="AA590" s="92" t="inlineStr">
        <is>
          <t>AVOID</t>
        </is>
      </c>
    </row>
    <row r="591">
      <c r="A591" s="99" t="inlineStr">
        <is>
          <t>NMDC</t>
        </is>
      </c>
      <c r="B591" s="99" t="inlineStr">
        <is>
          <t>NMDC Ltd.</t>
        </is>
      </c>
      <c r="C591" s="99" t="inlineStr">
        <is>
          <t>Metals &amp; Mining</t>
        </is>
      </c>
      <c r="D591" s="99" t="inlineStr">
        <is>
          <t>Large/Midcap</t>
        </is>
      </c>
      <c r="E591" s="99" t="n">
        <v>83.56</v>
      </c>
      <c r="F591" s="99" t="n">
        <v>1.11</v>
      </c>
      <c r="G591" s="99" t="n">
        <v>16131661</v>
      </c>
      <c r="H591" s="99" t="n">
        <v>1.28</v>
      </c>
      <c r="I591" s="99" t="n">
        <v>73464</v>
      </c>
      <c r="J591" s="99" t="inlineStr">
        <is>
          <t>Y</t>
        </is>
      </c>
      <c r="K591" s="99" t="inlineStr">
        <is>
          <t>N</t>
        </is>
      </c>
      <c r="L591" s="99" t="inlineStr">
        <is>
          <t>Y</t>
        </is>
      </c>
      <c r="M591" s="99" t="n">
        <v>41.5</v>
      </c>
      <c r="N591" s="99" t="inlineStr">
        <is>
          <t>N</t>
        </is>
      </c>
      <c r="O591" s="99" t="n">
        <v>1.61</v>
      </c>
      <c r="P591" s="99" t="inlineStr">
        <is>
          <t>N</t>
        </is>
      </c>
      <c r="Q591" s="99" t="inlineStr">
        <is>
          <t>N/A</t>
        </is>
      </c>
      <c r="R591" s="99" t="inlineStr">
        <is>
          <t>N</t>
        </is>
      </c>
      <c r="S591" s="99" t="n">
        <v>-0.6</v>
      </c>
      <c r="T591" s="99" t="n">
        <v>-8.4</v>
      </c>
      <c r="U591" s="99" t="inlineStr">
        <is>
          <t>N</t>
        </is>
      </c>
      <c r="V591" s="99" t="n">
        <v>9.9</v>
      </c>
      <c r="W591" s="99" t="n">
        <v>23.4</v>
      </c>
      <c r="X591" s="99" t="n">
        <v>18.8</v>
      </c>
      <c r="Y591" s="99" t="n">
        <v>15.4</v>
      </c>
      <c r="Z591" s="99" t="n">
        <v>4</v>
      </c>
      <c r="AA591" s="94" t="inlineStr">
        <is>
          <t>AVOID</t>
        </is>
      </c>
    </row>
    <row r="592">
      <c r="A592" s="97" t="inlineStr">
        <is>
          <t>INFY</t>
        </is>
      </c>
      <c r="B592" s="97" t="inlineStr">
        <is>
          <t>Infosys Ltd.</t>
        </is>
      </c>
      <c r="C592" s="97" t="inlineStr">
        <is>
          <t>Information Technology</t>
        </is>
      </c>
      <c r="D592" s="97" t="inlineStr">
        <is>
          <t>Large/Midcap</t>
        </is>
      </c>
      <c r="E592" s="97" t="n">
        <v>1040.9</v>
      </c>
      <c r="F592" s="97" t="n">
        <v>-0.62</v>
      </c>
      <c r="G592" s="97" t="n">
        <v>29036900</v>
      </c>
      <c r="H592" s="97" t="n">
        <v>2.83</v>
      </c>
      <c r="I592" s="97" t="n">
        <v>421577</v>
      </c>
      <c r="J592" s="97" t="inlineStr">
        <is>
          <t>Y</t>
        </is>
      </c>
      <c r="K592" s="97" t="inlineStr">
        <is>
          <t>N</t>
        </is>
      </c>
      <c r="L592" s="97" t="inlineStr">
        <is>
          <t>N</t>
        </is>
      </c>
      <c r="M592" s="97" t="n">
        <v>49.7</v>
      </c>
      <c r="N592" s="97" t="inlineStr">
        <is>
          <t>N</t>
        </is>
      </c>
      <c r="O592" s="97" t="n">
        <v>30.24</v>
      </c>
      <c r="P592" s="97" t="inlineStr">
        <is>
          <t>Y</t>
        </is>
      </c>
      <c r="Q592" s="97" t="inlineStr">
        <is>
          <t>N/A</t>
        </is>
      </c>
      <c r="R592" s="97" t="inlineStr">
        <is>
          <t>N</t>
        </is>
      </c>
      <c r="S592" s="97" t="n">
        <v>1</v>
      </c>
      <c r="T592" s="97" t="n">
        <v>-8.4</v>
      </c>
      <c r="U592" s="97" t="inlineStr">
        <is>
          <t>N</t>
        </is>
      </c>
      <c r="V592" s="97" t="n">
        <v>13.3</v>
      </c>
      <c r="W592" s="97" t="n">
        <v>32</v>
      </c>
      <c r="X592" s="97" t="n">
        <v>9.539999999999999</v>
      </c>
      <c r="Y592" s="97" t="n">
        <v>-10.9</v>
      </c>
      <c r="Z592" s="97" t="n">
        <v>3</v>
      </c>
      <c r="AA592" s="92" t="inlineStr">
        <is>
          <t>AVOID</t>
        </is>
      </c>
    </row>
    <row r="593">
      <c r="A593" s="99" t="inlineStr">
        <is>
          <t>SIGNATURE</t>
        </is>
      </c>
      <c r="B593" s="99" t="inlineStr">
        <is>
          <t>Signatureglobal (India) Ltd.</t>
        </is>
      </c>
      <c r="C593" s="99" t="inlineStr">
        <is>
          <t>Realty</t>
        </is>
      </c>
      <c r="D593" s="99" t="inlineStr">
        <is>
          <t>Smallcap</t>
        </is>
      </c>
      <c r="E593" s="99" t="n">
        <v>768.35</v>
      </c>
      <c r="F593" s="99" t="n">
        <v>0.14</v>
      </c>
      <c r="G593" s="99" t="n">
        <v>208099</v>
      </c>
      <c r="H593" s="99" t="n">
        <v>0.95</v>
      </c>
      <c r="I593" s="99" t="n">
        <v>10810</v>
      </c>
      <c r="J593" s="99" t="inlineStr">
        <is>
          <t>Y</t>
        </is>
      </c>
      <c r="K593" s="99" t="inlineStr">
        <is>
          <t>N</t>
        </is>
      </c>
      <c r="L593" s="99" t="inlineStr">
        <is>
          <t>N</t>
        </is>
      </c>
      <c r="M593" s="99" t="n">
        <v>46</v>
      </c>
      <c r="N593" s="99" t="inlineStr">
        <is>
          <t>N</t>
        </is>
      </c>
      <c r="O593" s="99" t="n">
        <v>39.48</v>
      </c>
      <c r="P593" s="99" t="inlineStr">
        <is>
          <t>N</t>
        </is>
      </c>
      <c r="Q593" s="99" t="inlineStr">
        <is>
          <t>N/A</t>
        </is>
      </c>
      <c r="R593" s="99" t="inlineStr">
        <is>
          <t>N</t>
        </is>
      </c>
      <c r="S593" s="99" t="n">
        <v>2.6</v>
      </c>
      <c r="T593" s="99" t="n">
        <v>-9.4</v>
      </c>
      <c r="U593" s="99" t="inlineStr">
        <is>
          <t>N</t>
        </is>
      </c>
      <c r="V593" s="99" t="n">
        <v>9.9</v>
      </c>
      <c r="W593" s="99" t="n">
        <v>84.90000000000001</v>
      </c>
      <c r="X593" s="99" t="n">
        <v>161.04</v>
      </c>
      <c r="Y593" s="99" t="n">
        <v>2641.8</v>
      </c>
      <c r="Z593" s="99" t="n">
        <v>3</v>
      </c>
      <c r="AA593" s="94" t="inlineStr">
        <is>
          <t>AVOID</t>
        </is>
      </c>
    </row>
    <row r="594">
      <c r="A594" s="97" t="inlineStr">
        <is>
          <t>EIDPARRY</t>
        </is>
      </c>
      <c r="B594" s="97" t="inlineStr">
        <is>
          <t>E.I.D. Parry (India) Ltd.</t>
        </is>
      </c>
      <c r="C594" s="97" t="inlineStr">
        <is>
          <t>Fast Moving Consumer Goods</t>
        </is>
      </c>
      <c r="D594" s="97" t="inlineStr">
        <is>
          <t>Smallcap</t>
        </is>
      </c>
      <c r="E594" s="97" t="n">
        <v>758</v>
      </c>
      <c r="F594" s="97" t="n">
        <v>-0.15</v>
      </c>
      <c r="G594" s="97" t="n">
        <v>128554</v>
      </c>
      <c r="H594" s="97" t="n">
        <v>0.62</v>
      </c>
      <c r="I594" s="97" t="n">
        <v>13489</v>
      </c>
      <c r="J594" s="97" t="inlineStr">
        <is>
          <t>Y</t>
        </is>
      </c>
      <c r="K594" s="97" t="inlineStr">
        <is>
          <t>Y</t>
        </is>
      </c>
      <c r="L594" s="97" t="inlineStr">
        <is>
          <t>N</t>
        </is>
      </c>
      <c r="M594" s="97" t="n">
        <v>47.3</v>
      </c>
      <c r="N594" s="97" t="inlineStr">
        <is>
          <t>N</t>
        </is>
      </c>
      <c r="O594" s="97" t="n">
        <v>22.17</v>
      </c>
      <c r="P594" s="97" t="inlineStr">
        <is>
          <t>N</t>
        </is>
      </c>
      <c r="Q594" s="97" t="inlineStr">
        <is>
          <t>N/A</t>
        </is>
      </c>
      <c r="R594" s="97" t="inlineStr">
        <is>
          <t>N</t>
        </is>
      </c>
      <c r="S594" s="97" t="n">
        <v>7.9</v>
      </c>
      <c r="T594" s="97" t="n">
        <v>-9.800000000000001</v>
      </c>
      <c r="U594" s="97" t="inlineStr">
        <is>
          <t>N</t>
        </is>
      </c>
      <c r="V594" s="97" t="n">
        <v>23.8</v>
      </c>
      <c r="W594" s="97" t="n">
        <v>9.9</v>
      </c>
      <c r="X594" s="97" t="n">
        <v>23.65</v>
      </c>
      <c r="Y594" s="97" t="n">
        <v>-243.6</v>
      </c>
      <c r="Z594" s="97" t="n">
        <v>2</v>
      </c>
      <c r="AA594" s="92" t="inlineStr">
        <is>
          <t>AVOID</t>
        </is>
      </c>
    </row>
    <row r="595">
      <c r="A595" s="99" t="inlineStr">
        <is>
          <t>ABLBL</t>
        </is>
      </c>
      <c r="B595" s="99" t="inlineStr">
        <is>
          <t>Aditya Birla Lifestyle Brands Ltd.</t>
        </is>
      </c>
      <c r="C595" s="99" t="inlineStr">
        <is>
          <t>Consumer Services</t>
        </is>
      </c>
      <c r="D595" s="99" t="inlineStr">
        <is>
          <t>Smallcap</t>
        </is>
      </c>
      <c r="E595" s="99" t="n">
        <v>94.01000000000001</v>
      </c>
      <c r="F595" s="99" t="n">
        <v>1.25</v>
      </c>
      <c r="G595" s="99" t="n">
        <v>276457</v>
      </c>
      <c r="H595" s="99" t="n">
        <v>0.79</v>
      </c>
      <c r="I595" s="99" t="n">
        <v>11419</v>
      </c>
      <c r="J595" s="99" t="inlineStr">
        <is>
          <t>Y</t>
        </is>
      </c>
      <c r="K595" s="99" t="inlineStr">
        <is>
          <t>N</t>
        </is>
      </c>
      <c r="L595" s="99" t="inlineStr">
        <is>
          <t>N</t>
        </is>
      </c>
      <c r="M595" s="99" t="n">
        <v>42.5</v>
      </c>
      <c r="N595" s="99" t="inlineStr">
        <is>
          <t>N</t>
        </is>
      </c>
      <c r="O595" s="99" t="n">
        <v>2.27</v>
      </c>
      <c r="P595" s="99" t="inlineStr">
        <is>
          <t>N</t>
        </is>
      </c>
      <c r="Q595" s="99" t="inlineStr">
        <is>
          <t>N/A</t>
        </is>
      </c>
      <c r="R595" s="99" t="inlineStr">
        <is>
          <t>N</t>
        </is>
      </c>
      <c r="S595" s="99" t="n">
        <v>-2.6</v>
      </c>
      <c r="T595" s="99" t="n">
        <v>-9.9</v>
      </c>
      <c r="U595" s="99" t="inlineStr">
        <is>
          <t>N</t>
        </is>
      </c>
      <c r="V595" s="99" t="n">
        <v>66.7</v>
      </c>
      <c r="W595" s="99" t="n">
        <v>12.7</v>
      </c>
      <c r="X595" s="99" t="n">
        <v>213.72</v>
      </c>
      <c r="Y595" s="99" t="n">
        <v>-21</v>
      </c>
      <c r="Z595" s="99" t="n">
        <v>1</v>
      </c>
      <c r="AA595" s="94" t="inlineStr">
        <is>
          <t>AVOID</t>
        </is>
      </c>
    </row>
    <row r="596">
      <c r="A596" s="97" t="inlineStr">
        <is>
          <t>GICRE</t>
        </is>
      </c>
      <c r="B596" s="97" t="inlineStr">
        <is>
          <t>General Insurance Corporation of India</t>
        </is>
      </c>
      <c r="C596" s="97" t="inlineStr">
        <is>
          <t>Financial Services</t>
        </is>
      </c>
      <c r="D596" s="97" t="inlineStr">
        <is>
          <t>Large/Midcap</t>
        </is>
      </c>
      <c r="E596" s="97" t="n">
        <v>357.5</v>
      </c>
      <c r="F596" s="97" t="n">
        <v>-0.65</v>
      </c>
      <c r="G596" s="97" t="n">
        <v>188457</v>
      </c>
      <c r="H596" s="97" t="n">
        <v>0.58</v>
      </c>
      <c r="I596" s="97" t="n">
        <v>62720</v>
      </c>
      <c r="J596" s="97" t="inlineStr">
        <is>
          <t>Y</t>
        </is>
      </c>
      <c r="K596" s="97" t="inlineStr">
        <is>
          <t>N</t>
        </is>
      </c>
      <c r="L596" s="97" t="inlineStr">
        <is>
          <t>N</t>
        </is>
      </c>
      <c r="M596" s="97" t="n">
        <v>45.9</v>
      </c>
      <c r="N596" s="97" t="inlineStr">
        <is>
          <t>N</t>
        </is>
      </c>
      <c r="O596" s="97" t="n">
        <v>5.91</v>
      </c>
      <c r="P596" s="97" t="inlineStr">
        <is>
          <t>N</t>
        </is>
      </c>
      <c r="Q596" s="97" t="inlineStr">
        <is>
          <t>N/A</t>
        </is>
      </c>
      <c r="R596" s="97" t="inlineStr">
        <is>
          <t>N</t>
        </is>
      </c>
      <c r="S596" s="97" t="n">
        <v>0.1</v>
      </c>
      <c r="T596" s="97" t="n">
        <v>-10.1</v>
      </c>
      <c r="U596" s="97" t="inlineStr">
        <is>
          <t>N</t>
        </is>
      </c>
      <c r="V596" s="97" t="n">
        <v>6.5</v>
      </c>
      <c r="W596" s="97" t="n">
        <v>10.7</v>
      </c>
      <c r="X596" s="97" t="inlineStr">
        <is>
          <t>N/A</t>
        </is>
      </c>
      <c r="Y596" s="97" t="n">
        <v>46.8</v>
      </c>
      <c r="Z596" s="97" t="n">
        <v>2</v>
      </c>
      <c r="AA596" s="92" t="inlineStr">
        <is>
          <t>AVOID</t>
        </is>
      </c>
    </row>
    <row r="597">
      <c r="A597" s="99" t="inlineStr">
        <is>
          <t>IGL</t>
        </is>
      </c>
      <c r="B597" s="99" t="inlineStr">
        <is>
          <t>Indraprastha Gas Ltd.</t>
        </is>
      </c>
      <c r="C597" s="99" t="inlineStr">
        <is>
          <t>Oil Gas &amp; Consumable Fuels</t>
        </is>
      </c>
      <c r="D597" s="99" t="inlineStr">
        <is>
          <t>Smallcap</t>
        </is>
      </c>
      <c r="E597" s="99" t="n">
        <v>149.33</v>
      </c>
      <c r="F597" s="99" t="n">
        <v>-0.38</v>
      </c>
      <c r="G597" s="99" t="n">
        <v>1256239</v>
      </c>
      <c r="H597" s="99" t="n">
        <v>0.59</v>
      </c>
      <c r="I597" s="99" t="n">
        <v>20906</v>
      </c>
      <c r="J597" s="99" t="inlineStr">
        <is>
          <t>Y</t>
        </is>
      </c>
      <c r="K597" s="99" t="inlineStr">
        <is>
          <t>N</t>
        </is>
      </c>
      <c r="L597" s="99" t="inlineStr">
        <is>
          <t>N</t>
        </is>
      </c>
      <c r="M597" s="99" t="n">
        <v>42.3</v>
      </c>
      <c r="N597" s="99" t="inlineStr">
        <is>
          <t>N</t>
        </is>
      </c>
      <c r="O597" s="99" t="n">
        <v>3.13</v>
      </c>
      <c r="P597" s="99" t="inlineStr">
        <is>
          <t>N</t>
        </is>
      </c>
      <c r="Q597" s="99" t="inlineStr">
        <is>
          <t>N/A</t>
        </is>
      </c>
      <c r="R597" s="99" t="inlineStr">
        <is>
          <t>N</t>
        </is>
      </c>
      <c r="S597" s="99" t="n">
        <v>-11.3</v>
      </c>
      <c r="T597" s="99" t="n">
        <v>-10.3</v>
      </c>
      <c r="U597" s="99" t="inlineStr">
        <is>
          <t>N</t>
        </is>
      </c>
      <c r="V597" s="99" t="n">
        <v>13.5</v>
      </c>
      <c r="W597" s="99" t="n">
        <v>13.9</v>
      </c>
      <c r="X597" s="99" t="n">
        <v>0.85</v>
      </c>
      <c r="Y597" s="99" t="n">
        <v>-13.5</v>
      </c>
      <c r="Z597" s="99" t="n">
        <v>1</v>
      </c>
      <c r="AA597" s="94" t="inlineStr">
        <is>
          <t>AVOID</t>
        </is>
      </c>
    </row>
    <row r="598">
      <c r="A598" s="97" t="inlineStr">
        <is>
          <t>EMAMILTD</t>
        </is>
      </c>
      <c r="B598" s="97" t="inlineStr">
        <is>
          <t>Emami Ltd.</t>
        </is>
      </c>
      <c r="C598" s="97" t="inlineStr">
        <is>
          <t>Fast Moving Consumer Goods</t>
        </is>
      </c>
      <c r="D598" s="97" t="inlineStr">
        <is>
          <t>Smallcap</t>
        </is>
      </c>
      <c r="E598" s="97" t="n">
        <v>407.9</v>
      </c>
      <c r="F598" s="97" t="n">
        <v>-2.01</v>
      </c>
      <c r="G598" s="97" t="n">
        <v>694321</v>
      </c>
      <c r="H598" s="97" t="n">
        <v>0.84</v>
      </c>
      <c r="I598" s="97" t="n">
        <v>17805</v>
      </c>
      <c r="J598" s="97" t="inlineStr">
        <is>
          <t>Y</t>
        </is>
      </c>
      <c r="K598" s="97" t="inlineStr">
        <is>
          <t>Y</t>
        </is>
      </c>
      <c r="L598" s="97" t="inlineStr">
        <is>
          <t>N</t>
        </is>
      </c>
      <c r="M598" s="97" t="n">
        <v>44.8</v>
      </c>
      <c r="N598" s="97" t="inlineStr">
        <is>
          <t>N</t>
        </is>
      </c>
      <c r="O598" s="97" t="n">
        <v>11.73</v>
      </c>
      <c r="P598" s="97" t="inlineStr">
        <is>
          <t>N</t>
        </is>
      </c>
      <c r="Q598" s="97" t="inlineStr">
        <is>
          <t>N/A</t>
        </is>
      </c>
      <c r="R598" s="97" t="inlineStr">
        <is>
          <t>N</t>
        </is>
      </c>
      <c r="S598" s="97" t="n">
        <v>3.8</v>
      </c>
      <c r="T598" s="97" t="n">
        <v>-10.4</v>
      </c>
      <c r="U598" s="97" t="inlineStr">
        <is>
          <t>N</t>
        </is>
      </c>
      <c r="V598" s="97" t="n">
        <v>23</v>
      </c>
      <c r="W598" s="97" t="n">
        <v>27.6</v>
      </c>
      <c r="X598" s="97" t="n">
        <v>5.54</v>
      </c>
      <c r="Y598" s="97" t="n">
        <v>-55.2</v>
      </c>
      <c r="Z598" s="97" t="n">
        <v>3</v>
      </c>
      <c r="AA598" s="92" t="inlineStr">
        <is>
          <t>AVOID</t>
        </is>
      </c>
    </row>
    <row r="599">
      <c r="A599" s="99" t="inlineStr">
        <is>
          <t>KFINTECH</t>
        </is>
      </c>
      <c r="B599" s="99" t="inlineStr">
        <is>
          <t>Kfin Technologies Ltd.</t>
        </is>
      </c>
      <c r="C599" s="99" t="inlineStr">
        <is>
          <t>Financial Services</t>
        </is>
      </c>
      <c r="D599" s="99" t="inlineStr">
        <is>
          <t>Smallcap</t>
        </is>
      </c>
      <c r="E599" s="99" t="n">
        <v>857.75</v>
      </c>
      <c r="F599" s="99" t="n">
        <v>-1.21</v>
      </c>
      <c r="G599" s="99" t="n">
        <v>749479</v>
      </c>
      <c r="H599" s="99" t="n">
        <v>1.88</v>
      </c>
      <c r="I599" s="99" t="n">
        <v>14826</v>
      </c>
      <c r="J599" s="99" t="inlineStr">
        <is>
          <t>Y</t>
        </is>
      </c>
      <c r="K599" s="99" t="inlineStr">
        <is>
          <t>Y</t>
        </is>
      </c>
      <c r="L599" s="99" t="inlineStr">
        <is>
          <t>N</t>
        </is>
      </c>
      <c r="M599" s="99" t="n">
        <v>47.3</v>
      </c>
      <c r="N599" s="99" t="inlineStr">
        <is>
          <t>N</t>
        </is>
      </c>
      <c r="O599" s="99" t="n">
        <v>28.08</v>
      </c>
      <c r="P599" s="99" t="inlineStr">
        <is>
          <t>N</t>
        </is>
      </c>
      <c r="Q599" s="99" t="inlineStr">
        <is>
          <t>N/A</t>
        </is>
      </c>
      <c r="R599" s="99" t="inlineStr">
        <is>
          <t>N</t>
        </is>
      </c>
      <c r="S599" s="99" t="n">
        <v>0.5</v>
      </c>
      <c r="T599" s="99" t="n">
        <v>-10.5</v>
      </c>
      <c r="U599" s="99" t="inlineStr">
        <is>
          <t>N</t>
        </is>
      </c>
      <c r="V599" s="99" t="n">
        <v>43.5</v>
      </c>
      <c r="W599" s="99" t="inlineStr">
        <is>
          <t>N/A</t>
        </is>
      </c>
      <c r="X599" s="99" t="n">
        <v>3.31</v>
      </c>
      <c r="Y599" s="99" t="n">
        <v>-11.8</v>
      </c>
      <c r="Z599" s="99" t="n">
        <v>2</v>
      </c>
      <c r="AA599" s="94" t="inlineStr">
        <is>
          <t>AVOID</t>
        </is>
      </c>
    </row>
    <row r="600">
      <c r="A600" s="97" t="inlineStr">
        <is>
          <t>ABREL</t>
        </is>
      </c>
      <c r="B600" s="97" t="inlineStr">
        <is>
          <t>Aditya Birla Real Estate Ltd.</t>
        </is>
      </c>
      <c r="C600" s="97" t="inlineStr">
        <is>
          <t>Realty</t>
        </is>
      </c>
      <c r="D600" s="97" t="inlineStr">
        <is>
          <t>Smallcap</t>
        </is>
      </c>
      <c r="E600" s="97" t="n">
        <v>1374.2</v>
      </c>
      <c r="F600" s="97" t="n">
        <v>-1.71</v>
      </c>
      <c r="G600" s="97" t="n">
        <v>113460</v>
      </c>
      <c r="H600" s="97" t="n">
        <v>1.11</v>
      </c>
      <c r="I600" s="97" t="n">
        <v>15196</v>
      </c>
      <c r="J600" s="97" t="inlineStr">
        <is>
          <t>Y</t>
        </is>
      </c>
      <c r="K600" s="97" t="inlineStr">
        <is>
          <t>Y</t>
        </is>
      </c>
      <c r="L600" s="97" t="inlineStr">
        <is>
          <t>N</t>
        </is>
      </c>
      <c r="M600" s="97" t="n">
        <v>43.3</v>
      </c>
      <c r="N600" s="97" t="inlineStr">
        <is>
          <t>N</t>
        </is>
      </c>
      <c r="O600" s="97" t="n">
        <v>45.58</v>
      </c>
      <c r="P600" s="97" t="inlineStr">
        <is>
          <t>N</t>
        </is>
      </c>
      <c r="Q600" s="97" t="inlineStr">
        <is>
          <t>N/A</t>
        </is>
      </c>
      <c r="R600" s="97" t="inlineStr">
        <is>
          <t>N</t>
        </is>
      </c>
      <c r="S600" s="97" t="n">
        <v>3.3</v>
      </c>
      <c r="T600" s="97" t="n">
        <v>-10.7</v>
      </c>
      <c r="U600" s="97" t="inlineStr">
        <is>
          <t>N</t>
        </is>
      </c>
      <c r="V600" s="97" t="inlineStr">
        <is>
          <t>N/A</t>
        </is>
      </c>
      <c r="W600" s="97" t="n">
        <v>-8.9</v>
      </c>
      <c r="X600" s="97" t="n">
        <v>152.37</v>
      </c>
      <c r="Y600" s="97" t="n">
        <v>114.9</v>
      </c>
      <c r="Z600" s="97" t="n">
        <v>3</v>
      </c>
      <c r="AA600" s="92" t="inlineStr">
        <is>
          <t>AVOID</t>
        </is>
      </c>
    </row>
    <row r="601">
      <c r="A601" s="99" t="inlineStr">
        <is>
          <t>PFC</t>
        </is>
      </c>
      <c r="B601" s="99" t="inlineStr">
        <is>
          <t>Power Finance Corporation Ltd.</t>
        </is>
      </c>
      <c r="C601" s="99" t="inlineStr">
        <is>
          <t>Financial Services</t>
        </is>
      </c>
      <c r="D601" s="99" t="inlineStr">
        <is>
          <t>Large/Midcap</t>
        </is>
      </c>
      <c r="E601" s="99" t="n">
        <v>411.9</v>
      </c>
      <c r="F601" s="99" t="n">
        <v>0.45</v>
      </c>
      <c r="G601" s="99" t="n">
        <v>4851080</v>
      </c>
      <c r="H601" s="99" t="n">
        <v>1.17</v>
      </c>
      <c r="I601" s="99" t="n">
        <v>135931</v>
      </c>
      <c r="J601" s="99" t="inlineStr">
        <is>
          <t>Y</t>
        </is>
      </c>
      <c r="K601" s="99" t="inlineStr">
        <is>
          <t>N</t>
        </is>
      </c>
      <c r="L601" s="99" t="inlineStr">
        <is>
          <t>Y</t>
        </is>
      </c>
      <c r="M601" s="99" t="n">
        <v>41.4</v>
      </c>
      <c r="N601" s="99" t="inlineStr">
        <is>
          <t>N</t>
        </is>
      </c>
      <c r="O601" s="99" t="n">
        <v>8.66</v>
      </c>
      <c r="P601" s="99" t="inlineStr">
        <is>
          <t>N</t>
        </is>
      </c>
      <c r="Q601" s="99" t="inlineStr">
        <is>
          <t>N/A</t>
        </is>
      </c>
      <c r="R601" s="99" t="inlineStr">
        <is>
          <t>N</t>
        </is>
      </c>
      <c r="S601" s="99" t="n">
        <v>-3.7</v>
      </c>
      <c r="T601" s="99" t="n">
        <v>-10.8</v>
      </c>
      <c r="U601" s="99" t="inlineStr">
        <is>
          <t>N</t>
        </is>
      </c>
      <c r="V601" s="99" t="n">
        <v>5.2</v>
      </c>
      <c r="W601" s="99" t="n">
        <v>20.5</v>
      </c>
      <c r="X601" s="99" t="n">
        <v>586.02</v>
      </c>
      <c r="Y601" s="99" t="n">
        <v>11.2</v>
      </c>
      <c r="Z601" s="99" t="n">
        <v>4</v>
      </c>
      <c r="AA601" s="94" t="inlineStr">
        <is>
          <t>AVOID</t>
        </is>
      </c>
    </row>
    <row r="602">
      <c r="A602" s="97" t="inlineStr">
        <is>
          <t>HINDZINC</t>
        </is>
      </c>
      <c r="B602" s="97" t="inlineStr">
        <is>
          <t>Hindustan Zinc Ltd.</t>
        </is>
      </c>
      <c r="C602" s="97" t="inlineStr">
        <is>
          <t>Metals &amp; Mining</t>
        </is>
      </c>
      <c r="D602" s="97" t="inlineStr">
        <is>
          <t>Large/Midcap</t>
        </is>
      </c>
      <c r="E602" s="97" t="n">
        <v>531.95</v>
      </c>
      <c r="F602" s="97" t="n">
        <v>0.15</v>
      </c>
      <c r="G602" s="97" t="n">
        <v>5497135</v>
      </c>
      <c r="H602" s="97" t="n">
        <v>2.17</v>
      </c>
      <c r="I602" s="97" t="n">
        <v>224766</v>
      </c>
      <c r="J602" s="97" t="inlineStr">
        <is>
          <t>Y</t>
        </is>
      </c>
      <c r="K602" s="97" t="inlineStr">
        <is>
          <t>N</t>
        </is>
      </c>
      <c r="L602" s="97" t="inlineStr">
        <is>
          <t>N</t>
        </is>
      </c>
      <c r="M602" s="97" t="n">
        <v>43.1</v>
      </c>
      <c r="N602" s="97" t="inlineStr">
        <is>
          <t>N</t>
        </is>
      </c>
      <c r="O602" s="97" t="n">
        <v>11.61</v>
      </c>
      <c r="P602" s="97" t="inlineStr">
        <is>
          <t>Y</t>
        </is>
      </c>
      <c r="Q602" s="97" t="inlineStr">
        <is>
          <t>N/A</t>
        </is>
      </c>
      <c r="R602" s="97" t="inlineStr">
        <is>
          <t>N</t>
        </is>
      </c>
      <c r="S602" s="97" t="n">
        <v>3.7</v>
      </c>
      <c r="T602" s="97" t="n">
        <v>-11.1</v>
      </c>
      <c r="U602" s="97" t="inlineStr">
        <is>
          <t>N</t>
        </is>
      </c>
      <c r="V602" s="97" t="n">
        <v>13.2</v>
      </c>
      <c r="W602" s="97" t="inlineStr">
        <is>
          <t>N/A</t>
        </is>
      </c>
      <c r="X602" s="97" t="n">
        <v>39.03</v>
      </c>
      <c r="Y602" s="97" t="n">
        <v>8.699999999999999</v>
      </c>
      <c r="Z602" s="97" t="n">
        <v>3</v>
      </c>
      <c r="AA602" s="92" t="inlineStr">
        <is>
          <t>AVOID</t>
        </is>
      </c>
    </row>
    <row r="603">
      <c r="A603" s="99" t="inlineStr">
        <is>
          <t>LTFOODS</t>
        </is>
      </c>
      <c r="B603" s="99" t="inlineStr">
        <is>
          <t>LT Foods Ltd.</t>
        </is>
      </c>
      <c r="C603" s="99" t="inlineStr">
        <is>
          <t>Fast Moving Consumer Goods</t>
        </is>
      </c>
      <c r="D603" s="99" t="inlineStr">
        <is>
          <t>Smallcap</t>
        </is>
      </c>
      <c r="E603" s="99" t="n">
        <v>375.6</v>
      </c>
      <c r="F603" s="99" t="n">
        <v>0.63</v>
      </c>
      <c r="G603" s="99" t="n">
        <v>220480</v>
      </c>
      <c r="H603" s="99" t="n">
        <v>0.82</v>
      </c>
      <c r="I603" s="99" t="n">
        <v>13043</v>
      </c>
      <c r="J603" s="99" t="inlineStr">
        <is>
          <t>Y</t>
        </is>
      </c>
      <c r="K603" s="99" t="inlineStr">
        <is>
          <t>N</t>
        </is>
      </c>
      <c r="L603" s="99" t="inlineStr">
        <is>
          <t>N</t>
        </is>
      </c>
      <c r="M603" s="99" t="n">
        <v>46.3</v>
      </c>
      <c r="N603" s="99" t="inlineStr">
        <is>
          <t>N</t>
        </is>
      </c>
      <c r="O603" s="99" t="n">
        <v>9.49</v>
      </c>
      <c r="P603" s="99" t="inlineStr">
        <is>
          <t>N</t>
        </is>
      </c>
      <c r="Q603" s="99" t="inlineStr">
        <is>
          <t>N/A</t>
        </is>
      </c>
      <c r="R603" s="99" t="inlineStr">
        <is>
          <t>N</t>
        </is>
      </c>
      <c r="S603" s="99" t="n">
        <v>-1.5</v>
      </c>
      <c r="T603" s="99" t="n">
        <v>-11.1</v>
      </c>
      <c r="U603" s="99" t="inlineStr">
        <is>
          <t>N</t>
        </is>
      </c>
      <c r="V603" s="99" t="n">
        <v>20.9</v>
      </c>
      <c r="W603" s="99" t="n">
        <v>14.9</v>
      </c>
      <c r="X603" s="99" t="n">
        <v>28.49</v>
      </c>
      <c r="Y603" s="99" t="n">
        <v>-13.8</v>
      </c>
      <c r="Z603" s="99" t="n">
        <v>1</v>
      </c>
      <c r="AA603" s="94" t="inlineStr">
        <is>
          <t>AVOID</t>
        </is>
      </c>
    </row>
    <row r="604">
      <c r="A604" s="97" t="inlineStr">
        <is>
          <t>DEVYANI</t>
        </is>
      </c>
      <c r="B604" s="97" t="inlineStr">
        <is>
          <t>Devyani International Ltd.</t>
        </is>
      </c>
      <c r="C604" s="97" t="inlineStr">
        <is>
          <t>Consumer Services</t>
        </is>
      </c>
      <c r="D604" s="97" t="inlineStr">
        <is>
          <t>Smallcap</t>
        </is>
      </c>
      <c r="E604" s="97" t="n">
        <v>112.3</v>
      </c>
      <c r="F604" s="97" t="n">
        <v>2.21</v>
      </c>
      <c r="G604" s="97" t="n">
        <v>3027081</v>
      </c>
      <c r="H604" s="97" t="n">
        <v>3.01</v>
      </c>
      <c r="I604" s="97" t="n">
        <v>13846</v>
      </c>
      <c r="J604" s="97" t="inlineStr">
        <is>
          <t>Y</t>
        </is>
      </c>
      <c r="K604" s="97" t="inlineStr">
        <is>
          <t>N</t>
        </is>
      </c>
      <c r="L604" s="97" t="inlineStr">
        <is>
          <t>N</t>
        </is>
      </c>
      <c r="M604" s="97" t="n">
        <v>45.1</v>
      </c>
      <c r="N604" s="97" t="inlineStr">
        <is>
          <t>N</t>
        </is>
      </c>
      <c r="O604" s="97" t="n">
        <v>3.01</v>
      </c>
      <c r="P604" s="97" t="inlineStr">
        <is>
          <t>Y</t>
        </is>
      </c>
      <c r="Q604" s="97" t="inlineStr">
        <is>
          <t>N/A</t>
        </is>
      </c>
      <c r="R604" s="97" t="inlineStr">
        <is>
          <t>N</t>
        </is>
      </c>
      <c r="S604" s="97" t="n">
        <v>0.6</v>
      </c>
      <c r="T604" s="97" t="n">
        <v>-11.4</v>
      </c>
      <c r="U604" s="97" t="inlineStr">
        <is>
          <t>N</t>
        </is>
      </c>
      <c r="V604" s="97" t="inlineStr">
        <is>
          <t>N/A</t>
        </is>
      </c>
      <c r="W604" s="97" t="n">
        <v>-2.6</v>
      </c>
      <c r="X604" s="97" t="n">
        <v>203.33</v>
      </c>
      <c r="Y604" s="97" t="n">
        <v>3.3</v>
      </c>
      <c r="Z604" s="97" t="n">
        <v>3</v>
      </c>
      <c r="AA604" s="92" t="inlineStr">
        <is>
          <t>AVOID</t>
        </is>
      </c>
    </row>
    <row r="605">
      <c r="A605" s="99" t="inlineStr">
        <is>
          <t>URBANCO</t>
        </is>
      </c>
      <c r="B605" s="99" t="inlineStr">
        <is>
          <t>Urban Company Ltd.</t>
        </is>
      </c>
      <c r="C605" s="99" t="inlineStr">
        <is>
          <t>Consumer Services</t>
        </is>
      </c>
      <c r="D605" s="99" t="inlineStr">
        <is>
          <t>Smallcap</t>
        </is>
      </c>
      <c r="E605" s="99" t="n">
        <v>129.76</v>
      </c>
      <c r="F605" s="99" t="n">
        <v>-0.63</v>
      </c>
      <c r="G605" s="99" t="n">
        <v>1214127</v>
      </c>
      <c r="H605" s="99" t="n">
        <v>0.93</v>
      </c>
      <c r="I605" s="99" t="n">
        <v>18973</v>
      </c>
      <c r="J605" s="99" t="inlineStr">
        <is>
          <t>Y</t>
        </is>
      </c>
      <c r="K605" s="99" t="inlineStr">
        <is>
          <t>Y</t>
        </is>
      </c>
      <c r="L605" s="99" t="inlineStr">
        <is>
          <t>N</t>
        </is>
      </c>
      <c r="M605" s="99" t="n">
        <v>44</v>
      </c>
      <c r="N605" s="99" t="inlineStr">
        <is>
          <t>N</t>
        </is>
      </c>
      <c r="O605" s="99" t="n">
        <v>4.68</v>
      </c>
      <c r="P605" s="99" t="inlineStr">
        <is>
          <t>N</t>
        </is>
      </c>
      <c r="Q605" s="99" t="inlineStr">
        <is>
          <t>N/A</t>
        </is>
      </c>
      <c r="R605" s="99" t="inlineStr">
        <is>
          <t>N</t>
        </is>
      </c>
      <c r="S605" s="99" t="n">
        <v>1</v>
      </c>
      <c r="T605" s="99" t="n">
        <v>-11.5</v>
      </c>
      <c r="U605" s="99" t="inlineStr">
        <is>
          <t>N</t>
        </is>
      </c>
      <c r="V605" s="99" t="inlineStr">
        <is>
          <t>N/A</t>
        </is>
      </c>
      <c r="W605" s="99" t="n">
        <v>-11.9</v>
      </c>
      <c r="X605" s="99" t="n">
        <v>6.33</v>
      </c>
      <c r="Y605" s="99" t="n">
        <v>-658</v>
      </c>
      <c r="Z605" s="99" t="n">
        <v>2</v>
      </c>
      <c r="AA605" s="94" t="inlineStr">
        <is>
          <t>AVOID</t>
        </is>
      </c>
    </row>
    <row r="606">
      <c r="A606" s="97" t="inlineStr">
        <is>
          <t>BRIGADE</t>
        </is>
      </c>
      <c r="B606" s="97" t="inlineStr">
        <is>
          <t>Brigade Enterprises Ltd.</t>
        </is>
      </c>
      <c r="C606" s="97" t="inlineStr">
        <is>
          <t>Realty</t>
        </is>
      </c>
      <c r="D606" s="97" t="inlineStr">
        <is>
          <t>Smallcap</t>
        </is>
      </c>
      <c r="E606" s="97" t="n">
        <v>525.45</v>
      </c>
      <c r="F606" s="97" t="n">
        <v>-0.26</v>
      </c>
      <c r="G606" s="97" t="n">
        <v>221965</v>
      </c>
      <c r="H606" s="97" t="n">
        <v>0.8100000000000001</v>
      </c>
      <c r="I606" s="97" t="n">
        <v>17138</v>
      </c>
      <c r="J606" s="97" t="inlineStr">
        <is>
          <t>Y</t>
        </is>
      </c>
      <c r="K606" s="97" t="inlineStr">
        <is>
          <t>Y</t>
        </is>
      </c>
      <c r="L606" s="97" t="inlineStr">
        <is>
          <t>N</t>
        </is>
      </c>
      <c r="M606" s="97" t="n">
        <v>47</v>
      </c>
      <c r="N606" s="97" t="inlineStr">
        <is>
          <t>N</t>
        </is>
      </c>
      <c r="O606" s="97" t="n">
        <v>22.35</v>
      </c>
      <c r="P606" s="97" t="inlineStr">
        <is>
          <t>N</t>
        </is>
      </c>
      <c r="Q606" s="97" t="inlineStr">
        <is>
          <t>N/A</t>
        </is>
      </c>
      <c r="R606" s="97" t="inlineStr">
        <is>
          <t>N</t>
        </is>
      </c>
      <c r="S606" s="97" t="n">
        <v>1.1</v>
      </c>
      <c r="T606" s="97" t="n">
        <v>-11.6</v>
      </c>
      <c r="U606" s="97" t="inlineStr">
        <is>
          <t>N</t>
        </is>
      </c>
      <c r="V606" s="97" t="n">
        <v>26.6</v>
      </c>
      <c r="W606" s="97" t="n">
        <v>10.8</v>
      </c>
      <c r="X606" s="97" t="n">
        <v>84.31999999999999</v>
      </c>
      <c r="Y606" s="97" t="n">
        <v>-22</v>
      </c>
      <c r="Z606" s="97" t="n">
        <v>2</v>
      </c>
      <c r="AA606" s="92" t="inlineStr">
        <is>
          <t>AVOID</t>
        </is>
      </c>
    </row>
    <row r="607">
      <c r="A607" s="99" t="inlineStr">
        <is>
          <t>DMART</t>
        </is>
      </c>
      <c r="B607" s="99" t="inlineStr">
        <is>
          <t>Avenue Supermarts Ltd.</t>
        </is>
      </c>
      <c r="C607" s="99" t="inlineStr">
        <is>
          <t>Consumer Services</t>
        </is>
      </c>
      <c r="D607" s="99" t="inlineStr">
        <is>
          <t>Large/Midcap</t>
        </is>
      </c>
      <c r="E607" s="99" t="n">
        <v>4018.8</v>
      </c>
      <c r="F607" s="99" t="n">
        <v>-0.4</v>
      </c>
      <c r="G607" s="99" t="n">
        <v>332480</v>
      </c>
      <c r="H607" s="99" t="n">
        <v>0.72</v>
      </c>
      <c r="I607" s="99" t="n">
        <v>262125</v>
      </c>
      <c r="J607" s="99" t="inlineStr">
        <is>
          <t>Y</t>
        </is>
      </c>
      <c r="K607" s="99" t="inlineStr">
        <is>
          <t>N</t>
        </is>
      </c>
      <c r="L607" s="99" t="inlineStr">
        <is>
          <t>N</t>
        </is>
      </c>
      <c r="M607" s="99" t="n">
        <v>44</v>
      </c>
      <c r="N607" s="99" t="inlineStr">
        <is>
          <t>N</t>
        </is>
      </c>
      <c r="O607" s="99" t="n">
        <v>82.34</v>
      </c>
      <c r="P607" s="99" t="inlineStr">
        <is>
          <t>N</t>
        </is>
      </c>
      <c r="Q607" s="99" t="inlineStr">
        <is>
          <t>N/A</t>
        </is>
      </c>
      <c r="R607" s="99" t="inlineStr">
        <is>
          <t>N</t>
        </is>
      </c>
      <c r="S607" s="99" t="n">
        <v>-5.4</v>
      </c>
      <c r="T607" s="99" t="n">
        <v>-12</v>
      </c>
      <c r="U607" s="99" t="inlineStr">
        <is>
          <t>N</t>
        </is>
      </c>
      <c r="V607" s="99" t="n">
        <v>85.5</v>
      </c>
      <c r="W607" s="99" t="inlineStr">
        <is>
          <t>N/A</t>
        </is>
      </c>
      <c r="X607" s="99" t="n">
        <v>9.91</v>
      </c>
      <c r="Y607" s="99" t="n">
        <v>31.1</v>
      </c>
      <c r="Z607" s="99" t="n">
        <v>2</v>
      </c>
      <c r="AA607" s="94" t="inlineStr">
        <is>
          <t>AVOID</t>
        </is>
      </c>
    </row>
    <row r="608">
      <c r="A608" s="97" t="inlineStr">
        <is>
          <t>HINDCOPPER</t>
        </is>
      </c>
      <c r="B608" s="97" t="inlineStr">
        <is>
          <t>Hindustan Copper Ltd.</t>
        </is>
      </c>
      <c r="C608" s="97" t="inlineStr">
        <is>
          <t>Metals &amp; Mining</t>
        </is>
      </c>
      <c r="D608" s="97" t="inlineStr">
        <is>
          <t>Smallcap</t>
        </is>
      </c>
      <c r="E608" s="97" t="n">
        <v>483.15</v>
      </c>
      <c r="F608" s="97" t="n">
        <v>-1.76</v>
      </c>
      <c r="G608" s="97" t="n">
        <v>3002317</v>
      </c>
      <c r="H608" s="97" t="n">
        <v>0.91</v>
      </c>
      <c r="I608" s="97" t="n">
        <v>46722</v>
      </c>
      <c r="J608" s="97" t="inlineStr">
        <is>
          <t>Y</t>
        </is>
      </c>
      <c r="K608" s="97" t="inlineStr">
        <is>
          <t>N</t>
        </is>
      </c>
      <c r="L608" s="97" t="inlineStr">
        <is>
          <t>N</t>
        </is>
      </c>
      <c r="M608" s="97" t="n">
        <v>41.5</v>
      </c>
      <c r="N608" s="97" t="inlineStr">
        <is>
          <t>N</t>
        </is>
      </c>
      <c r="O608" s="97" t="n">
        <v>12.64</v>
      </c>
      <c r="P608" s="97" t="inlineStr">
        <is>
          <t>N</t>
        </is>
      </c>
      <c r="Q608" s="97" t="inlineStr">
        <is>
          <t>N/A</t>
        </is>
      </c>
      <c r="R608" s="97" t="inlineStr">
        <is>
          <t>N</t>
        </is>
      </c>
      <c r="S608" s="97" t="n">
        <v>-0.6</v>
      </c>
      <c r="T608" s="97" t="n">
        <v>-12.4</v>
      </c>
      <c r="U608" s="97" t="inlineStr">
        <is>
          <t>N</t>
        </is>
      </c>
      <c r="V608" s="97" t="n">
        <v>50.8</v>
      </c>
      <c r="W608" s="97" t="n">
        <v>30.6</v>
      </c>
      <c r="X608" s="97" t="n">
        <v>3.32</v>
      </c>
      <c r="Y608" s="97" t="n">
        <v>184.4</v>
      </c>
      <c r="Z608" s="97" t="n">
        <v>3</v>
      </c>
      <c r="AA608" s="92" t="inlineStr">
        <is>
          <t>AVOID</t>
        </is>
      </c>
    </row>
    <row r="609">
      <c r="A609" s="99" t="inlineStr">
        <is>
          <t>TATACHEM</t>
        </is>
      </c>
      <c r="B609" s="99" t="inlineStr">
        <is>
          <t>Tata Chemicals Ltd.</t>
        </is>
      </c>
      <c r="C609" s="99" t="inlineStr">
        <is>
          <t>Chemicals</t>
        </is>
      </c>
      <c r="D609" s="99" t="inlineStr">
        <is>
          <t>Smallcap</t>
        </is>
      </c>
      <c r="E609" s="99" t="n">
        <v>685.35</v>
      </c>
      <c r="F609" s="99" t="n">
        <v>0.88</v>
      </c>
      <c r="G609" s="99" t="n">
        <v>264678</v>
      </c>
      <c r="H609" s="99" t="n">
        <v>0.79</v>
      </c>
      <c r="I609" s="99" t="n">
        <v>17460</v>
      </c>
      <c r="J609" s="99" t="inlineStr">
        <is>
          <t>Y</t>
        </is>
      </c>
      <c r="K609" s="99" t="inlineStr">
        <is>
          <t>N</t>
        </is>
      </c>
      <c r="L609" s="99" t="inlineStr">
        <is>
          <t>N</t>
        </is>
      </c>
      <c r="M609" s="99" t="n">
        <v>44.5</v>
      </c>
      <c r="N609" s="99" t="inlineStr">
        <is>
          <t>N</t>
        </is>
      </c>
      <c r="O609" s="99" t="n">
        <v>15.04</v>
      </c>
      <c r="P609" s="99" t="inlineStr">
        <is>
          <t>N</t>
        </is>
      </c>
      <c r="Q609" s="99" t="inlineStr">
        <is>
          <t>N/A</t>
        </is>
      </c>
      <c r="R609" s="99" t="inlineStr">
        <is>
          <t>N</t>
        </is>
      </c>
      <c r="S609" s="99" t="n">
        <v>-7.1</v>
      </c>
      <c r="T609" s="99" t="n">
        <v>-12.4</v>
      </c>
      <c r="U609" s="99" t="inlineStr">
        <is>
          <t>N</t>
        </is>
      </c>
      <c r="V609" s="99" t="inlineStr">
        <is>
          <t>N/A</t>
        </is>
      </c>
      <c r="W609" s="99" t="n">
        <v>-7.7</v>
      </c>
      <c r="X609" s="99" t="n">
        <v>36.08</v>
      </c>
      <c r="Y609" s="99" t="n">
        <v>-2192.5</v>
      </c>
      <c r="Z609" s="99" t="n">
        <v>1</v>
      </c>
      <c r="AA609" s="94" t="inlineStr">
        <is>
          <t>AVOID</t>
        </is>
      </c>
    </row>
    <row r="610">
      <c r="A610" s="97" t="inlineStr">
        <is>
          <t>TATAELXSI</t>
        </is>
      </c>
      <c r="B610" s="97" t="inlineStr">
        <is>
          <t>Tata Elxsi Ltd.</t>
        </is>
      </c>
      <c r="C610" s="97" t="inlineStr">
        <is>
          <t>Information Technology</t>
        </is>
      </c>
      <c r="D610" s="97" t="inlineStr">
        <is>
          <t>Large/Midcap</t>
        </is>
      </c>
      <c r="E610" s="97" t="n">
        <v>3538</v>
      </c>
      <c r="F610" s="97" t="n">
        <v>4.44</v>
      </c>
      <c r="G610" s="97" t="n">
        <v>1304975</v>
      </c>
      <c r="H610" s="97" t="n">
        <v>3.15</v>
      </c>
      <c r="I610" s="97" t="n">
        <v>22042</v>
      </c>
      <c r="J610" s="97" t="inlineStr">
        <is>
          <t>Y</t>
        </is>
      </c>
      <c r="K610" s="97" t="inlineStr">
        <is>
          <t>N</t>
        </is>
      </c>
      <c r="L610" s="97" t="inlineStr">
        <is>
          <t>N</t>
        </is>
      </c>
      <c r="M610" s="97" t="n">
        <v>44.1</v>
      </c>
      <c r="N610" s="97" t="inlineStr">
        <is>
          <t>N</t>
        </is>
      </c>
      <c r="O610" s="97" t="n">
        <v>111.31</v>
      </c>
      <c r="P610" s="97" t="inlineStr">
        <is>
          <t>Y</t>
        </is>
      </c>
      <c r="Q610" s="97" t="inlineStr">
        <is>
          <t>N/A</t>
        </is>
      </c>
      <c r="R610" s="97" t="inlineStr">
        <is>
          <t>N</t>
        </is>
      </c>
      <c r="S610" s="97" t="n">
        <v>-11.1</v>
      </c>
      <c r="T610" s="97" t="n">
        <v>-12.6</v>
      </c>
      <c r="U610" s="97" t="inlineStr">
        <is>
          <t>N</t>
        </is>
      </c>
      <c r="V610" s="97" t="n">
        <v>33.7</v>
      </c>
      <c r="W610" s="97" t="inlineStr">
        <is>
          <t>N/A</t>
        </is>
      </c>
      <c r="X610" s="97" t="n">
        <v>5.34</v>
      </c>
      <c r="Y610" s="97" t="n">
        <v>-22.6</v>
      </c>
      <c r="Z610" s="97" t="n">
        <v>2</v>
      </c>
      <c r="AA610" s="92" t="inlineStr">
        <is>
          <t>AVOID</t>
        </is>
      </c>
    </row>
    <row r="611">
      <c r="A611" s="99" t="inlineStr">
        <is>
          <t>JUBLFOOD</t>
        </is>
      </c>
      <c r="B611" s="99" t="inlineStr">
        <is>
          <t>Jubilant Foodworks Ltd.</t>
        </is>
      </c>
      <c r="C611" s="99" t="inlineStr">
        <is>
          <t>Consumer Services</t>
        </is>
      </c>
      <c r="D611" s="99" t="inlineStr">
        <is>
          <t>Large/Midcap</t>
        </is>
      </c>
      <c r="E611" s="99" t="n">
        <v>418.25</v>
      </c>
      <c r="F611" s="99" t="n">
        <v>1.44</v>
      </c>
      <c r="G611" s="99" t="n">
        <v>1545685</v>
      </c>
      <c r="H611" s="99" t="n">
        <v>1.63</v>
      </c>
      <c r="I611" s="99" t="n">
        <v>27507</v>
      </c>
      <c r="J611" s="99" t="inlineStr">
        <is>
          <t>Y</t>
        </is>
      </c>
      <c r="K611" s="99" t="inlineStr">
        <is>
          <t>N</t>
        </is>
      </c>
      <c r="L611" s="99" t="inlineStr">
        <is>
          <t>N</t>
        </is>
      </c>
      <c r="M611" s="99" t="n">
        <v>41.7</v>
      </c>
      <c r="N611" s="99" t="inlineStr">
        <is>
          <t>N</t>
        </is>
      </c>
      <c r="O611" s="99" t="n">
        <v>13.1</v>
      </c>
      <c r="P611" s="99" t="inlineStr">
        <is>
          <t>N</t>
        </is>
      </c>
      <c r="Q611" s="99" t="inlineStr">
        <is>
          <t>N/A</t>
        </is>
      </c>
      <c r="R611" s="99" t="inlineStr">
        <is>
          <t>N</t>
        </is>
      </c>
      <c r="S611" s="99" t="n">
        <v>0.2</v>
      </c>
      <c r="T611" s="99" t="n">
        <v>-13</v>
      </c>
      <c r="U611" s="99" t="inlineStr">
        <is>
          <t>N</t>
        </is>
      </c>
      <c r="V611" s="99" t="n">
        <v>73.5</v>
      </c>
      <c r="W611" s="99" t="n">
        <v>16.9</v>
      </c>
      <c r="X611" s="99" t="n">
        <v>2.65</v>
      </c>
      <c r="Y611" s="99" t="n">
        <v>12.5</v>
      </c>
      <c r="Z611" s="99" t="n">
        <v>3</v>
      </c>
      <c r="AA611" s="94" t="inlineStr">
        <is>
          <t>AVOID</t>
        </is>
      </c>
    </row>
    <row r="612">
      <c r="A612" s="97" t="inlineStr">
        <is>
          <t>SAPPHIRE</t>
        </is>
      </c>
      <c r="B612" s="97" t="inlineStr">
        <is>
          <t>Sapphire Foods India Ltd.</t>
        </is>
      </c>
      <c r="C612" s="97" t="inlineStr">
        <is>
          <t>Consumer Services</t>
        </is>
      </c>
      <c r="D612" s="97" t="inlineStr">
        <is>
          <t>Smallcap</t>
        </is>
      </c>
      <c r="E612" s="97" t="n">
        <v>179.12</v>
      </c>
      <c r="F612" s="97" t="n">
        <v>-0.47</v>
      </c>
      <c r="G612" s="97" t="n">
        <v>5304468</v>
      </c>
      <c r="H612" s="97" t="n">
        <v>8.140000000000001</v>
      </c>
      <c r="I612" s="97" t="n">
        <v>5763</v>
      </c>
      <c r="J612" s="97" t="inlineStr">
        <is>
          <t>Y</t>
        </is>
      </c>
      <c r="K612" s="97" t="inlineStr">
        <is>
          <t>N</t>
        </is>
      </c>
      <c r="L612" s="97" t="inlineStr">
        <is>
          <t>N</t>
        </is>
      </c>
      <c r="M612" s="97" t="n">
        <v>40.7</v>
      </c>
      <c r="N612" s="97" t="inlineStr">
        <is>
          <t>N</t>
        </is>
      </c>
      <c r="O612" s="97" t="n">
        <v>6.27</v>
      </c>
      <c r="P612" s="97" t="inlineStr">
        <is>
          <t>Y</t>
        </is>
      </c>
      <c r="Q612" s="97" t="inlineStr">
        <is>
          <t>N/A</t>
        </is>
      </c>
      <c r="R612" s="97" t="inlineStr">
        <is>
          <t>N</t>
        </is>
      </c>
      <c r="S612" s="97" t="n">
        <v>0.4</v>
      </c>
      <c r="T612" s="97" t="n">
        <v>-13.1</v>
      </c>
      <c r="U612" s="97" t="inlineStr">
        <is>
          <t>N</t>
        </is>
      </c>
      <c r="V612" s="97" t="inlineStr">
        <is>
          <t>N/A</t>
        </is>
      </c>
      <c r="W612" s="97" t="inlineStr">
        <is>
          <t>N/A</t>
        </is>
      </c>
      <c r="X612" s="97" t="n">
        <v>102.06</v>
      </c>
      <c r="Y612" s="97" t="n">
        <v>211.4</v>
      </c>
      <c r="Z612" s="97" t="n">
        <v>3</v>
      </c>
      <c r="AA612" s="92" t="inlineStr">
        <is>
          <t>AVOID</t>
        </is>
      </c>
    </row>
    <row r="613">
      <c r="A613" s="99" t="inlineStr">
        <is>
          <t>SARDAEN</t>
        </is>
      </c>
      <c r="B613" s="99" t="inlineStr">
        <is>
          <t>Sarda Energy and Minerals Ltd.</t>
        </is>
      </c>
      <c r="C613" s="99" t="inlineStr">
        <is>
          <t>Metals &amp; Mining</t>
        </is>
      </c>
      <c r="D613" s="99" t="inlineStr">
        <is>
          <t>Smallcap</t>
        </is>
      </c>
      <c r="E613" s="99" t="n">
        <v>502.25</v>
      </c>
      <c r="F613" s="99" t="n">
        <v>-0.04</v>
      </c>
      <c r="G613" s="99" t="n">
        <v>131350</v>
      </c>
      <c r="H613" s="99" t="n">
        <v>0.75</v>
      </c>
      <c r="I613" s="99" t="n">
        <v>17698</v>
      </c>
      <c r="J613" s="99" t="inlineStr">
        <is>
          <t>Y</t>
        </is>
      </c>
      <c r="K613" s="99" t="inlineStr">
        <is>
          <t>N</t>
        </is>
      </c>
      <c r="L613" s="99" t="inlineStr">
        <is>
          <t>N</t>
        </is>
      </c>
      <c r="M613" s="99" t="n">
        <v>47.9</v>
      </c>
      <c r="N613" s="99" t="inlineStr">
        <is>
          <t>N</t>
        </is>
      </c>
      <c r="O613" s="99" t="n">
        <v>11.5</v>
      </c>
      <c r="P613" s="99" t="inlineStr">
        <is>
          <t>N</t>
        </is>
      </c>
      <c r="Q613" s="99" t="inlineStr">
        <is>
          <t>N/A</t>
        </is>
      </c>
      <c r="R613" s="99" t="inlineStr">
        <is>
          <t>N</t>
        </is>
      </c>
      <c r="S613" s="99" t="n">
        <v>-2.6</v>
      </c>
      <c r="T613" s="99" t="n">
        <v>-14.8</v>
      </c>
      <c r="U613" s="99" t="inlineStr">
        <is>
          <t>N</t>
        </is>
      </c>
      <c r="V613" s="99" t="n">
        <v>16</v>
      </c>
      <c r="W613" s="99" t="n">
        <v>16</v>
      </c>
      <c r="X613" s="99" t="n">
        <v>35.2</v>
      </c>
      <c r="Y613" s="99" t="n">
        <v>-17</v>
      </c>
      <c r="Z613" s="99" t="n">
        <v>2</v>
      </c>
      <c r="AA613" s="94" t="inlineStr">
        <is>
          <t>AVOID</t>
        </is>
      </c>
    </row>
    <row r="614">
      <c r="A614" s="97" t="inlineStr">
        <is>
          <t>JINDALSTEL</t>
        </is>
      </c>
      <c r="B614" s="97" t="inlineStr">
        <is>
          <t>Jindal Steel Ltd.</t>
        </is>
      </c>
      <c r="C614" s="97" t="inlineStr">
        <is>
          <t>Metals &amp; Mining</t>
        </is>
      </c>
      <c r="D614" s="97" t="inlineStr">
        <is>
          <t>Large/Midcap</t>
        </is>
      </c>
      <c r="E614" s="97" t="n">
        <v>1035.8</v>
      </c>
      <c r="F614" s="97" t="n">
        <v>-0.59</v>
      </c>
      <c r="G614" s="97" t="n">
        <v>372876</v>
      </c>
      <c r="H614" s="97" t="n">
        <v>0.43</v>
      </c>
      <c r="I614" s="97" t="n">
        <v>105391</v>
      </c>
      <c r="J614" s="97" t="inlineStr">
        <is>
          <t>Y</t>
        </is>
      </c>
      <c r="K614" s="97" t="inlineStr">
        <is>
          <t>N</t>
        </is>
      </c>
      <c r="L614" s="97" t="inlineStr">
        <is>
          <t>N</t>
        </is>
      </c>
      <c r="M614" s="97" t="n">
        <v>42.1</v>
      </c>
      <c r="N614" s="97" t="inlineStr">
        <is>
          <t>N</t>
        </is>
      </c>
      <c r="O614" s="97" t="n">
        <v>23.72</v>
      </c>
      <c r="P614" s="97" t="inlineStr">
        <is>
          <t>N</t>
        </is>
      </c>
      <c r="Q614" s="97" t="inlineStr">
        <is>
          <t>N/A</t>
        </is>
      </c>
      <c r="R614" s="97" t="inlineStr">
        <is>
          <t>N</t>
        </is>
      </c>
      <c r="S614" s="97" t="n">
        <v>-1.2</v>
      </c>
      <c r="T614" s="97" t="n">
        <v>-15.1</v>
      </c>
      <c r="U614" s="97" t="inlineStr">
        <is>
          <t>N</t>
        </is>
      </c>
      <c r="V614" s="97" t="n">
        <v>38.8</v>
      </c>
      <c r="W614" s="97" t="inlineStr">
        <is>
          <t>N/A</t>
        </is>
      </c>
      <c r="X614" s="97" t="n">
        <v>43.61</v>
      </c>
      <c r="Y614" s="97" t="n">
        <v>448.6</v>
      </c>
      <c r="Z614" s="97" t="n">
        <v>2</v>
      </c>
      <c r="AA614" s="92" t="inlineStr">
        <is>
          <t>AVOID</t>
        </is>
      </c>
    </row>
    <row r="615">
      <c r="A615" s="99" t="inlineStr">
        <is>
          <t>NATCOPHARM</t>
        </is>
      </c>
      <c r="B615" s="99" t="inlineStr">
        <is>
          <t>NATCO Pharma Ltd.</t>
        </is>
      </c>
      <c r="C615" s="99" t="inlineStr">
        <is>
          <t>Healthcare</t>
        </is>
      </c>
      <c r="D615" s="99" t="inlineStr">
        <is>
          <t>Smallcap</t>
        </is>
      </c>
      <c r="E615" s="99" t="n">
        <v>921.45</v>
      </c>
      <c r="F615" s="99" t="n">
        <v>0.32</v>
      </c>
      <c r="G615" s="99" t="n">
        <v>211503</v>
      </c>
      <c r="H615" s="99" t="n">
        <v>0.63</v>
      </c>
      <c r="I615" s="99" t="n">
        <v>16504</v>
      </c>
      <c r="J615" s="99" t="inlineStr">
        <is>
          <t>Y</t>
        </is>
      </c>
      <c r="K615" s="99" t="inlineStr">
        <is>
          <t>N</t>
        </is>
      </c>
      <c r="L615" s="99" t="inlineStr">
        <is>
          <t>N</t>
        </is>
      </c>
      <c r="M615" s="99" t="n">
        <v>47.4</v>
      </c>
      <c r="N615" s="99" t="inlineStr">
        <is>
          <t>N</t>
        </is>
      </c>
      <c r="O615" s="99" t="n">
        <v>29.9</v>
      </c>
      <c r="P615" s="99" t="inlineStr">
        <is>
          <t>N</t>
        </is>
      </c>
      <c r="Q615" s="99" t="inlineStr">
        <is>
          <t>N/A</t>
        </is>
      </c>
      <c r="R615" s="99" t="inlineStr">
        <is>
          <t>N</t>
        </is>
      </c>
      <c r="S615" s="99" t="n">
        <v>3</v>
      </c>
      <c r="T615" s="99" t="n">
        <v>-15.2</v>
      </c>
      <c r="U615" s="99" t="inlineStr">
        <is>
          <t>N</t>
        </is>
      </c>
      <c r="V615" s="99" t="n">
        <v>11.6</v>
      </c>
      <c r="W615" s="99" t="n">
        <v>16.9</v>
      </c>
      <c r="X615" s="99" t="n">
        <v>7.74</v>
      </c>
      <c r="Y615" s="99" t="n">
        <v>76.8</v>
      </c>
      <c r="Z615" s="99" t="n">
        <v>3</v>
      </c>
      <c r="AA615" s="94" t="inlineStr">
        <is>
          <t>AVOID</t>
        </is>
      </c>
    </row>
    <row r="616">
      <c r="A616" s="97" t="inlineStr">
        <is>
          <t>TATAPOWER</t>
        </is>
      </c>
      <c r="B616" s="97" t="inlineStr">
        <is>
          <t>Tata Power Co. Ltd.</t>
        </is>
      </c>
      <c r="C616" s="97" t="inlineStr">
        <is>
          <t>Power</t>
        </is>
      </c>
      <c r="D616" s="97" t="inlineStr">
        <is>
          <t>Large/Midcap</t>
        </is>
      </c>
      <c r="E616" s="97" t="n">
        <v>374.4</v>
      </c>
      <c r="F616" s="97" t="n">
        <v>-0.47</v>
      </c>
      <c r="G616" s="97" t="n">
        <v>1700724</v>
      </c>
      <c r="H616" s="97" t="n">
        <v>0.74</v>
      </c>
      <c r="I616" s="97" t="n">
        <v>119634</v>
      </c>
      <c r="J616" s="97" t="inlineStr">
        <is>
          <t>Y</t>
        </is>
      </c>
      <c r="K616" s="97" t="inlineStr">
        <is>
          <t>N</t>
        </is>
      </c>
      <c r="L616" s="97" t="inlineStr">
        <is>
          <t>N</t>
        </is>
      </c>
      <c r="M616" s="97" t="n">
        <v>46.3</v>
      </c>
      <c r="N616" s="97" t="inlineStr">
        <is>
          <t>N</t>
        </is>
      </c>
      <c r="O616" s="97" t="n">
        <v>6.4</v>
      </c>
      <c r="P616" s="97" t="inlineStr">
        <is>
          <t>N</t>
        </is>
      </c>
      <c r="Q616" s="97" t="inlineStr">
        <is>
          <t>N/A</t>
        </is>
      </c>
      <c r="R616" s="97" t="inlineStr">
        <is>
          <t>N</t>
        </is>
      </c>
      <c r="S616" s="97" t="n">
        <v>-2.7</v>
      </c>
      <c r="T616" s="97" t="n">
        <v>-16</v>
      </c>
      <c r="U616" s="97" t="inlineStr">
        <is>
          <t>N</t>
        </is>
      </c>
      <c r="V616" s="97" t="n">
        <v>31.9</v>
      </c>
      <c r="W616" s="97" t="n">
        <v>11.3</v>
      </c>
      <c r="X616" s="97" t="n">
        <v>168.05</v>
      </c>
      <c r="Y616" s="97" t="n">
        <v>29</v>
      </c>
      <c r="Z616" s="97" t="n">
        <v>2</v>
      </c>
      <c r="AA616" s="92" t="inlineStr">
        <is>
          <t>AVOID</t>
        </is>
      </c>
    </row>
    <row r="617">
      <c r="A617" s="99" t="inlineStr">
        <is>
          <t>NATIONALUM</t>
        </is>
      </c>
      <c r="B617" s="99" t="inlineStr">
        <is>
          <t>National Aluminium Co. Ltd.</t>
        </is>
      </c>
      <c r="C617" s="99" t="inlineStr">
        <is>
          <t>Metals &amp; Mining</t>
        </is>
      </c>
      <c r="D617" s="99" t="inlineStr">
        <is>
          <t>Large/Midcap</t>
        </is>
      </c>
      <c r="E617" s="99" t="n">
        <v>343.9</v>
      </c>
      <c r="F617" s="99" t="n">
        <v>-0.61</v>
      </c>
      <c r="G617" s="99" t="n">
        <v>2253982</v>
      </c>
      <c r="H617" s="99" t="n">
        <v>0.5</v>
      </c>
      <c r="I617" s="99" t="n">
        <v>63162</v>
      </c>
      <c r="J617" s="99" t="inlineStr">
        <is>
          <t>Y</t>
        </is>
      </c>
      <c r="K617" s="99" t="inlineStr">
        <is>
          <t>N</t>
        </is>
      </c>
      <c r="L617" s="99" t="inlineStr">
        <is>
          <t>Y</t>
        </is>
      </c>
      <c r="M617" s="99" t="n">
        <v>44.5</v>
      </c>
      <c r="N617" s="99" t="inlineStr">
        <is>
          <t>N</t>
        </is>
      </c>
      <c r="O617" s="99" t="n">
        <v>10.05</v>
      </c>
      <c r="P617" s="99" t="inlineStr">
        <is>
          <t>N</t>
        </is>
      </c>
      <c r="Q617" s="99" t="inlineStr">
        <is>
          <t>N/A</t>
        </is>
      </c>
      <c r="R617" s="99" t="inlineStr">
        <is>
          <t>N</t>
        </is>
      </c>
      <c r="S617" s="99" t="n">
        <v>4.6</v>
      </c>
      <c r="T617" s="99" t="n">
        <v>-19.7</v>
      </c>
      <c r="U617" s="99" t="inlineStr">
        <is>
          <t>N</t>
        </is>
      </c>
      <c r="V617" s="99" t="n">
        <v>10.3</v>
      </c>
      <c r="W617" s="99" t="n">
        <v>29.4</v>
      </c>
      <c r="X617" s="99" t="n">
        <v>0.28</v>
      </c>
      <c r="Y617" s="99" t="n">
        <v>11.6</v>
      </c>
      <c r="Z617" s="99" t="n">
        <v>4</v>
      </c>
      <c r="AA617" s="94" t="inlineStr">
        <is>
          <t>AVOID</t>
        </is>
      </c>
    </row>
    <row r="618">
      <c r="A618" s="97" t="inlineStr">
        <is>
          <t>KAYNES</t>
        </is>
      </c>
      <c r="B618" s="97" t="inlineStr">
        <is>
          <t>Kaynes Technology India Ltd.</t>
        </is>
      </c>
      <c r="C618" s="97" t="inlineStr">
        <is>
          <t>Capital Goods</t>
        </is>
      </c>
      <c r="D618" s="97" t="inlineStr">
        <is>
          <t>Smallcap</t>
        </is>
      </c>
      <c r="E618" s="97" t="n">
        <v>3176.2</v>
      </c>
      <c r="F618" s="97" t="n">
        <v>-1.98</v>
      </c>
      <c r="G618" s="97" t="n">
        <v>887346</v>
      </c>
      <c r="H618" s="97" t="n">
        <v>1.67</v>
      </c>
      <c r="I618" s="97" t="n">
        <v>21292</v>
      </c>
      <c r="J618" s="97" t="inlineStr">
        <is>
          <t>Y</t>
        </is>
      </c>
      <c r="K618" s="97" t="inlineStr">
        <is>
          <t>N</t>
        </is>
      </c>
      <c r="L618" s="97" t="inlineStr">
        <is>
          <t>N</t>
        </is>
      </c>
      <c r="M618" s="97" t="n">
        <v>40.1</v>
      </c>
      <c r="N618" s="97" t="inlineStr">
        <is>
          <t>N</t>
        </is>
      </c>
      <c r="O618" s="97" t="n">
        <v>105.98</v>
      </c>
      <c r="P618" s="97" t="inlineStr">
        <is>
          <t>N</t>
        </is>
      </c>
      <c r="Q618" s="97" t="inlineStr">
        <is>
          <t>N/A</t>
        </is>
      </c>
      <c r="R618" s="97" t="inlineStr">
        <is>
          <t>N</t>
        </is>
      </c>
      <c r="S618" s="97" t="n">
        <v>-1.7</v>
      </c>
      <c r="T618" s="97" t="n">
        <v>-22.2</v>
      </c>
      <c r="U618" s="97" t="inlineStr">
        <is>
          <t>N</t>
        </is>
      </c>
      <c r="V618" s="97" t="n">
        <v>58.5</v>
      </c>
      <c r="W618" s="97" t="n">
        <v>9.6</v>
      </c>
      <c r="X618" s="97" t="n">
        <v>19.17</v>
      </c>
      <c r="Y618" s="97" t="n">
        <v>19</v>
      </c>
      <c r="Z618" s="97" t="n">
        <v>2</v>
      </c>
      <c r="AA618" s="92" t="inlineStr">
        <is>
          <t>AVOID</t>
        </is>
      </c>
    </row>
    <row r="619">
      <c r="A619" s="99" t="inlineStr">
        <is>
          <t>JAINREC</t>
        </is>
      </c>
      <c r="B619" s="99" t="inlineStr">
        <is>
          <t>Jain Resource Recycling Ltd.</t>
        </is>
      </c>
      <c r="C619" s="99" t="inlineStr">
        <is>
          <t>Metals &amp; Mining</t>
        </is>
      </c>
      <c r="D619" s="99" t="inlineStr">
        <is>
          <t>Smallcap</t>
        </is>
      </c>
      <c r="E619" s="99" t="n">
        <v>341</v>
      </c>
      <c r="F619" s="99" t="n">
        <v>1.1</v>
      </c>
      <c r="G619" s="99" t="n">
        <v>927914</v>
      </c>
      <c r="H619" s="99" t="n">
        <v>1.09</v>
      </c>
      <c r="I619" s="99" t="n">
        <v>11767</v>
      </c>
      <c r="J619" s="99" t="inlineStr">
        <is>
          <t>Y</t>
        </is>
      </c>
      <c r="K619" s="99" t="inlineStr">
        <is>
          <t>N</t>
        </is>
      </c>
      <c r="L619" s="99" t="inlineStr">
        <is>
          <t>N</t>
        </is>
      </c>
      <c r="M619" s="99" t="n">
        <v>41.5</v>
      </c>
      <c r="N619" s="99" t="inlineStr">
        <is>
          <t>N</t>
        </is>
      </c>
      <c r="O619" s="99" t="n">
        <v>13.55</v>
      </c>
      <c r="P619" s="99" t="inlineStr">
        <is>
          <t>N</t>
        </is>
      </c>
      <c r="Q619" s="99" t="inlineStr">
        <is>
          <t>N/A</t>
        </is>
      </c>
      <c r="R619" s="99" t="inlineStr">
        <is>
          <t>N</t>
        </is>
      </c>
      <c r="S619" s="99" t="n">
        <v>-1.4</v>
      </c>
      <c r="T619" s="99" t="n">
        <v>-25.4</v>
      </c>
      <c r="U619" s="99" t="inlineStr">
        <is>
          <t>N</t>
        </is>
      </c>
      <c r="V619" s="99" t="n">
        <v>32.8</v>
      </c>
      <c r="W619" s="99" t="n">
        <v>28.7</v>
      </c>
      <c r="X619" s="99" t="n">
        <v>81.89</v>
      </c>
      <c r="Y619" s="99" t="n">
        <v>-48.2</v>
      </c>
      <c r="Z619" s="99" t="n">
        <v>2</v>
      </c>
      <c r="AA619" s="94" t="inlineStr">
        <is>
          <t>AVOID</t>
        </is>
      </c>
    </row>
    <row r="620">
      <c r="A620" s="97" t="inlineStr">
        <is>
          <t>PINELABS</t>
        </is>
      </c>
      <c r="B620" s="97" t="inlineStr">
        <is>
          <t>Pine Labs Ltd.</t>
        </is>
      </c>
      <c r="C620" s="97" t="inlineStr">
        <is>
          <t>Financial Services</t>
        </is>
      </c>
      <c r="D620" s="97" t="inlineStr">
        <is>
          <t>Smallcap</t>
        </is>
      </c>
      <c r="E620" s="97" t="n">
        <v>145.67</v>
      </c>
      <c r="F620" s="97" t="n">
        <v>-1.23</v>
      </c>
      <c r="G620" s="97" t="n">
        <v>7741143</v>
      </c>
      <c r="H620" s="97" t="n">
        <v>0.76</v>
      </c>
      <c r="I620" s="97" t="n">
        <v>16808</v>
      </c>
      <c r="J620" s="97" t="inlineStr">
        <is>
          <t>Y</t>
        </is>
      </c>
      <c r="K620" s="97" t="inlineStr">
        <is>
          <t>N</t>
        </is>
      </c>
      <c r="L620" s="97" t="inlineStr">
        <is>
          <t>N/A</t>
        </is>
      </c>
      <c r="M620" s="97" t="n">
        <v>43</v>
      </c>
      <c r="N620" s="97" t="inlineStr">
        <is>
          <t>N</t>
        </is>
      </c>
      <c r="O620" s="97" t="n">
        <v>5.63</v>
      </c>
      <c r="P620" s="97" t="inlineStr">
        <is>
          <t>N</t>
        </is>
      </c>
      <c r="Q620" s="97" t="inlineStr">
        <is>
          <t>N/A</t>
        </is>
      </c>
      <c r="R620" s="97" t="inlineStr">
        <is>
          <t>N</t>
        </is>
      </c>
      <c r="S620" s="97" t="n">
        <v>-7.9</v>
      </c>
      <c r="T620" s="97" t="n">
        <v>-25.5</v>
      </c>
      <c r="U620" s="97" t="inlineStr">
        <is>
          <t>N</t>
        </is>
      </c>
      <c r="V620" s="97" t="n">
        <v>142.8</v>
      </c>
      <c r="W620" s="97" t="n">
        <v>2.4</v>
      </c>
      <c r="X620" s="97" t="n">
        <v>7.47</v>
      </c>
      <c r="Y620" s="97" t="n">
        <v>40</v>
      </c>
      <c r="Z620" s="97" t="n">
        <v>2</v>
      </c>
      <c r="AA620" s="92" t="inlineStr">
        <is>
          <t>AVOID</t>
        </is>
      </c>
    </row>
    <row r="622">
      <c r="A622" s="89" t="inlineStr">
        <is>
          <t>TOP CANDIDATES — DEEP DIVE (trend, entry/stop/targets) — top 25</t>
        </is>
      </c>
    </row>
    <row r="623" ht="32" customHeight="1" s="45">
      <c r="A623" s="90" t="inlineStr">
        <is>
          <t>Symbol</t>
        </is>
      </c>
      <c r="B623" s="90" t="inlineStr">
        <is>
          <t>Name</t>
        </is>
      </c>
      <c r="C623" s="90" t="inlineStr">
        <is>
          <t>Cap Segment</t>
        </is>
      </c>
      <c r="D623" s="90" t="inlineStr">
        <is>
          <t>Close</t>
        </is>
      </c>
      <c r="E623" s="90" t="inlineStr">
        <is>
          <t>Score</t>
        </is>
      </c>
      <c r="F623" s="90" t="inlineStr">
        <is>
          <t>Verdict</t>
        </is>
      </c>
      <c r="G623" s="90" t="inlineStr">
        <is>
          <t>Vol Ratio (vs 3d avg)</t>
        </is>
      </c>
      <c r="H623" s="90" t="inlineStr">
        <is>
          <t>ADX(14)</t>
        </is>
      </c>
      <c r="I623" s="90" t="inlineStr">
        <is>
          <t>Trend Strength</t>
        </is>
      </c>
      <c r="J623" s="90" t="inlineStr">
        <is>
          <t>Trend Direction</t>
        </is>
      </c>
      <c r="K623" s="90" t="inlineStr">
        <is>
          <t>20d Slope %/day</t>
        </is>
      </c>
      <c r="L623" s="90" t="inlineStr">
        <is>
          <t>Trend R^2</t>
        </is>
      </c>
      <c r="M623" s="90" t="inlineStr">
        <is>
          <t>Entry</t>
        </is>
      </c>
      <c r="N623" s="90" t="inlineStr">
        <is>
          <t>Stop Loss</t>
        </is>
      </c>
      <c r="O623" s="90" t="inlineStr">
        <is>
          <t>Target 1</t>
        </is>
      </c>
      <c r="P623" s="90" t="inlineStr">
        <is>
          <t>Target 2</t>
        </is>
      </c>
      <c r="Q623" s="90" t="inlineStr">
        <is>
          <t>Risk:Reward T1/T2</t>
        </is>
      </c>
    </row>
    <row r="624">
      <c r="A624" s="97" t="inlineStr">
        <is>
          <t>NUVAMA</t>
        </is>
      </c>
      <c r="B624" s="97" t="inlineStr">
        <is>
          <t>Nuvama Wealth Management Ltd.</t>
        </is>
      </c>
      <c r="C624" s="97" t="inlineStr">
        <is>
          <t>Smallcap</t>
        </is>
      </c>
      <c r="D624" s="97" t="n">
        <v>1980.1</v>
      </c>
      <c r="E624" s="97" t="n">
        <v>8</v>
      </c>
      <c r="F624" s="97" t="inlineStr">
        <is>
          <t>STRONG SETUP</t>
        </is>
      </c>
      <c r="G624" s="97" t="n">
        <v>7.9</v>
      </c>
      <c r="H624" s="97" t="n">
        <v>45.6</v>
      </c>
      <c r="I624" s="97" t="inlineStr">
        <is>
          <t>Strong</t>
        </is>
      </c>
      <c r="J624" s="97" t="inlineStr">
        <is>
          <t>Uptrend</t>
        </is>
      </c>
      <c r="K624" s="97" t="n">
        <v>0.33</v>
      </c>
      <c r="L624" s="97" t="n">
        <v>0.37</v>
      </c>
      <c r="M624" s="97" t="n">
        <v>1980.1</v>
      </c>
      <c r="N624" s="97" t="n">
        <v>1865.71</v>
      </c>
      <c r="O624" s="97" t="n">
        <v>2094.49</v>
      </c>
      <c r="P624" s="97" t="n">
        <v>2208.87</v>
      </c>
      <c r="Q624" s="97" t="inlineStr">
        <is>
          <t>1:1 / 1:2</t>
        </is>
      </c>
    </row>
    <row r="625">
      <c r="A625" s="99" t="inlineStr">
        <is>
          <t>RRKABEL</t>
        </is>
      </c>
      <c r="B625" s="99" t="inlineStr">
        <is>
          <t>R R Kabel Ltd.</t>
        </is>
      </c>
      <c r="C625" s="99" t="inlineStr">
        <is>
          <t>Smallcap</t>
        </is>
      </c>
      <c r="D625" s="99" t="n">
        <v>2493.6</v>
      </c>
      <c r="E625" s="99" t="n">
        <v>8</v>
      </c>
      <c r="F625" s="99" t="inlineStr">
        <is>
          <t>STRONG SETUP</t>
        </is>
      </c>
      <c r="G625" s="99" t="n">
        <v>1.33</v>
      </c>
      <c r="H625" s="99" t="n">
        <v>13.8</v>
      </c>
      <c r="I625" s="99" t="inlineStr">
        <is>
          <t>Weak / Range-bound</t>
        </is>
      </c>
      <c r="J625" s="99" t="inlineStr">
        <is>
          <t>Uptrend</t>
        </is>
      </c>
      <c r="K625" s="99" t="n">
        <v>0.07000000000000001</v>
      </c>
      <c r="L625" s="99" t="n">
        <v>0.01</v>
      </c>
      <c r="M625" s="99" t="n">
        <v>2493.6</v>
      </c>
      <c r="N625" s="99" t="n">
        <v>2328.71</v>
      </c>
      <c r="O625" s="99" t="n">
        <v>2658.49</v>
      </c>
      <c r="P625" s="99" t="n">
        <v>2823.39</v>
      </c>
      <c r="Q625" s="99" t="inlineStr">
        <is>
          <t>1:1 / 1:2</t>
        </is>
      </c>
    </row>
    <row r="626">
      <c r="A626" s="97" t="inlineStr">
        <is>
          <t>ACE</t>
        </is>
      </c>
      <c r="B626" s="97" t="inlineStr">
        <is>
          <t>Action Construction Equipment Ltd.</t>
        </is>
      </c>
      <c r="C626" s="97" t="inlineStr">
        <is>
          <t>Smallcap</t>
        </is>
      </c>
      <c r="D626" s="97" t="n">
        <v>1039.4</v>
      </c>
      <c r="E626" s="97" t="n">
        <v>7</v>
      </c>
      <c r="F626" s="97" t="inlineStr">
        <is>
          <t>STRONG SETUP</t>
        </is>
      </c>
      <c r="G626" s="97" t="n">
        <v>0.87</v>
      </c>
      <c r="H626" s="97" t="n">
        <v>18.7</v>
      </c>
      <c r="I626" s="97" t="inlineStr">
        <is>
          <t>Weak / Range-bound</t>
        </is>
      </c>
      <c r="J626" s="97" t="inlineStr">
        <is>
          <t>Uptrend</t>
        </is>
      </c>
      <c r="K626" s="97" t="n">
        <v>0.05</v>
      </c>
      <c r="L626" s="97" t="n">
        <v>0.02</v>
      </c>
      <c r="M626" s="97" t="n">
        <v>1039.4</v>
      </c>
      <c r="N626" s="97" t="n">
        <v>980.08</v>
      </c>
      <c r="O626" s="97" t="n">
        <v>1098.73</v>
      </c>
      <c r="P626" s="97" t="n">
        <v>1158.05</v>
      </c>
      <c r="Q626" s="97" t="inlineStr">
        <is>
          <t>1:1 / 1:2</t>
        </is>
      </c>
    </row>
    <row r="627">
      <c r="A627" s="99" t="inlineStr">
        <is>
          <t>BAJFINANCE</t>
        </is>
      </c>
      <c r="B627" s="99" t="inlineStr">
        <is>
          <t>Bajaj Finance Ltd.</t>
        </is>
      </c>
      <c r="C627" s="99" t="inlineStr">
        <is>
          <t>Large/Midcap</t>
        </is>
      </c>
      <c r="D627" s="99" t="n">
        <v>1012.8</v>
      </c>
      <c r="E627" s="99" t="n">
        <v>7</v>
      </c>
      <c r="F627" s="99" t="inlineStr">
        <is>
          <t>STRONG SETUP</t>
        </is>
      </c>
      <c r="G627" s="99" t="n">
        <v>2.54</v>
      </c>
      <c r="H627" s="99" t="n">
        <v>44.4</v>
      </c>
      <c r="I627" s="99" t="inlineStr">
        <is>
          <t>Strong</t>
        </is>
      </c>
      <c r="J627" s="99" t="inlineStr">
        <is>
          <t>Uptrend</t>
        </is>
      </c>
      <c r="K627" s="99" t="n">
        <v>0.24</v>
      </c>
      <c r="L627" s="99" t="n">
        <v>0.38</v>
      </c>
      <c r="M627" s="99" t="n">
        <v>1012.8</v>
      </c>
      <c r="N627" s="99" t="n">
        <v>975.09</v>
      </c>
      <c r="O627" s="99" t="n">
        <v>1050.51</v>
      </c>
      <c r="P627" s="99" t="n">
        <v>1088.23</v>
      </c>
      <c r="Q627" s="99" t="inlineStr">
        <is>
          <t>1:1 / 1:2</t>
        </is>
      </c>
    </row>
    <row r="628">
      <c r="A628" s="97" t="inlineStr">
        <is>
          <t>BLUEJET</t>
        </is>
      </c>
      <c r="B628" s="97" t="inlineStr">
        <is>
          <t>Blue Jet Healthcare Ltd.</t>
        </is>
      </c>
      <c r="C628" s="97" t="inlineStr">
        <is>
          <t>Smallcap</t>
        </is>
      </c>
      <c r="D628" s="97" t="n">
        <v>566.9</v>
      </c>
      <c r="E628" s="97" t="n">
        <v>7</v>
      </c>
      <c r="F628" s="97" t="inlineStr">
        <is>
          <t>STRONG SETUP</t>
        </is>
      </c>
      <c r="G628" s="97" t="n">
        <v>2.45</v>
      </c>
      <c r="H628" s="97" t="n">
        <v>56.4</v>
      </c>
      <c r="I628" s="97" t="inlineStr">
        <is>
          <t>Strong</t>
        </is>
      </c>
      <c r="J628" s="97" t="inlineStr">
        <is>
          <t>Uptrend</t>
        </is>
      </c>
      <c r="K628" s="97" t="n">
        <v>0.48</v>
      </c>
      <c r="L628" s="97" t="n">
        <v>0.37</v>
      </c>
      <c r="M628" s="97" t="n">
        <v>566.9</v>
      </c>
      <c r="N628" s="97" t="n">
        <v>530.51</v>
      </c>
      <c r="O628" s="97" t="n">
        <v>603.29</v>
      </c>
      <c r="P628" s="97" t="n">
        <v>639.67</v>
      </c>
      <c r="Q628" s="97" t="inlineStr">
        <is>
          <t>1:1 / 1:2</t>
        </is>
      </c>
    </row>
    <row r="629">
      <c r="A629" s="99" t="inlineStr">
        <is>
          <t>CUMMINSIND</t>
        </is>
      </c>
      <c r="B629" s="99" t="inlineStr">
        <is>
          <t>Cummins India Ltd.</t>
        </is>
      </c>
      <c r="C629" s="99" t="inlineStr">
        <is>
          <t>Large/Midcap</t>
        </is>
      </c>
      <c r="D629" s="99" t="n">
        <v>5600.5</v>
      </c>
      <c r="E629" s="99" t="n">
        <v>7</v>
      </c>
      <c r="F629" s="99" t="inlineStr">
        <is>
          <t>STRONG SETUP</t>
        </is>
      </c>
      <c r="G629" s="99" t="n">
        <v>1.14</v>
      </c>
      <c r="H629" s="99" t="n">
        <v>35.9</v>
      </c>
      <c r="I629" s="99" t="inlineStr">
        <is>
          <t>Moderate</t>
        </is>
      </c>
      <c r="J629" s="99" t="inlineStr">
        <is>
          <t>Uptrend</t>
        </is>
      </c>
      <c r="K629" s="99" t="n">
        <v>0.04</v>
      </c>
      <c r="L629" s="99" t="n">
        <v>0.04</v>
      </c>
      <c r="M629" s="99" t="n">
        <v>5600.5</v>
      </c>
      <c r="N629" s="99" t="n">
        <v>5411.47</v>
      </c>
      <c r="O629" s="99" t="n">
        <v>5789.53</v>
      </c>
      <c r="P629" s="99" t="n">
        <v>5978.57</v>
      </c>
      <c r="Q629" s="99" t="inlineStr">
        <is>
          <t>1:1 / 1:2</t>
        </is>
      </c>
    </row>
    <row r="630">
      <c r="A630" s="97" t="inlineStr">
        <is>
          <t>LALPATHLAB</t>
        </is>
      </c>
      <c r="B630" s="97" t="inlineStr">
        <is>
          <t>Dr. Lal Path Labs Ltd.</t>
        </is>
      </c>
      <c r="C630" s="97" t="inlineStr">
        <is>
          <t>Smallcap</t>
        </is>
      </c>
      <c r="D630" s="97" t="n">
        <v>1759.2</v>
      </c>
      <c r="E630" s="97" t="n">
        <v>7</v>
      </c>
      <c r="F630" s="97" t="inlineStr">
        <is>
          <t>STRONG SETUP</t>
        </is>
      </c>
      <c r="G630" s="97" t="n">
        <v>9.19</v>
      </c>
      <c r="H630" s="97" t="n">
        <v>19.8</v>
      </c>
      <c r="I630" s="97" t="inlineStr">
        <is>
          <t>Weak / Range-bound</t>
        </is>
      </c>
      <c r="J630" s="97" t="inlineStr">
        <is>
          <t>Uptrend</t>
        </is>
      </c>
      <c r="K630" s="97" t="n">
        <v>0.27</v>
      </c>
      <c r="L630" s="97" t="n">
        <v>0.55</v>
      </c>
      <c r="M630" s="97" t="n">
        <v>1759.2</v>
      </c>
      <c r="N630" s="97" t="n">
        <v>1677.34</v>
      </c>
      <c r="O630" s="97" t="n">
        <v>1841.06</v>
      </c>
      <c r="P630" s="97" t="n">
        <v>1922.91</v>
      </c>
      <c r="Q630" s="97" t="inlineStr">
        <is>
          <t>1:1 / 1:2</t>
        </is>
      </c>
    </row>
    <row r="631">
      <c r="A631" s="99" t="inlineStr">
        <is>
          <t>EICHERMOT</t>
        </is>
      </c>
      <c r="B631" s="99" t="inlineStr">
        <is>
          <t>Eicher Motors Ltd.</t>
        </is>
      </c>
      <c r="C631" s="99" t="inlineStr">
        <is>
          <t>Large/Midcap</t>
        </is>
      </c>
      <c r="D631" s="99" t="n">
        <v>7628</v>
      </c>
      <c r="E631" s="99" t="n">
        <v>7</v>
      </c>
      <c r="F631" s="99" t="inlineStr">
        <is>
          <t>STRONG SETUP</t>
        </is>
      </c>
      <c r="G631" s="99" t="n">
        <v>0.95</v>
      </c>
      <c r="H631" s="99" t="n">
        <v>25.3</v>
      </c>
      <c r="I631" s="99" t="inlineStr">
        <is>
          <t>Moderate</t>
        </is>
      </c>
      <c r="J631" s="99" t="inlineStr">
        <is>
          <t>Uptrend</t>
        </is>
      </c>
      <c r="K631" s="99" t="n">
        <v>0.3</v>
      </c>
      <c r="L631" s="99" t="n">
        <v>0.58</v>
      </c>
      <c r="M631" s="99" t="n">
        <v>7628</v>
      </c>
      <c r="N631" s="99" t="n">
        <v>7410.66</v>
      </c>
      <c r="O631" s="99" t="n">
        <v>7845.34</v>
      </c>
      <c r="P631" s="99" t="n">
        <v>8062.68</v>
      </c>
      <c r="Q631" s="99" t="inlineStr">
        <is>
          <t>1:1 / 1:2</t>
        </is>
      </c>
    </row>
    <row r="632">
      <c r="A632" s="97" t="inlineStr">
        <is>
          <t>EMCURE</t>
        </is>
      </c>
      <c r="B632" s="97" t="inlineStr">
        <is>
          <t>Emcure Pharmaceuticals Ltd.</t>
        </is>
      </c>
      <c r="C632" s="97" t="inlineStr">
        <is>
          <t>Smallcap</t>
        </is>
      </c>
      <c r="D632" s="97" t="n">
        <v>1881</v>
      </c>
      <c r="E632" s="97" t="n">
        <v>7</v>
      </c>
      <c r="F632" s="97" t="inlineStr">
        <is>
          <t>STRONG SETUP</t>
        </is>
      </c>
      <c r="G632" s="97" t="n">
        <v>0.41</v>
      </c>
      <c r="H632" s="97" t="n">
        <v>32.1</v>
      </c>
      <c r="I632" s="97" t="inlineStr">
        <is>
          <t>Moderate</t>
        </is>
      </c>
      <c r="J632" s="97" t="inlineStr">
        <is>
          <t>Uptrend</t>
        </is>
      </c>
      <c r="K632" s="97" t="n">
        <v>0.09</v>
      </c>
      <c r="L632" s="97" t="n">
        <v>0.07000000000000001</v>
      </c>
      <c r="M632" s="97" t="n">
        <v>1881</v>
      </c>
      <c r="N632" s="97" t="n">
        <v>1798.68</v>
      </c>
      <c r="O632" s="97" t="n">
        <v>1963.32</v>
      </c>
      <c r="P632" s="97" t="n">
        <v>2045.64</v>
      </c>
      <c r="Q632" s="97" t="inlineStr">
        <is>
          <t>1:1 / 1:2</t>
        </is>
      </c>
    </row>
    <row r="633">
      <c r="A633" s="99" t="inlineStr">
        <is>
          <t>MEDANTA</t>
        </is>
      </c>
      <c r="B633" s="99" t="inlineStr">
        <is>
          <t>Global Health Ltd.</t>
        </is>
      </c>
      <c r="C633" s="99" t="inlineStr">
        <is>
          <t>Large/Midcap</t>
        </is>
      </c>
      <c r="D633" s="99" t="n">
        <v>1371</v>
      </c>
      <c r="E633" s="99" t="n">
        <v>7</v>
      </c>
      <c r="F633" s="99" t="inlineStr">
        <is>
          <t>STRONG SETUP</t>
        </is>
      </c>
      <c r="G633" s="99" t="n">
        <v>0.29</v>
      </c>
      <c r="H633" s="99" t="n">
        <v>22.8</v>
      </c>
      <c r="I633" s="99" t="inlineStr">
        <is>
          <t>Moderate</t>
        </is>
      </c>
      <c r="J633" s="99" t="inlineStr">
        <is>
          <t>Uptrend</t>
        </is>
      </c>
      <c r="K633" s="99" t="n">
        <v>0.13</v>
      </c>
      <c r="L633" s="99" t="n">
        <v>0.27</v>
      </c>
      <c r="M633" s="99" t="n">
        <v>1371</v>
      </c>
      <c r="N633" s="99" t="n">
        <v>1319.56</v>
      </c>
      <c r="O633" s="99" t="n">
        <v>1422.44</v>
      </c>
      <c r="P633" s="99" t="n">
        <v>1473.88</v>
      </c>
      <c r="Q633" s="99" t="inlineStr">
        <is>
          <t>1:1 / 1:2</t>
        </is>
      </c>
    </row>
    <row r="634">
      <c r="A634" s="97" t="inlineStr">
        <is>
          <t>HAL</t>
        </is>
      </c>
      <c r="B634" s="97" t="inlineStr">
        <is>
          <t>Hindustan Aeronautics Ltd.</t>
        </is>
      </c>
      <c r="C634" s="97" t="inlineStr">
        <is>
          <t>Large/Midcap</t>
        </is>
      </c>
      <c r="D634" s="97" t="n">
        <v>4573.4</v>
      </c>
      <c r="E634" s="97" t="n">
        <v>7</v>
      </c>
      <c r="F634" s="97" t="inlineStr">
        <is>
          <t>STRONG SETUP</t>
        </is>
      </c>
      <c r="G634" s="97" t="n">
        <v>0.6</v>
      </c>
      <c r="H634" s="97" t="n">
        <v>16.2</v>
      </c>
      <c r="I634" s="97" t="inlineStr">
        <is>
          <t>Weak / Range-bound</t>
        </is>
      </c>
      <c r="J634" s="97" t="inlineStr">
        <is>
          <t>Uptrend</t>
        </is>
      </c>
      <c r="K634" s="97" t="n">
        <v>0.23</v>
      </c>
      <c r="L634" s="97" t="n">
        <v>0.66</v>
      </c>
      <c r="M634" s="97" t="n">
        <v>4573.4</v>
      </c>
      <c r="N634" s="97" t="n">
        <v>4441.55</v>
      </c>
      <c r="O634" s="97" t="n">
        <v>4705.25</v>
      </c>
      <c r="P634" s="97" t="n">
        <v>4837.1</v>
      </c>
      <c r="Q634" s="97" t="inlineStr">
        <is>
          <t>1:1 / 1:2</t>
        </is>
      </c>
    </row>
    <row r="635">
      <c r="A635" s="99" t="inlineStr">
        <is>
          <t>ICICIBANK</t>
        </is>
      </c>
      <c r="B635" s="99" t="inlineStr">
        <is>
          <t>ICICI Bank Ltd.</t>
        </is>
      </c>
      <c r="C635" s="99" t="inlineStr">
        <is>
          <t>Large/Midcap</t>
        </is>
      </c>
      <c r="D635" s="99" t="n">
        <v>1432.9</v>
      </c>
      <c r="E635" s="99" t="n">
        <v>7</v>
      </c>
      <c r="F635" s="99" t="inlineStr">
        <is>
          <t>STRONG SETUP</t>
        </is>
      </c>
      <c r="G635" s="99" t="n">
        <v>0.84</v>
      </c>
      <c r="H635" s="99" t="n">
        <v>28.9</v>
      </c>
      <c r="I635" s="99" t="inlineStr">
        <is>
          <t>Moderate</t>
        </is>
      </c>
      <c r="J635" s="99" t="inlineStr">
        <is>
          <t>Uptrend</t>
        </is>
      </c>
      <c r="K635" s="99" t="n">
        <v>0.24</v>
      </c>
      <c r="L635" s="99" t="n">
        <v>0.6</v>
      </c>
      <c r="M635" s="99" t="n">
        <v>1432.9</v>
      </c>
      <c r="N635" s="99" t="n">
        <v>1393.24</v>
      </c>
      <c r="O635" s="99" t="n">
        <v>1472.56</v>
      </c>
      <c r="P635" s="99" t="n">
        <v>1512.23</v>
      </c>
      <c r="Q635" s="99" t="inlineStr">
        <is>
          <t>1:1 / 1:2</t>
        </is>
      </c>
    </row>
    <row r="636">
      <c r="A636" s="97" t="inlineStr">
        <is>
          <t>J&amp;KBANK</t>
        </is>
      </c>
      <c r="B636" s="97" t="inlineStr">
        <is>
          <t>Jammu &amp; Kashmir Bank Ltd.</t>
        </is>
      </c>
      <c r="C636" s="97" t="inlineStr">
        <is>
          <t>Smallcap</t>
        </is>
      </c>
      <c r="D636" s="97" t="n">
        <v>172.57</v>
      </c>
      <c r="E636" s="97" t="n">
        <v>7</v>
      </c>
      <c r="F636" s="97" t="inlineStr">
        <is>
          <t>STRONG SETUP</t>
        </is>
      </c>
      <c r="G636" s="97" t="n">
        <v>0.38</v>
      </c>
      <c r="H636" s="97" t="n">
        <v>49.6</v>
      </c>
      <c r="I636" s="97" t="inlineStr">
        <is>
          <t>Strong</t>
        </is>
      </c>
      <c r="J636" s="97" t="inlineStr">
        <is>
          <t>Uptrend</t>
        </is>
      </c>
      <c r="K636" s="97" t="n">
        <v>0.78</v>
      </c>
      <c r="L636" s="97" t="n">
        <v>0.55</v>
      </c>
      <c r="M636" s="97" t="n">
        <v>172.57</v>
      </c>
      <c r="N636" s="97" t="n">
        <v>158.41</v>
      </c>
      <c r="O636" s="97" t="n">
        <v>186.73</v>
      </c>
      <c r="P636" s="97" t="n">
        <v>200.88</v>
      </c>
      <c r="Q636" s="97" t="inlineStr">
        <is>
          <t>1:1 / 1:2</t>
        </is>
      </c>
    </row>
    <row r="637">
      <c r="A637" s="99" t="inlineStr">
        <is>
          <t>RAINBOW</t>
        </is>
      </c>
      <c r="B637" s="99" t="inlineStr">
        <is>
          <t>Rainbow Childrens Medicare Ltd.</t>
        </is>
      </c>
      <c r="C637" s="99" t="inlineStr">
        <is>
          <t>Smallcap</t>
        </is>
      </c>
      <c r="D637" s="99" t="n">
        <v>1457.8</v>
      </c>
      <c r="E637" s="99" t="n">
        <v>7</v>
      </c>
      <c r="F637" s="99" t="inlineStr">
        <is>
          <t>STRONG SETUP</t>
        </is>
      </c>
      <c r="G637" s="99" t="n">
        <v>0.87</v>
      </c>
      <c r="H637" s="99" t="n">
        <v>18</v>
      </c>
      <c r="I637" s="99" t="inlineStr">
        <is>
          <t>Weak / Range-bound</t>
        </is>
      </c>
      <c r="J637" s="99" t="inlineStr">
        <is>
          <t>Uptrend</t>
        </is>
      </c>
      <c r="K637" s="99" t="n">
        <v>0.3</v>
      </c>
      <c r="L637" s="99" t="n">
        <v>0.66</v>
      </c>
      <c r="M637" s="99" t="n">
        <v>1457.8</v>
      </c>
      <c r="N637" s="99" t="n">
        <v>1397</v>
      </c>
      <c r="O637" s="99" t="n">
        <v>1518.6</v>
      </c>
      <c r="P637" s="99" t="n">
        <v>1579.4</v>
      </c>
      <c r="Q637" s="99" t="inlineStr">
        <is>
          <t>1:1 / 1:2</t>
        </is>
      </c>
    </row>
    <row r="638">
      <c r="A638" s="97" t="inlineStr">
        <is>
          <t>SAILIFE</t>
        </is>
      </c>
      <c r="B638" s="97" t="inlineStr">
        <is>
          <t>Sai Life Sciences Ltd.</t>
        </is>
      </c>
      <c r="C638" s="97" t="inlineStr">
        <is>
          <t>Smallcap</t>
        </is>
      </c>
      <c r="D638" s="97" t="n">
        <v>1232.9</v>
      </c>
      <c r="E638" s="97" t="n">
        <v>7</v>
      </c>
      <c r="F638" s="97" t="inlineStr">
        <is>
          <t>STRONG SETUP</t>
        </is>
      </c>
      <c r="G638" s="97" t="n">
        <v>0.71</v>
      </c>
      <c r="H638" s="97" t="n">
        <v>16.4</v>
      </c>
      <c r="I638" s="97" t="inlineStr">
        <is>
          <t>Weak / Range-bound</t>
        </is>
      </c>
      <c r="J638" s="97" t="inlineStr">
        <is>
          <t>Uptrend</t>
        </is>
      </c>
      <c r="K638" s="97" t="n">
        <v>0.14</v>
      </c>
      <c r="L638" s="97" t="n">
        <v>0.17</v>
      </c>
      <c r="M638" s="97" t="n">
        <v>1232.9</v>
      </c>
      <c r="N638" s="97" t="n">
        <v>1176.7</v>
      </c>
      <c r="O638" s="97" t="n">
        <v>1289.1</v>
      </c>
      <c r="P638" s="97" t="n">
        <v>1345.29</v>
      </c>
      <c r="Q638" s="97" t="inlineStr">
        <is>
          <t>1:1 / 1:2</t>
        </is>
      </c>
    </row>
    <row r="639">
      <c r="A639" s="99" t="inlineStr">
        <is>
          <t>SHRIRAMFIN</t>
        </is>
      </c>
      <c r="B639" s="99" t="inlineStr">
        <is>
          <t>Shriram Finance Ltd.</t>
        </is>
      </c>
      <c r="C639" s="99" t="inlineStr">
        <is>
          <t>Large/Midcap</t>
        </is>
      </c>
      <c r="D639" s="99" t="n">
        <v>1005.1</v>
      </c>
      <c r="E639" s="99" t="n">
        <v>7</v>
      </c>
      <c r="F639" s="99" t="inlineStr">
        <is>
          <t>STRONG SETUP</t>
        </is>
      </c>
      <c r="G639" s="99" t="n">
        <v>2.03</v>
      </c>
      <c r="H639" s="99" t="n">
        <v>24</v>
      </c>
      <c r="I639" s="99" t="inlineStr">
        <is>
          <t>Moderate</t>
        </is>
      </c>
      <c r="J639" s="99" t="inlineStr">
        <is>
          <t>Downtrend</t>
        </is>
      </c>
      <c r="K639" s="99" t="n">
        <v>-0.08</v>
      </c>
      <c r="L639" s="99" t="n">
        <v>0.08</v>
      </c>
      <c r="M639" s="99" t="n">
        <v>1005.1</v>
      </c>
      <c r="N639" s="99" t="n">
        <v>1056.16</v>
      </c>
      <c r="O639" s="99" t="n">
        <v>954.04</v>
      </c>
      <c r="P639" s="99" t="n">
        <v>902.97</v>
      </c>
      <c r="Q639" s="99" t="inlineStr">
        <is>
          <t>1:1 / 1:2</t>
        </is>
      </c>
    </row>
    <row r="640">
      <c r="A640" s="97" t="inlineStr">
        <is>
          <t>SUMICHEM</t>
        </is>
      </c>
      <c r="B640" s="97" t="inlineStr">
        <is>
          <t>Sumitomo Chemical India Ltd.</t>
        </is>
      </c>
      <c r="C640" s="97" t="inlineStr">
        <is>
          <t>Smallcap</t>
        </is>
      </c>
      <c r="D640" s="97" t="n">
        <v>520.45</v>
      </c>
      <c r="E640" s="97" t="n">
        <v>7</v>
      </c>
      <c r="F640" s="97" t="inlineStr">
        <is>
          <t>STRONG SETUP</t>
        </is>
      </c>
      <c r="G640" s="97" t="n">
        <v>0.63</v>
      </c>
      <c r="H640" s="97" t="n">
        <v>46.6</v>
      </c>
      <c r="I640" s="97" t="inlineStr">
        <is>
          <t>Strong</t>
        </is>
      </c>
      <c r="J640" s="97" t="inlineStr">
        <is>
          <t>Uptrend</t>
        </is>
      </c>
      <c r="K640" s="97" t="n">
        <v>1.34</v>
      </c>
      <c r="L640" s="97" t="n">
        <v>0.76</v>
      </c>
      <c r="M640" s="97" t="n">
        <v>520.45</v>
      </c>
      <c r="N640" s="97" t="n">
        <v>492.51</v>
      </c>
      <c r="O640" s="97" t="n">
        <v>548.39</v>
      </c>
      <c r="P640" s="97" t="n">
        <v>576.3200000000001</v>
      </c>
      <c r="Q640" s="97" t="inlineStr">
        <is>
          <t>1:1 / 1:2</t>
        </is>
      </c>
    </row>
    <row r="641">
      <c r="A641" s="99" t="inlineStr">
        <is>
          <t>UNIONBANK</t>
        </is>
      </c>
      <c r="B641" s="99" t="inlineStr">
        <is>
          <t>Union Bank of India</t>
        </is>
      </c>
      <c r="C641" s="99" t="inlineStr">
        <is>
          <t>Large/Midcap</t>
        </is>
      </c>
      <c r="D641" s="99" t="n">
        <v>170.5</v>
      </c>
      <c r="E641" s="99" t="n">
        <v>7</v>
      </c>
      <c r="F641" s="99" t="inlineStr">
        <is>
          <t>STRONG SETUP</t>
        </is>
      </c>
      <c r="G641" s="99" t="n">
        <v>0.77</v>
      </c>
      <c r="H641" s="99" t="n">
        <v>29.8</v>
      </c>
      <c r="I641" s="99" t="inlineStr">
        <is>
          <t>Moderate</t>
        </is>
      </c>
      <c r="J641" s="99" t="inlineStr">
        <is>
          <t>Uptrend</t>
        </is>
      </c>
      <c r="K641" s="99" t="n">
        <v>0.24</v>
      </c>
      <c r="L641" s="99" t="n">
        <v>0.17</v>
      </c>
      <c r="M641" s="99" t="n">
        <v>170.5</v>
      </c>
      <c r="N641" s="99" t="n">
        <v>161.45</v>
      </c>
      <c r="O641" s="99" t="n">
        <v>179.55</v>
      </c>
      <c r="P641" s="99" t="n">
        <v>188.61</v>
      </c>
      <c r="Q641" s="99" t="inlineStr">
        <is>
          <t>1:1 / 1:2</t>
        </is>
      </c>
    </row>
    <row r="642">
      <c r="A642" s="97" t="inlineStr">
        <is>
          <t>ABB</t>
        </is>
      </c>
      <c r="B642" s="97" t="inlineStr">
        <is>
          <t>ABB India Ltd.</t>
        </is>
      </c>
      <c r="C642" s="97" t="inlineStr">
        <is>
          <t>Large/Midcap</t>
        </is>
      </c>
      <c r="D642" s="97" t="n">
        <v>7375.5</v>
      </c>
      <c r="E642" s="97" t="n">
        <v>6</v>
      </c>
      <c r="F642" s="97" t="inlineStr">
        <is>
          <t>WATCHLIST</t>
        </is>
      </c>
      <c r="G642" s="97" t="n">
        <v>1.01</v>
      </c>
      <c r="H642" s="97" t="n">
        <v>31.7</v>
      </c>
      <c r="I642" s="97" t="inlineStr">
        <is>
          <t>Moderate</t>
        </is>
      </c>
      <c r="J642" s="97" t="inlineStr">
        <is>
          <t>Uptrend</t>
        </is>
      </c>
      <c r="K642" s="97" t="n">
        <v>0.5</v>
      </c>
      <c r="L642" s="97" t="n">
        <v>0.48</v>
      </c>
      <c r="M642" s="97" t="n">
        <v>7375.5</v>
      </c>
      <c r="N642" s="97" t="n">
        <v>7027.66</v>
      </c>
      <c r="O642" s="97" t="n">
        <v>7723.34</v>
      </c>
      <c r="P642" s="97" t="n">
        <v>8071.18</v>
      </c>
      <c r="Q642" s="97" t="inlineStr">
        <is>
          <t>1:1 / 1:2</t>
        </is>
      </c>
    </row>
    <row r="643">
      <c r="A643" s="99" t="inlineStr">
        <is>
          <t>ADANIENSOL</t>
        </is>
      </c>
      <c r="B643" s="99" t="inlineStr">
        <is>
          <t>Adani Energy Solutions Ltd.</t>
        </is>
      </c>
      <c r="C643" s="99" t="inlineStr">
        <is>
          <t>Large/Midcap</t>
        </is>
      </c>
      <c r="D643" s="99" t="n">
        <v>1702.2</v>
      </c>
      <c r="E643" s="99" t="n">
        <v>6</v>
      </c>
      <c r="F643" s="99" t="inlineStr">
        <is>
          <t>WATCHLIST</t>
        </is>
      </c>
      <c r="G643" s="99" t="n">
        <v>0.8100000000000001</v>
      </c>
      <c r="H643" s="99" t="n">
        <v>64</v>
      </c>
      <c r="I643" s="99" t="inlineStr">
        <is>
          <t>Strong</t>
        </is>
      </c>
      <c r="J643" s="99" t="inlineStr">
        <is>
          <t>Uptrend</t>
        </is>
      </c>
      <c r="K643" s="99" t="n">
        <v>0.75</v>
      </c>
      <c r="L643" s="99" t="n">
        <v>0.82</v>
      </c>
      <c r="M643" s="99" t="n">
        <v>1702.2</v>
      </c>
      <c r="N643" s="99" t="n">
        <v>1615.3</v>
      </c>
      <c r="O643" s="99" t="n">
        <v>1789.1</v>
      </c>
      <c r="P643" s="99" t="n">
        <v>1876.01</v>
      </c>
      <c r="Q643" s="99" t="inlineStr">
        <is>
          <t>1:1 / 1:2</t>
        </is>
      </c>
    </row>
    <row r="644">
      <c r="A644" s="97" t="inlineStr">
        <is>
          <t>CPPLUS</t>
        </is>
      </c>
      <c r="B644" s="97" t="inlineStr">
        <is>
          <t>Aditya Infotech Ltd.</t>
        </is>
      </c>
      <c r="C644" s="97" t="inlineStr">
        <is>
          <t>Smallcap</t>
        </is>
      </c>
      <c r="D644" s="97" t="n">
        <v>3543.4</v>
      </c>
      <c r="E644" s="97" t="n">
        <v>6</v>
      </c>
      <c r="F644" s="97" t="inlineStr">
        <is>
          <t>WATCHLIST</t>
        </is>
      </c>
      <c r="G644" s="97" t="n">
        <v>0.92</v>
      </c>
      <c r="H644" s="97" t="n">
        <v>17.1</v>
      </c>
      <c r="I644" s="97" t="inlineStr">
        <is>
          <t>Weak / Range-bound</t>
        </is>
      </c>
      <c r="J644" s="97" t="inlineStr">
        <is>
          <t>Downtrend</t>
        </is>
      </c>
      <c r="K644" s="97" t="n">
        <v>-0.07000000000000001</v>
      </c>
      <c r="L644" s="97" t="n">
        <v>0.03</v>
      </c>
      <c r="M644" s="97" t="n">
        <v>3543.4</v>
      </c>
      <c r="N644" s="97" t="n">
        <v>3766.95</v>
      </c>
      <c r="O644" s="97" t="n">
        <v>3319.85</v>
      </c>
      <c r="P644" s="97" t="n">
        <v>3096.29</v>
      </c>
      <c r="Q644" s="97" t="inlineStr">
        <is>
          <t>1:1 / 1:2</t>
        </is>
      </c>
    </row>
    <row r="645">
      <c r="A645" s="99" t="inlineStr">
        <is>
          <t>AEGISLOG</t>
        </is>
      </c>
      <c r="B645" s="99" t="inlineStr">
        <is>
          <t>Aegis Logistics Ltd.</t>
        </is>
      </c>
      <c r="C645" s="99" t="inlineStr">
        <is>
          <t>Smallcap</t>
        </is>
      </c>
      <c r="D645" s="99" t="n">
        <v>1349.6</v>
      </c>
      <c r="E645" s="99" t="n">
        <v>6</v>
      </c>
      <c r="F645" s="99" t="inlineStr">
        <is>
          <t>WATCHLIST</t>
        </is>
      </c>
      <c r="G645" s="99" t="n">
        <v>0.73</v>
      </c>
      <c r="H645" s="99" t="n">
        <v>25.3</v>
      </c>
      <c r="I645" s="99" t="inlineStr">
        <is>
          <t>Moderate</t>
        </is>
      </c>
      <c r="J645" s="99" t="inlineStr">
        <is>
          <t>Uptrend</t>
        </is>
      </c>
      <c r="K645" s="99" t="n">
        <v>0.5</v>
      </c>
      <c r="L645" s="99" t="n">
        <v>0.31</v>
      </c>
      <c r="M645" s="99" t="n">
        <v>1349.6</v>
      </c>
      <c r="N645" s="99" t="n">
        <v>1212.85</v>
      </c>
      <c r="O645" s="99" t="n">
        <v>1486.35</v>
      </c>
      <c r="P645" s="99" t="n">
        <v>1623.1</v>
      </c>
      <c r="Q645" s="99" t="inlineStr">
        <is>
          <t>1:1 / 1:2</t>
        </is>
      </c>
    </row>
    <row r="646">
      <c r="A646" s="97" t="inlineStr">
        <is>
          <t>AEGISVOPAK</t>
        </is>
      </c>
      <c r="B646" s="97" t="inlineStr">
        <is>
          <t>Aegis Vopak Terminals Ltd.</t>
        </is>
      </c>
      <c r="C646" s="97" t="inlineStr">
        <is>
          <t>Smallcap</t>
        </is>
      </c>
      <c r="D646" s="97" t="n">
        <v>292.64</v>
      </c>
      <c r="E646" s="97" t="n">
        <v>6</v>
      </c>
      <c r="F646" s="97" t="inlineStr">
        <is>
          <t>WATCHLIST</t>
        </is>
      </c>
      <c r="G646" s="97" t="n">
        <v>0.41</v>
      </c>
      <c r="H646" s="97" t="n">
        <v>67.7</v>
      </c>
      <c r="I646" s="97" t="inlineStr">
        <is>
          <t>Strong</t>
        </is>
      </c>
      <c r="J646" s="97" t="inlineStr">
        <is>
          <t>Uptrend</t>
        </is>
      </c>
      <c r="K646" s="97" t="n">
        <v>1.11</v>
      </c>
      <c r="L646" s="97" t="n">
        <v>0.58</v>
      </c>
      <c r="M646" s="97" t="n">
        <v>292.64</v>
      </c>
      <c r="N646" s="97" t="n">
        <v>264.4</v>
      </c>
      <c r="O646" s="97" t="n">
        <v>320.88</v>
      </c>
      <c r="P646" s="97" t="n">
        <v>349.11</v>
      </c>
      <c r="Q646" s="97" t="inlineStr">
        <is>
          <t>1:1 / 1:2</t>
        </is>
      </c>
    </row>
    <row r="647">
      <c r="A647" s="99" t="inlineStr">
        <is>
          <t>ALKEM</t>
        </is>
      </c>
      <c r="B647" s="99" t="inlineStr">
        <is>
          <t>Alkem Laboratories Ltd.</t>
        </is>
      </c>
      <c r="C647" s="99" t="inlineStr">
        <is>
          <t>Large/Midcap</t>
        </is>
      </c>
      <c r="D647" s="99" t="n">
        <v>5633.5</v>
      </c>
      <c r="E647" s="99" t="n">
        <v>6</v>
      </c>
      <c r="F647" s="99" t="inlineStr">
        <is>
          <t>WATCHLIST</t>
        </is>
      </c>
      <c r="G647" s="99" t="n">
        <v>0.88</v>
      </c>
      <c r="H647" s="99" t="n">
        <v>39.6</v>
      </c>
      <c r="I647" s="99" t="inlineStr">
        <is>
          <t>Moderate</t>
        </is>
      </c>
      <c r="J647" s="99" t="inlineStr">
        <is>
          <t>Uptrend</t>
        </is>
      </c>
      <c r="K647" s="99" t="n">
        <v>0.11</v>
      </c>
      <c r="L647" s="99" t="n">
        <v>0.3</v>
      </c>
      <c r="M647" s="99" t="n">
        <v>5633.5</v>
      </c>
      <c r="N647" s="99" t="n">
        <v>5445.62</v>
      </c>
      <c r="O647" s="99" t="n">
        <v>5821.38</v>
      </c>
      <c r="P647" s="99" t="n">
        <v>6009.25</v>
      </c>
      <c r="Q647" s="99" t="inlineStr">
        <is>
          <t>1:1 / 1:2</t>
        </is>
      </c>
    </row>
    <row r="648">
      <c r="A648" s="97" t="inlineStr">
        <is>
          <t>ANANTRAJ</t>
        </is>
      </c>
      <c r="B648" s="97" t="inlineStr">
        <is>
          <t>Anant Raj Ltd.</t>
        </is>
      </c>
      <c r="C648" s="97" t="inlineStr">
        <is>
          <t>Smallcap</t>
        </is>
      </c>
      <c r="D648" s="97" t="n">
        <v>586.55</v>
      </c>
      <c r="E648" s="97" t="n">
        <v>6</v>
      </c>
      <c r="F648" s="97" t="inlineStr">
        <is>
          <t>WATCHLIST</t>
        </is>
      </c>
      <c r="G648" s="97" t="n">
        <v>0.63</v>
      </c>
      <c r="H648" s="97" t="n">
        <v>44.2</v>
      </c>
      <c r="I648" s="97" t="inlineStr">
        <is>
          <t>Strong</t>
        </is>
      </c>
      <c r="J648" s="97" t="inlineStr">
        <is>
          <t>Uptrend</t>
        </is>
      </c>
      <c r="K648" s="97" t="n">
        <v>0.83</v>
      </c>
      <c r="L648" s="97" t="n">
        <v>0.82</v>
      </c>
      <c r="M648" s="97" t="n">
        <v>586.55</v>
      </c>
      <c r="N648" s="97" t="n">
        <v>552.17</v>
      </c>
      <c r="O648" s="97" t="n">
        <v>620.9299999999999</v>
      </c>
      <c r="P648" s="97" t="n">
        <v>655.3099999999999</v>
      </c>
      <c r="Q648" s="97" t="inlineStr">
        <is>
          <t>1:1 / 1:2</t>
        </is>
      </c>
    </row>
  </sheetData>
  <mergeCells count="4">
    <mergeCell ref="A478:AA478"/>
    <mergeCell ref="A1:AA1"/>
    <mergeCell ref="A622:Q622"/>
    <mergeCell ref="A3:AA3"/>
  </mergeCells>
  <conditionalFormatting sqref="AA5:AA476">
    <cfRule type="cellIs" priority="1" operator="equal" dxfId="3">
      <formula>"STRONG SETUP"</formula>
    </cfRule>
    <cfRule type="cellIs" priority="2" operator="equal" dxfId="4">
      <formula>"WATCHLIST"</formula>
    </cfRule>
    <cfRule type="cellIs" priority="3" operator="equal" dxfId="5">
      <formula>"AVOID"</formula>
    </cfRule>
  </conditionalFormatting>
  <conditionalFormatting sqref="AA480:AA620">
    <cfRule type="cellIs" priority="4" operator="equal" dxfId="3">
      <formula>"STRONG SETUP"</formula>
    </cfRule>
    <cfRule type="cellIs" priority="5" operator="equal" dxfId="4">
      <formula>"WATCHLIST"</formula>
    </cfRule>
    <cfRule type="cellIs" priority="6" operator="equal" dxfId="5">
      <formula>"AVOID"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T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44" min="1" max="1"/>
    <col width="32" customWidth="1" style="44" min="2" max="2"/>
    <col width="12" customWidth="1" style="44" min="3" max="3"/>
    <col width="11" customWidth="1" style="44" min="4" max="4"/>
    <col width="13" customWidth="1" style="44" min="5" max="6"/>
    <col width="11" customWidth="1" style="44" min="7" max="9"/>
    <col width="9" customWidth="1" style="44" min="10" max="10"/>
    <col width="12" customWidth="1" style="44" min="11" max="11"/>
    <col width="13" customWidth="1" style="44" min="12" max="12"/>
    <col width="15" customWidth="1" style="44" min="13" max="13"/>
    <col width="12" customWidth="1" style="44" min="14" max="14"/>
    <col width="14" customWidth="1" style="44" min="15" max="15"/>
    <col width="9" customWidth="1" style="44" min="16" max="16"/>
    <col width="15" customWidth="1" style="44" min="17" max="17"/>
    <col width="22" customWidth="1" style="44" min="19" max="19"/>
    <col width="10" customWidth="1" style="44" min="20" max="20"/>
  </cols>
  <sheetData>
    <row r="1" ht="19.7" customHeight="1" s="45">
      <c r="A1" s="46" t="inlineStr">
        <is>
          <t>Scanner Shortlist — Ultimate Bull Scanner (24-07-2026)</t>
        </is>
      </c>
      <c r="S1" s="50" t="inlineStr">
        <is>
          <t>Min. Volume (Liquidity Cutoff)</t>
        </is>
      </c>
      <c r="T1" s="51" t="n">
        <v>50000</v>
      </c>
    </row>
    <row r="2" ht="15" customHeight="1" s="45">
      <c r="A2" s="47" t="inlineStr">
        <is>
          <t>Fill the YELLOW cells each evening from your chart. Score &amp; Verdict calculate automatically.</t>
        </is>
      </c>
    </row>
    <row r="4" ht="42" customHeight="1" s="45">
      <c r="A4" s="52" t="inlineStr">
        <is>
          <t>Sr.</t>
        </is>
      </c>
      <c r="B4" s="52" t="inlineStr">
        <is>
          <t>Stock Name</t>
        </is>
      </c>
      <c r="C4" s="52" t="inlineStr">
        <is>
          <t>Symbol</t>
        </is>
      </c>
      <c r="D4" s="52" t="inlineStr">
        <is>
          <t>Close (Rs.)</t>
        </is>
      </c>
      <c r="E4" s="52" t="inlineStr">
        <is>
          <t>% Chg (Scan Day)</t>
        </is>
      </c>
      <c r="F4" s="52" t="inlineStr">
        <is>
          <t>Volume (Scan Day)</t>
        </is>
      </c>
      <c r="G4" s="52" t="inlineStr">
        <is>
          <t>Liquidity OK?</t>
        </is>
      </c>
      <c r="H4" s="52" t="inlineStr">
        <is>
          <t>Above 50 DMA?</t>
        </is>
      </c>
      <c r="I4" s="52" t="inlineStr">
        <is>
          <t>Above 200 DMA?</t>
        </is>
      </c>
      <c r="J4" s="52" t="inlineStr">
        <is>
          <t>RSI (14)</t>
        </is>
      </c>
      <c r="K4" s="52" t="inlineStr">
        <is>
          <t>RSI Healthy Zone?</t>
        </is>
      </c>
      <c r="L4" s="52" t="inlineStr">
        <is>
          <t>Volume Spike &gt;1.5x?</t>
        </is>
      </c>
      <c r="M4" s="52" t="inlineStr">
        <is>
          <t>Near Support/
Breakout Confirmed?</t>
        </is>
      </c>
      <c r="N4" s="52" t="inlineStr">
        <is>
          <t>FII/DII Trend
Positive?</t>
        </is>
      </c>
      <c r="O4" s="52" t="inlineStr">
        <is>
          <t>Fundamentals OK?
(ROCE&gt;15,D/E&lt;1)</t>
        </is>
      </c>
      <c r="P4" s="52" t="inlineStr">
        <is>
          <t>Score (0-8)</t>
        </is>
      </c>
      <c r="Q4" s="52" t="inlineStr">
        <is>
          <t>Verdict</t>
        </is>
      </c>
    </row>
    <row r="5" ht="15" customHeight="1" s="45">
      <c r="A5" s="53" t="n">
        <v>1</v>
      </c>
      <c r="B5" s="53" t="inlineStr">
        <is>
          <t>Kcp Sugar And Industries Corporation Limited</t>
        </is>
      </c>
      <c r="C5" s="54" t="inlineStr">
        <is>
          <t>KCPSUGIND</t>
        </is>
      </c>
      <c r="D5" s="55" t="n">
        <v>27.85</v>
      </c>
      <c r="E5" s="56" t="n">
        <v>0.1513</v>
      </c>
      <c r="F5" s="57" t="n">
        <v>3946850</v>
      </c>
      <c r="G5" s="53">
        <f>IF(F5&gt;=$T$1,"Y","N")</f>
        <v/>
      </c>
      <c r="H5" s="58" t="inlineStr">
        <is>
          <t>Y</t>
        </is>
      </c>
      <c r="I5" s="58" t="inlineStr">
        <is>
          <t>Y</t>
        </is>
      </c>
      <c r="J5" s="58" t="n">
        <v>78.7</v>
      </c>
      <c r="K5" s="59">
        <f>IF(J5="","",IF(AND(J5&gt;=40,J5&lt;=68),"Y","N"))</f>
        <v/>
      </c>
      <c r="L5" s="58" t="inlineStr">
        <is>
          <t>Y</t>
        </is>
      </c>
      <c r="M5" s="58" t="inlineStr">
        <is>
          <t>Y</t>
        </is>
      </c>
      <c r="N5" s="58" t="inlineStr">
        <is>
          <t>Y</t>
        </is>
      </c>
      <c r="O5" s="58" t="inlineStr">
        <is>
          <t>N</t>
        </is>
      </c>
      <c r="P5" s="59">
        <f>COUNTIF(G5,"Y")+COUNTIF(H5,"Y")+COUNTIF(I5,"Y")+COUNTIF(K5,"Y")+COUNTIF(L5,"Y")+COUNTIF(M5,"Y")+COUNTIF(N5,"Y")+COUNTIF(O5,"Y")</f>
        <v/>
      </c>
      <c r="Q5" s="60">
        <f>IF(P5&gt;=6,"STRONG SETUP",IF(P5&gt;=4,"WATCHLIST","AVOID"))</f>
        <v/>
      </c>
    </row>
    <row r="6" ht="15" customHeight="1" s="45">
      <c r="A6" s="61" t="n">
        <v>2</v>
      </c>
      <c r="B6" s="61" t="inlineStr">
        <is>
          <t>TechNVision Ventures Ltd</t>
        </is>
      </c>
      <c r="C6" s="62" t="inlineStr">
        <is>
          <t>TECHNVISN</t>
        </is>
      </c>
      <c r="D6" s="63" t="n">
        <v>5074.5</v>
      </c>
      <c r="E6" s="64" t="n">
        <v>0.1455</v>
      </c>
      <c r="F6" s="65" t="n">
        <v>26430</v>
      </c>
      <c r="G6" s="61">
        <f>IF(F6&gt;=$T$1,"Y","N")</f>
        <v/>
      </c>
      <c r="H6" s="66" t="inlineStr">
        <is>
          <t>Y</t>
        </is>
      </c>
      <c r="I6" s="66" t="n"/>
      <c r="J6" s="66" t="n">
        <v>78</v>
      </c>
      <c r="K6" s="67">
        <f>IF(J6="","",IF(AND(J6&gt;=40,J6&lt;=68),"Y","N"))</f>
        <v/>
      </c>
      <c r="L6" s="66" t="inlineStr">
        <is>
          <t>Y</t>
        </is>
      </c>
      <c r="M6" s="66" t="n"/>
      <c r="N6" s="66" t="n"/>
      <c r="O6" s="66" t="n"/>
      <c r="P6" s="67">
        <f>COUNTIF(G6,"Y")+COUNTIF(H6,"Y")+COUNTIF(I6,"Y")+COUNTIF(K6,"Y")+COUNTIF(L6,"Y")+COUNTIF(M6,"Y")+COUNTIF(N6,"Y")+COUNTIF(O6,"Y")</f>
        <v/>
      </c>
      <c r="Q6" s="68">
        <f>IF(P6&gt;=6,"STRONG SETUP",IF(P6&gt;=4,"WATCHLIST","AVOID"))</f>
        <v/>
      </c>
    </row>
    <row r="7" ht="15" customHeight="1" s="45">
      <c r="A7" s="53" t="n">
        <v>3</v>
      </c>
      <c r="B7" s="53" t="inlineStr">
        <is>
          <t>Shalimar Paints Limited</t>
        </is>
      </c>
      <c r="C7" s="54" t="inlineStr">
        <is>
          <t>SHALPAINTS</t>
        </is>
      </c>
      <c r="D7" s="55" t="n">
        <v>68.90000000000001</v>
      </c>
      <c r="E7" s="56" t="n">
        <v>0.0998</v>
      </c>
      <c r="F7" s="57" t="n">
        <v>553792</v>
      </c>
      <c r="G7" s="53">
        <f>IF(F7&gt;=$T$1,"Y","N")</f>
        <v/>
      </c>
      <c r="H7" s="66" t="inlineStr">
        <is>
          <t>Y</t>
        </is>
      </c>
      <c r="I7" s="66" t="inlineStr">
        <is>
          <t>Y</t>
        </is>
      </c>
      <c r="J7" s="66" t="n">
        <v>69.59999999999999</v>
      </c>
      <c r="K7" s="59">
        <f>IF(J7="","",IF(AND(J7&gt;=40,J7&lt;=68),"Y","N"))</f>
        <v/>
      </c>
      <c r="L7" s="66" t="inlineStr">
        <is>
          <t>Y</t>
        </is>
      </c>
      <c r="M7" s="66" t="n"/>
      <c r="N7" s="66" t="n"/>
      <c r="O7" s="66" t="n"/>
      <c r="P7" s="59">
        <f>COUNTIF(G7,"Y")+COUNTIF(H7,"Y")+COUNTIF(I7,"Y")+COUNTIF(K7,"Y")+COUNTIF(L7,"Y")+COUNTIF(M7,"Y")+COUNTIF(N7,"Y")+COUNTIF(O7,"Y")</f>
        <v/>
      </c>
      <c r="Q7" s="60">
        <f>IF(P7&gt;=6,"STRONG SETUP",IF(P7&gt;=4,"WATCHLIST","AVOID"))</f>
        <v/>
      </c>
    </row>
    <row r="8" ht="15" customHeight="1" s="45">
      <c r="A8" s="61" t="n">
        <v>4</v>
      </c>
      <c r="B8" s="61" t="inlineStr">
        <is>
          <t>Diamond Power Infrastructure Ltd</t>
        </is>
      </c>
      <c r="C8" s="62" t="inlineStr">
        <is>
          <t>DIACABS</t>
        </is>
      </c>
      <c r="D8" s="63" t="n">
        <v>295.15</v>
      </c>
      <c r="E8" s="64" t="n">
        <v>0.0775</v>
      </c>
      <c r="F8" s="65" t="n">
        <v>15515902</v>
      </c>
      <c r="G8" s="61">
        <f>IF(F8&gt;=$T$1,"Y","N")</f>
        <v/>
      </c>
      <c r="H8" s="66" t="inlineStr">
        <is>
          <t>Y</t>
        </is>
      </c>
      <c r="I8" s="66" t="inlineStr">
        <is>
          <t>Y</t>
        </is>
      </c>
      <c r="J8" s="66" t="n">
        <v>83.8</v>
      </c>
      <c r="K8" s="67">
        <f>IF(J8="","",IF(AND(J8&gt;=40,J8&lt;=68),"Y","N"))</f>
        <v/>
      </c>
      <c r="L8" s="66" t="inlineStr">
        <is>
          <t>Y</t>
        </is>
      </c>
      <c r="M8" s="66" t="n"/>
      <c r="N8" s="66" t="n"/>
      <c r="O8" s="66" t="n"/>
      <c r="P8" s="67">
        <f>COUNTIF(G8,"Y")+COUNTIF(H8,"Y")+COUNTIF(I8,"Y")+COUNTIF(K8,"Y")+COUNTIF(L8,"Y")+COUNTIF(M8,"Y")+COUNTIF(N8,"Y")+COUNTIF(O8,"Y")</f>
        <v/>
      </c>
      <c r="Q8" s="68">
        <f>IF(P8&gt;=6,"STRONG SETUP",IF(P8&gt;=4,"WATCHLIST","AVOID"))</f>
        <v/>
      </c>
    </row>
    <row r="9" ht="15" customHeight="1" s="45">
      <c r="A9" s="53" t="n">
        <v>5</v>
      </c>
      <c r="B9" s="53" t="inlineStr">
        <is>
          <t>Huhtamaki India Ltd</t>
        </is>
      </c>
      <c r="C9" s="54" t="inlineStr">
        <is>
          <t>HUHTAMAKI</t>
        </is>
      </c>
      <c r="D9" s="55" t="n">
        <v>318.68</v>
      </c>
      <c r="E9" s="56" t="n">
        <v>0.0716</v>
      </c>
      <c r="F9" s="57" t="n">
        <v>6080629</v>
      </c>
      <c r="G9" s="53">
        <f>IF(F9&gt;=$T$1,"Y","N")</f>
        <v/>
      </c>
      <c r="H9" s="66" t="inlineStr">
        <is>
          <t>Y</t>
        </is>
      </c>
      <c r="I9" s="66" t="inlineStr">
        <is>
          <t>Y</t>
        </is>
      </c>
      <c r="J9" s="66" t="n">
        <v>87.7</v>
      </c>
      <c r="K9" s="59">
        <f>IF(J9="","",IF(AND(J9&gt;=40,J9&lt;=68),"Y","N"))</f>
        <v/>
      </c>
      <c r="L9" s="66" t="inlineStr">
        <is>
          <t>Y</t>
        </is>
      </c>
      <c r="M9" s="66" t="n"/>
      <c r="N9" s="66" t="n"/>
      <c r="O9" s="66" t="n"/>
      <c r="P9" s="59">
        <f>COUNTIF(G9,"Y")+COUNTIF(H9,"Y")+COUNTIF(I9,"Y")+COUNTIF(K9,"Y")+COUNTIF(L9,"Y")+COUNTIF(M9,"Y")+COUNTIF(N9,"Y")+COUNTIF(O9,"Y")</f>
        <v/>
      </c>
      <c r="Q9" s="60">
        <f>IF(P9&gt;=6,"STRONG SETUP",IF(P9&gt;=4,"WATCHLIST","AVOID"))</f>
        <v/>
      </c>
    </row>
    <row r="10" ht="15" customHeight="1" s="45">
      <c r="A10" s="61" t="n">
        <v>6</v>
      </c>
      <c r="B10" s="61" t="inlineStr">
        <is>
          <t>Kaya Limited</t>
        </is>
      </c>
      <c r="C10" s="62" t="inlineStr">
        <is>
          <t>KAYA</t>
        </is>
      </c>
      <c r="D10" s="63" t="n">
        <v>282.63</v>
      </c>
      <c r="E10" s="64" t="n">
        <v>0.06660000000000001</v>
      </c>
      <c r="F10" s="65" t="n">
        <v>94336</v>
      </c>
      <c r="G10" s="61">
        <f>IF(F10&gt;=$T$1,"Y","N")</f>
        <v/>
      </c>
      <c r="H10" s="66" t="inlineStr">
        <is>
          <t>Y</t>
        </is>
      </c>
      <c r="I10" s="66" t="inlineStr">
        <is>
          <t>N</t>
        </is>
      </c>
      <c r="J10" s="66" t="n">
        <v>79</v>
      </c>
      <c r="K10" s="67">
        <f>IF(J10="","",IF(AND(J10&gt;=40,J10&lt;=68),"Y","N"))</f>
        <v/>
      </c>
      <c r="L10" s="66" t="inlineStr">
        <is>
          <t>Y</t>
        </is>
      </c>
      <c r="M10" s="66" t="n"/>
      <c r="N10" s="66" t="n"/>
      <c r="O10" s="66" t="n"/>
      <c r="P10" s="67">
        <f>COUNTIF(G10,"Y")+COUNTIF(H10,"Y")+COUNTIF(I10,"Y")+COUNTIF(K10,"Y")+COUNTIF(L10,"Y")+COUNTIF(M10,"Y")+COUNTIF(N10,"Y")+COUNTIF(O10,"Y")</f>
        <v/>
      </c>
      <c r="Q10" s="68">
        <f>IF(P10&gt;=6,"STRONG SETUP",IF(P10&gt;=4,"WATCHLIST","AVOID"))</f>
        <v/>
      </c>
    </row>
    <row r="11" ht="15" customHeight="1" s="45">
      <c r="A11" s="53" t="n">
        <v>7</v>
      </c>
      <c r="B11" s="53" t="inlineStr">
        <is>
          <t>Oriental Aromatics Ltd</t>
        </is>
      </c>
      <c r="C11" s="54" t="inlineStr">
        <is>
          <t>OAL</t>
        </is>
      </c>
      <c r="D11" s="55" t="n">
        <v>373</v>
      </c>
      <c r="E11" s="56" t="n">
        <v>0.0589</v>
      </c>
      <c r="F11" s="57" t="n">
        <v>45325</v>
      </c>
      <c r="G11" s="53">
        <f>IF(F11&gt;=$T$1,"Y","N")</f>
        <v/>
      </c>
      <c r="H11" s="66" t="inlineStr">
        <is>
          <t>Y</t>
        </is>
      </c>
      <c r="I11" s="66" t="inlineStr">
        <is>
          <t>Y</t>
        </is>
      </c>
      <c r="J11" s="66" t="n">
        <v>76.8</v>
      </c>
      <c r="K11" s="59">
        <f>IF(J11="","",IF(AND(J11&gt;=40,J11&lt;=68),"Y","N"))</f>
        <v/>
      </c>
      <c r="L11" s="66" t="inlineStr">
        <is>
          <t>N</t>
        </is>
      </c>
      <c r="M11" s="66" t="n"/>
      <c r="N11" s="66" t="n"/>
      <c r="O11" s="66" t="n"/>
      <c r="P11" s="59">
        <f>COUNTIF(G11,"Y")+COUNTIF(H11,"Y")+COUNTIF(I11,"Y")+COUNTIF(K11,"Y")+COUNTIF(L11,"Y")+COUNTIF(M11,"Y")+COUNTIF(N11,"Y")+COUNTIF(O11,"Y")</f>
        <v/>
      </c>
      <c r="Q11" s="60">
        <f>IF(P11&gt;=6,"STRONG SETUP",IF(P11&gt;=4,"WATCHLIST","AVOID"))</f>
        <v/>
      </c>
    </row>
    <row r="12" ht="15" customHeight="1" s="45">
      <c r="A12" s="61" t="n">
        <v>8</v>
      </c>
      <c r="B12" s="61" t="inlineStr">
        <is>
          <t>Arihant Foundations &amp; Housing Limited</t>
        </is>
      </c>
      <c r="C12" s="62" t="inlineStr">
        <is>
          <t>ARIHANT</t>
        </is>
      </c>
      <c r="D12" s="63" t="n">
        <v>1021.7</v>
      </c>
      <c r="E12" s="64" t="n">
        <v>0.0535</v>
      </c>
      <c r="F12" s="65" t="n">
        <v>5725</v>
      </c>
      <c r="G12" s="61">
        <f>IF(F12&gt;=$T$1,"Y","N")</f>
        <v/>
      </c>
      <c r="H12" s="66" t="inlineStr">
        <is>
          <t>Y</t>
        </is>
      </c>
      <c r="I12" s="66" t="n"/>
      <c r="J12" s="66" t="n">
        <v>84.90000000000001</v>
      </c>
      <c r="K12" s="67">
        <f>IF(J12="","",IF(AND(J12&gt;=40,J12&lt;=68),"Y","N"))</f>
        <v/>
      </c>
      <c r="L12" s="66" t="inlineStr">
        <is>
          <t>N</t>
        </is>
      </c>
      <c r="M12" s="66" t="n"/>
      <c r="N12" s="66" t="n"/>
      <c r="O12" s="66" t="n"/>
      <c r="P12" s="67">
        <f>COUNTIF(G12,"Y")+COUNTIF(H12,"Y")+COUNTIF(I12,"Y")+COUNTIF(K12,"Y")+COUNTIF(L12,"Y")+COUNTIF(M12,"Y")+COUNTIF(N12,"Y")+COUNTIF(O12,"Y")</f>
        <v/>
      </c>
      <c r="Q12" s="68">
        <f>IF(P12&gt;=6,"STRONG SETUP",IF(P12&gt;=4,"WATCHLIST","AVOID"))</f>
        <v/>
      </c>
    </row>
    <row r="13" ht="15" customHeight="1" s="45">
      <c r="A13" s="53" t="n">
        <v>9</v>
      </c>
      <c r="B13" s="53" t="inlineStr">
        <is>
          <t>Gp Petroleums Limited</t>
        </is>
      </c>
      <c r="C13" s="54" t="inlineStr">
        <is>
          <t>GULFPETRO</t>
        </is>
      </c>
      <c r="D13" s="55" t="n">
        <v>43.28</v>
      </c>
      <c r="E13" s="56" t="n">
        <v>0.05</v>
      </c>
      <c r="F13" s="57" t="n">
        <v>320256</v>
      </c>
      <c r="G13" s="53">
        <f>IF(F13&gt;=$T$1,"Y","N")</f>
        <v/>
      </c>
      <c r="H13" s="66" t="inlineStr">
        <is>
          <t>Y</t>
        </is>
      </c>
      <c r="I13" s="66" t="inlineStr">
        <is>
          <t>Y</t>
        </is>
      </c>
      <c r="J13" s="66" t="n">
        <v>66.59999999999999</v>
      </c>
      <c r="K13" s="59">
        <f>IF(J13="","",IF(AND(J13&gt;=40,J13&lt;=68),"Y","N"))</f>
        <v/>
      </c>
      <c r="L13" s="66" t="inlineStr">
        <is>
          <t>Y</t>
        </is>
      </c>
      <c r="M13" s="66" t="n"/>
      <c r="N13" s="66" t="n"/>
      <c r="O13" s="66" t="n"/>
      <c r="P13" s="59">
        <f>COUNTIF(G13,"Y")+COUNTIF(H13,"Y")+COUNTIF(I13,"Y")+COUNTIF(K13,"Y")+COUNTIF(L13,"Y")+COUNTIF(M13,"Y")+COUNTIF(N13,"Y")+COUNTIF(O13,"Y")</f>
        <v/>
      </c>
      <c r="Q13" s="60">
        <f>IF(P13&gt;=6,"STRONG SETUP",IF(P13&gt;=4,"WATCHLIST","AVOID"))</f>
        <v/>
      </c>
    </row>
    <row r="14" ht="15" customHeight="1" s="45">
      <c r="A14" s="61" t="n">
        <v>10</v>
      </c>
      <c r="B14" s="61" t="inlineStr">
        <is>
          <t>Mps Limited</t>
        </is>
      </c>
      <c r="C14" s="62" t="inlineStr">
        <is>
          <t>MPSLTD</t>
        </is>
      </c>
      <c r="D14" s="63" t="n">
        <v>2769.7</v>
      </c>
      <c r="E14" s="64" t="n">
        <v>0.048</v>
      </c>
      <c r="F14" s="65" t="n">
        <v>381275</v>
      </c>
      <c r="G14" s="61">
        <f>IF(F14&gt;=$T$1,"Y","N")</f>
        <v/>
      </c>
      <c r="H14" s="66" t="inlineStr">
        <is>
          <t>Y</t>
        </is>
      </c>
      <c r="I14" s="66" t="inlineStr">
        <is>
          <t>Y</t>
        </is>
      </c>
      <c r="J14" s="66" t="n">
        <v>86.59999999999999</v>
      </c>
      <c r="K14" s="67">
        <f>IF(J14="","",IF(AND(J14&gt;=40,J14&lt;=68),"Y","N"))</f>
        <v/>
      </c>
      <c r="L14" s="66" t="inlineStr">
        <is>
          <t>Y</t>
        </is>
      </c>
      <c r="M14" s="66" t="n"/>
      <c r="N14" s="66" t="n"/>
      <c r="O14" s="66" t="n"/>
      <c r="P14" s="67">
        <f>COUNTIF(G14,"Y")+COUNTIF(H14,"Y")+COUNTIF(I14,"Y")+COUNTIF(K14,"Y")+COUNTIF(L14,"Y")+COUNTIF(M14,"Y")+COUNTIF(N14,"Y")+COUNTIF(O14,"Y")</f>
        <v/>
      </c>
      <c r="Q14" s="68">
        <f>IF(P14&gt;=6,"STRONG SETUP",IF(P14&gt;=4,"WATCHLIST","AVOID"))</f>
        <v/>
      </c>
    </row>
    <row r="15" ht="15" customHeight="1" s="45">
      <c r="A15" s="53" t="n">
        <v>11</v>
      </c>
      <c r="B15" s="53" t="inlineStr">
        <is>
          <t>Gujarat Alkalies And Chemicals Limited</t>
        </is>
      </c>
      <c r="C15" s="54" t="inlineStr">
        <is>
          <t>GUJALKALI</t>
        </is>
      </c>
      <c r="D15" s="55" t="n">
        <v>674.8</v>
      </c>
      <c r="E15" s="56" t="n">
        <v>0.0478</v>
      </c>
      <c r="F15" s="57" t="n">
        <v>940628</v>
      </c>
      <c r="G15" s="53">
        <f>IF(F15&gt;=$T$1,"Y","N")</f>
        <v/>
      </c>
      <c r="H15" s="66" t="inlineStr">
        <is>
          <t>Y</t>
        </is>
      </c>
      <c r="I15" s="66" t="inlineStr">
        <is>
          <t>Y</t>
        </is>
      </c>
      <c r="J15" s="66" t="n">
        <v>68.8</v>
      </c>
      <c r="K15" s="59">
        <f>IF(J15="","",IF(AND(J15&gt;=40,J15&lt;=68),"Y","N"))</f>
        <v/>
      </c>
      <c r="L15" s="66" t="inlineStr">
        <is>
          <t>Y</t>
        </is>
      </c>
      <c r="M15" s="66" t="n"/>
      <c r="N15" s="66" t="n"/>
      <c r="O15" s="66" t="n"/>
      <c r="P15" s="59">
        <f>COUNTIF(G15,"Y")+COUNTIF(H15,"Y")+COUNTIF(I15,"Y")+COUNTIF(K15,"Y")+COUNTIF(L15,"Y")+COUNTIF(M15,"Y")+COUNTIF(N15,"Y")+COUNTIF(O15,"Y")</f>
        <v/>
      </c>
      <c r="Q15" s="60">
        <f>IF(P15&gt;=6,"STRONG SETUP",IF(P15&gt;=4,"WATCHLIST","AVOID"))</f>
        <v/>
      </c>
    </row>
    <row r="16" ht="15" customHeight="1" s="45">
      <c r="A16" s="61" t="n">
        <v>12</v>
      </c>
      <c r="B16" s="61" t="inlineStr">
        <is>
          <t>Atul Limited</t>
        </is>
      </c>
      <c r="C16" s="62" t="inlineStr">
        <is>
          <t>ATUL</t>
        </is>
      </c>
      <c r="D16" s="63" t="n">
        <v>6407.5</v>
      </c>
      <c r="E16" s="64" t="n">
        <v>0.0453</v>
      </c>
      <c r="F16" s="65" t="n">
        <v>403648</v>
      </c>
      <c r="G16" s="61">
        <f>IF(F16&gt;=$T$1,"Y","N")</f>
        <v/>
      </c>
      <c r="H16" s="66" t="inlineStr">
        <is>
          <t>N</t>
        </is>
      </c>
      <c r="I16" s="66" t="inlineStr">
        <is>
          <t>Y</t>
        </is>
      </c>
      <c r="J16" s="66" t="n">
        <v>49.1</v>
      </c>
      <c r="K16" s="67">
        <f>IF(J16="","",IF(AND(J16&gt;=40,J16&lt;=68),"Y","N"))</f>
        <v/>
      </c>
      <c r="L16" s="66" t="inlineStr">
        <is>
          <t>Y</t>
        </is>
      </c>
      <c r="M16" s="66" t="n"/>
      <c r="N16" s="66" t="n"/>
      <c r="O16" s="66" t="n"/>
      <c r="P16" s="67">
        <f>COUNTIF(G16,"Y")+COUNTIF(H16,"Y")+COUNTIF(I16,"Y")+COUNTIF(K16,"Y")+COUNTIF(L16,"Y")+COUNTIF(M16,"Y")+COUNTIF(N16,"Y")+COUNTIF(O16,"Y")</f>
        <v/>
      </c>
      <c r="Q16" s="68">
        <f>IF(P16&gt;=6,"STRONG SETUP",IF(P16&gt;=4,"WATCHLIST","AVOID"))</f>
        <v/>
      </c>
    </row>
    <row r="17" ht="15" customHeight="1" s="45">
      <c r="A17" s="53" t="n">
        <v>13</v>
      </c>
      <c r="B17" s="53" t="inlineStr">
        <is>
          <t>Asahi Songwon Colors Limited</t>
        </is>
      </c>
      <c r="C17" s="54" t="inlineStr">
        <is>
          <t>ASAHISONG</t>
        </is>
      </c>
      <c r="D17" s="55" t="n">
        <v>332.95</v>
      </c>
      <c r="E17" s="56" t="n">
        <v>0.0441</v>
      </c>
      <c r="F17" s="57" t="n">
        <v>63845</v>
      </c>
      <c r="G17" s="53">
        <f>IF(F17&gt;=$T$1,"Y","N")</f>
        <v/>
      </c>
      <c r="H17" s="66" t="inlineStr">
        <is>
          <t>Y</t>
        </is>
      </c>
      <c r="I17" s="66" t="inlineStr">
        <is>
          <t>Y</t>
        </is>
      </c>
      <c r="J17" s="66" t="n">
        <v>79.59999999999999</v>
      </c>
      <c r="K17" s="59">
        <f>IF(J17="","",IF(AND(J17&gt;=40,J17&lt;=68),"Y","N"))</f>
        <v/>
      </c>
      <c r="L17" s="66" t="inlineStr">
        <is>
          <t>Y</t>
        </is>
      </c>
      <c r="M17" s="66" t="n"/>
      <c r="N17" s="66" t="n"/>
      <c r="O17" s="66" t="n"/>
      <c r="P17" s="59">
        <f>COUNTIF(G17,"Y")+COUNTIF(H17,"Y")+COUNTIF(I17,"Y")+COUNTIF(K17,"Y")+COUNTIF(L17,"Y")+COUNTIF(M17,"Y")+COUNTIF(N17,"Y")+COUNTIF(O17,"Y")</f>
        <v/>
      </c>
      <c r="Q17" s="60">
        <f>IF(P17&gt;=6,"STRONG SETUP",IF(P17&gt;=4,"WATCHLIST","AVOID"))</f>
        <v/>
      </c>
    </row>
    <row r="18" ht="15" customHeight="1" s="45">
      <c r="A18" s="61" t="n">
        <v>14</v>
      </c>
      <c r="B18" s="61" t="inlineStr">
        <is>
          <t>Nrb Industrial Bearings Limited</t>
        </is>
      </c>
      <c r="C18" s="62" t="inlineStr">
        <is>
          <t>NIBL</t>
        </is>
      </c>
      <c r="D18" s="63" t="n">
        <v>36.98</v>
      </c>
      <c r="E18" s="64" t="n">
        <v>0.0435</v>
      </c>
      <c r="F18" s="65" t="n">
        <v>151055</v>
      </c>
      <c r="G18" s="61">
        <f>IF(F18&gt;=$T$1,"Y","N")</f>
        <v/>
      </c>
      <c r="H18" s="66" t="inlineStr">
        <is>
          <t>Y</t>
        </is>
      </c>
      <c r="I18" s="66" t="inlineStr">
        <is>
          <t>Y</t>
        </is>
      </c>
      <c r="J18" s="66" t="n">
        <v>79.90000000000001</v>
      </c>
      <c r="K18" s="67">
        <f>IF(J18="","",IF(AND(J18&gt;=40,J18&lt;=68),"Y","N"))</f>
        <v/>
      </c>
      <c r="L18" s="66" t="inlineStr">
        <is>
          <t>Y</t>
        </is>
      </c>
      <c r="M18" s="66" t="n"/>
      <c r="N18" s="66" t="n"/>
      <c r="O18" s="66" t="n"/>
      <c r="P18" s="67">
        <f>COUNTIF(G18,"Y")+COUNTIF(H18,"Y")+COUNTIF(I18,"Y")+COUNTIF(K18,"Y")+COUNTIF(L18,"Y")+COUNTIF(M18,"Y")+COUNTIF(N18,"Y")+COUNTIF(O18,"Y")</f>
        <v/>
      </c>
      <c r="Q18" s="68">
        <f>IF(P18&gt;=6,"STRONG SETUP",IF(P18&gt;=4,"WATCHLIST","AVOID"))</f>
        <v/>
      </c>
    </row>
    <row r="19" ht="15" customHeight="1" s="45">
      <c r="A19" s="53" t="n">
        <v>15</v>
      </c>
      <c r="B19" s="53" t="inlineStr">
        <is>
          <t>Transpek Industry Ltd</t>
        </is>
      </c>
      <c r="C19" s="54" t="inlineStr">
        <is>
          <t>TRANSPEK</t>
        </is>
      </c>
      <c r="D19" s="55" t="n">
        <v>1064.9</v>
      </c>
      <c r="E19" s="56" t="n">
        <v>0.0419</v>
      </c>
      <c r="F19" s="57" t="n">
        <v>12644</v>
      </c>
      <c r="G19" s="53">
        <f>IF(F19&gt;=$T$1,"Y","N")</f>
        <v/>
      </c>
      <c r="H19" s="66" t="inlineStr">
        <is>
          <t>Y</t>
        </is>
      </c>
      <c r="I19" s="66" t="n"/>
      <c r="J19" s="66" t="n">
        <v>67.40000000000001</v>
      </c>
      <c r="K19" s="59">
        <f>IF(J19="","",IF(AND(J19&gt;=40,J19&lt;=68),"Y","N"))</f>
        <v/>
      </c>
      <c r="L19" s="66" t="inlineStr">
        <is>
          <t>N</t>
        </is>
      </c>
      <c r="M19" s="66" t="n"/>
      <c r="N19" s="66" t="n"/>
      <c r="O19" s="66" t="n"/>
      <c r="P19" s="59">
        <f>COUNTIF(G19,"Y")+COUNTIF(H19,"Y")+COUNTIF(I19,"Y")+COUNTIF(K19,"Y")+COUNTIF(L19,"Y")+COUNTIF(M19,"Y")+COUNTIF(N19,"Y")+COUNTIF(O19,"Y")</f>
        <v/>
      </c>
      <c r="Q19" s="60">
        <f>IF(P19&gt;=6,"STRONG SETUP",IF(P19&gt;=4,"WATCHLIST","AVOID"))</f>
        <v/>
      </c>
    </row>
    <row r="20" ht="15" customHeight="1" s="45">
      <c r="A20" s="61" t="n">
        <v>16</v>
      </c>
      <c r="B20" s="61" t="inlineStr">
        <is>
          <t>Krishana Phoschem Ltd</t>
        </is>
      </c>
      <c r="C20" s="62" t="inlineStr">
        <is>
          <t>KRISHANA</t>
        </is>
      </c>
      <c r="D20" s="63" t="n">
        <v>162.05</v>
      </c>
      <c r="E20" s="64" t="n">
        <v>0.0404</v>
      </c>
      <c r="F20" s="65" t="n">
        <v>3503242</v>
      </c>
      <c r="G20" s="61">
        <f>IF(F20&gt;=$T$1,"Y","N")</f>
        <v/>
      </c>
      <c r="H20" s="66" t="inlineStr">
        <is>
          <t>Y</t>
        </is>
      </c>
      <c r="I20" s="66" t="inlineStr">
        <is>
          <t>Y</t>
        </is>
      </c>
      <c r="J20" s="66" t="n">
        <v>61.6</v>
      </c>
      <c r="K20" s="67">
        <f>IF(J20="","",IF(AND(J20&gt;=40,J20&lt;=68),"Y","N"))</f>
        <v/>
      </c>
      <c r="L20" s="66" t="inlineStr">
        <is>
          <t>Y</t>
        </is>
      </c>
      <c r="M20" s="66" t="n"/>
      <c r="N20" s="66" t="n"/>
      <c r="O20" s="66" t="n"/>
      <c r="P20" s="67">
        <f>COUNTIF(G20,"Y")+COUNTIF(H20,"Y")+COUNTIF(I20,"Y")+COUNTIF(K20,"Y")+COUNTIF(L20,"Y")+COUNTIF(M20,"Y")+COUNTIF(N20,"Y")+COUNTIF(O20,"Y")</f>
        <v/>
      </c>
      <c r="Q20" s="68">
        <f>IF(P20&gt;=6,"STRONG SETUP",IF(P20&gt;=4,"WATCHLIST","AVOID"))</f>
        <v/>
      </c>
    </row>
    <row r="21" ht="15" customHeight="1" s="45">
      <c r="A21" s="53" t="n">
        <v>17</v>
      </c>
      <c r="B21" s="53" t="inlineStr">
        <is>
          <t>Sri Lotus Developers &amp; Realty Ltd</t>
        </is>
      </c>
      <c r="C21" s="54" t="inlineStr">
        <is>
          <t>LOTUSDEV</t>
        </is>
      </c>
      <c r="D21" s="55" t="n">
        <v>180.39</v>
      </c>
      <c r="E21" s="56" t="n">
        <v>0.0393</v>
      </c>
      <c r="F21" s="57" t="n">
        <v>13259101</v>
      </c>
      <c r="G21" s="53">
        <f>IF(F21&gt;=$T$1,"Y","N")</f>
        <v/>
      </c>
      <c r="H21" s="66" t="inlineStr">
        <is>
          <t>Y</t>
        </is>
      </c>
      <c r="I21" s="66" t="inlineStr">
        <is>
          <t>Y</t>
        </is>
      </c>
      <c r="J21" s="66" t="n">
        <v>78.2</v>
      </c>
      <c r="K21" s="59">
        <f>IF(J21="","",IF(AND(J21&gt;=40,J21&lt;=68),"Y","N"))</f>
        <v/>
      </c>
      <c r="L21" s="66" t="inlineStr">
        <is>
          <t>Y</t>
        </is>
      </c>
      <c r="M21" s="66" t="n"/>
      <c r="N21" s="66" t="n"/>
      <c r="O21" s="66" t="n"/>
      <c r="P21" s="59">
        <f>COUNTIF(G21,"Y")+COUNTIF(H21,"Y")+COUNTIF(I21,"Y")+COUNTIF(K21,"Y")+COUNTIF(L21,"Y")+COUNTIF(M21,"Y")+COUNTIF(N21,"Y")+COUNTIF(O21,"Y")</f>
        <v/>
      </c>
      <c r="Q21" s="60">
        <f>IF(P21&gt;=6,"STRONG SETUP",IF(P21&gt;=4,"WATCHLIST","AVOID"))</f>
        <v/>
      </c>
    </row>
    <row r="22" ht="15" customHeight="1" s="45">
      <c r="A22" s="61" t="n">
        <v>18</v>
      </c>
      <c r="B22" s="61" t="inlineStr">
        <is>
          <t>Bhansali Engineering Polymers Limited</t>
        </is>
      </c>
      <c r="C22" s="62" t="inlineStr">
        <is>
          <t>BEPL</t>
        </is>
      </c>
      <c r="D22" s="63" t="n">
        <v>121.81</v>
      </c>
      <c r="E22" s="64" t="n">
        <v>0.0391</v>
      </c>
      <c r="F22" s="65" t="n">
        <v>8891160</v>
      </c>
      <c r="G22" s="61">
        <f>IF(F22&gt;=$T$1,"Y","N")</f>
        <v/>
      </c>
      <c r="H22" s="66" t="inlineStr">
        <is>
          <t>Y</t>
        </is>
      </c>
      <c r="I22" s="66" t="inlineStr">
        <is>
          <t>Y</t>
        </is>
      </c>
      <c r="J22" s="66" t="n">
        <v>72.59999999999999</v>
      </c>
      <c r="K22" s="67">
        <f>IF(J22="","",IF(AND(J22&gt;=40,J22&lt;=68),"Y","N"))</f>
        <v/>
      </c>
      <c r="L22" s="66" t="inlineStr">
        <is>
          <t>N</t>
        </is>
      </c>
      <c r="M22" s="66" t="n"/>
      <c r="N22" s="66" t="n"/>
      <c r="O22" s="66" t="n"/>
      <c r="P22" s="67">
        <f>COUNTIF(G22,"Y")+COUNTIF(H22,"Y")+COUNTIF(I22,"Y")+COUNTIF(K22,"Y")+COUNTIF(L22,"Y")+COUNTIF(M22,"Y")+COUNTIF(N22,"Y")+COUNTIF(O22,"Y")</f>
        <v/>
      </c>
      <c r="Q22" s="68">
        <f>IF(P22&gt;=6,"STRONG SETUP",IF(P22&gt;=4,"WATCHLIST","AVOID"))</f>
        <v/>
      </c>
    </row>
    <row r="23" ht="15" customHeight="1" s="45">
      <c r="A23" s="53" t="n">
        <v>19</v>
      </c>
      <c r="B23" s="53" t="inlineStr">
        <is>
          <t>Heg Limited</t>
        </is>
      </c>
      <c r="C23" s="54" t="inlineStr">
        <is>
          <t>HEG</t>
        </is>
      </c>
      <c r="D23" s="55" t="n">
        <v>643.15</v>
      </c>
      <c r="E23" s="56" t="n">
        <v>0.0309</v>
      </c>
      <c r="F23" s="57" t="n">
        <v>7737580</v>
      </c>
      <c r="G23" s="53">
        <f>IF(F23&gt;=$T$1,"Y","N")</f>
        <v/>
      </c>
      <c r="H23" s="66" t="inlineStr">
        <is>
          <t>Y</t>
        </is>
      </c>
      <c r="I23" s="66" t="inlineStr">
        <is>
          <t>Y</t>
        </is>
      </c>
      <c r="J23" s="66" t="n">
        <v>72.8</v>
      </c>
      <c r="K23" s="59">
        <f>IF(J23="","",IF(AND(J23&gt;=40,J23&lt;=68),"Y","N"))</f>
        <v/>
      </c>
      <c r="L23" s="66" t="inlineStr">
        <is>
          <t>Y</t>
        </is>
      </c>
      <c r="M23" s="66" t="n"/>
      <c r="N23" s="66" t="n"/>
      <c r="O23" s="66" t="n"/>
      <c r="P23" s="59">
        <f>COUNTIF(G23,"Y")+COUNTIF(H23,"Y")+COUNTIF(I23,"Y")+COUNTIF(K23,"Y")+COUNTIF(L23,"Y")+COUNTIF(M23,"Y")+COUNTIF(N23,"Y")+COUNTIF(O23,"Y")</f>
        <v/>
      </c>
      <c r="Q23" s="60">
        <f>IF(P23&gt;=6,"STRONG SETUP",IF(P23&gt;=4,"WATCHLIST","AVOID"))</f>
        <v/>
      </c>
    </row>
    <row r="24" ht="15" customHeight="1" s="45">
      <c r="A24" s="61" t="n">
        <v>20</v>
      </c>
      <c r="B24" s="61" t="inlineStr">
        <is>
          <t>Eastern Silk Industries Limited</t>
        </is>
      </c>
      <c r="C24" s="62" t="inlineStr">
        <is>
          <t>EASTSILK</t>
        </is>
      </c>
      <c r="D24" s="63" t="n">
        <v>55.19</v>
      </c>
      <c r="E24" s="64" t="n">
        <v>0.03</v>
      </c>
      <c r="F24" s="65" t="n">
        <v>1462</v>
      </c>
      <c r="G24" s="61">
        <f>IF(F24&gt;=$T$1,"Y","N")</f>
        <v/>
      </c>
      <c r="H24" s="66" t="inlineStr">
        <is>
          <t>Y</t>
        </is>
      </c>
      <c r="I24" s="66" t="inlineStr">
        <is>
          <t>N</t>
        </is>
      </c>
      <c r="J24" s="66" t="n">
        <v>66.59999999999999</v>
      </c>
      <c r="K24" s="67">
        <f>IF(J24="","",IF(AND(J24&gt;=40,J24&lt;=68),"Y","N"))</f>
        <v/>
      </c>
      <c r="L24" s="66" t="inlineStr">
        <is>
          <t>Y</t>
        </is>
      </c>
      <c r="M24" s="66" t="n"/>
      <c r="N24" s="66" t="n"/>
      <c r="O24" s="66" t="n"/>
      <c r="P24" s="67">
        <f>COUNTIF(G24,"Y")+COUNTIF(H24,"Y")+COUNTIF(I24,"Y")+COUNTIF(K24,"Y")+COUNTIF(L24,"Y")+COUNTIF(M24,"Y")+COUNTIF(N24,"Y")+COUNTIF(O24,"Y")</f>
        <v/>
      </c>
      <c r="Q24" s="68">
        <f>IF(P24&gt;=6,"STRONG SETUP",IF(P24&gt;=4,"WATCHLIST","AVOID"))</f>
        <v/>
      </c>
    </row>
    <row r="25" ht="15" customHeight="1" s="45">
      <c r="A25" s="53" t="n">
        <v>21</v>
      </c>
      <c r="B25" s="53" t="inlineStr">
        <is>
          <t>Vineet Laboratories Ltd</t>
        </is>
      </c>
      <c r="C25" s="54" t="inlineStr">
        <is>
          <t>VINEETLAB</t>
        </is>
      </c>
      <c r="D25" s="55" t="n">
        <v>38.52</v>
      </c>
      <c r="E25" s="56" t="n">
        <v>0.0299</v>
      </c>
      <c r="F25" s="57" t="n">
        <v>73138</v>
      </c>
      <c r="G25" s="53">
        <f>IF(F25&gt;=$T$1,"Y","N")</f>
        <v/>
      </c>
      <c r="H25" s="66" t="inlineStr">
        <is>
          <t>Y</t>
        </is>
      </c>
      <c r="I25" s="66" t="inlineStr">
        <is>
          <t>Y</t>
        </is>
      </c>
      <c r="J25" s="66" t="n">
        <v>70.5</v>
      </c>
      <c r="K25" s="59">
        <f>IF(J25="","",IF(AND(J25&gt;=40,J25&lt;=68),"Y","N"))</f>
        <v/>
      </c>
      <c r="L25" s="66" t="inlineStr">
        <is>
          <t>N</t>
        </is>
      </c>
      <c r="M25" s="66" t="n"/>
      <c r="N25" s="66" t="n"/>
      <c r="O25" s="66" t="n"/>
      <c r="P25" s="59">
        <f>COUNTIF(G25,"Y")+COUNTIF(H25,"Y")+COUNTIF(I25,"Y")+COUNTIF(K25,"Y")+COUNTIF(L25,"Y")+COUNTIF(M25,"Y")+COUNTIF(N25,"Y")+COUNTIF(O25,"Y")</f>
        <v/>
      </c>
      <c r="Q25" s="60">
        <f>IF(P25&gt;=6,"STRONG SETUP",IF(P25&gt;=4,"WATCHLIST","AVOID"))</f>
        <v/>
      </c>
    </row>
    <row r="26" ht="15" customHeight="1" s="45">
      <c r="A26" s="61" t="n">
        <v>22</v>
      </c>
      <c r="B26" s="61" t="inlineStr">
        <is>
          <t>KN Agri Resources Ltd</t>
        </is>
      </c>
      <c r="C26" s="62" t="inlineStr">
        <is>
          <t>KNAGRI</t>
        </is>
      </c>
      <c r="D26" s="63" t="n">
        <v>213.64</v>
      </c>
      <c r="E26" s="64" t="n">
        <v>0.0283</v>
      </c>
      <c r="F26" s="65" t="n">
        <v>6554</v>
      </c>
      <c r="G26" s="61">
        <f>IF(F26&gt;=$T$1,"Y","N")</f>
        <v/>
      </c>
      <c r="H26" s="66" t="inlineStr">
        <is>
          <t>Y</t>
        </is>
      </c>
      <c r="I26" s="66" t="inlineStr">
        <is>
          <t>Y</t>
        </is>
      </c>
      <c r="J26" s="66" t="n">
        <v>53.1</v>
      </c>
      <c r="K26" s="67">
        <f>IF(J26="","",IF(AND(J26&gt;=40,J26&lt;=68),"Y","N"))</f>
        <v/>
      </c>
      <c r="L26" s="66" t="inlineStr">
        <is>
          <t>N</t>
        </is>
      </c>
      <c r="M26" s="66" t="n"/>
      <c r="N26" s="66" t="n"/>
      <c r="O26" s="66" t="n"/>
      <c r="P26" s="67">
        <f>COUNTIF(G26,"Y")+COUNTIF(H26,"Y")+COUNTIF(I26,"Y")+COUNTIF(K26,"Y")+COUNTIF(L26,"Y")+COUNTIF(M26,"Y")+COUNTIF(N26,"Y")+COUNTIF(O26,"Y")</f>
        <v/>
      </c>
      <c r="Q26" s="68">
        <f>IF(P26&gt;=6,"STRONG SETUP",IF(P26&gt;=4,"WATCHLIST","AVOID"))</f>
        <v/>
      </c>
    </row>
    <row r="27" ht="15" customHeight="1" s="45">
      <c r="A27" s="53" t="n">
        <v>23</v>
      </c>
      <c r="B27" s="53" t="inlineStr">
        <is>
          <t>Lords Chloro Alkali Ltd</t>
        </is>
      </c>
      <c r="C27" s="54" t="inlineStr">
        <is>
          <t>LORDSCHLO</t>
        </is>
      </c>
      <c r="D27" s="55" t="n">
        <v>149.05</v>
      </c>
      <c r="E27" s="56" t="n">
        <v>0.0274</v>
      </c>
      <c r="F27" s="57" t="n">
        <v>38825</v>
      </c>
      <c r="G27" s="53">
        <f>IF(F27&gt;=$T$1,"Y","N")</f>
        <v/>
      </c>
      <c r="H27" s="66" t="inlineStr">
        <is>
          <t>Y</t>
        </is>
      </c>
      <c r="I27" s="66" t="inlineStr">
        <is>
          <t>N</t>
        </is>
      </c>
      <c r="J27" s="66" t="n">
        <v>58.1</v>
      </c>
      <c r="K27" s="59">
        <f>IF(J27="","",IF(AND(J27&gt;=40,J27&lt;=68),"Y","N"))</f>
        <v/>
      </c>
      <c r="L27" s="66" t="inlineStr">
        <is>
          <t>Y</t>
        </is>
      </c>
      <c r="M27" s="66" t="n"/>
      <c r="N27" s="66" t="n"/>
      <c r="O27" s="66" t="n"/>
      <c r="P27" s="59">
        <f>COUNTIF(G27,"Y")+COUNTIF(H27,"Y")+COUNTIF(I27,"Y")+COUNTIF(K27,"Y")+COUNTIF(L27,"Y")+COUNTIF(M27,"Y")+COUNTIF(N27,"Y")+COUNTIF(O27,"Y")</f>
        <v/>
      </c>
      <c r="Q27" s="60">
        <f>IF(P27&gt;=6,"STRONG SETUP",IF(P27&gt;=4,"WATCHLIST","AVOID"))</f>
        <v/>
      </c>
    </row>
    <row r="28" ht="15" customHeight="1" s="45">
      <c r="A28" s="61" t="n">
        <v>24</v>
      </c>
      <c r="B28" s="61" t="inlineStr">
        <is>
          <t>S J S Enterprises Ltd</t>
        </is>
      </c>
      <c r="C28" s="62" t="inlineStr">
        <is>
          <t>SJS</t>
        </is>
      </c>
      <c r="D28" s="63" t="n">
        <v>2335.6</v>
      </c>
      <c r="E28" s="64" t="n">
        <v>0.0265</v>
      </c>
      <c r="F28" s="65" t="n">
        <v>166714</v>
      </c>
      <c r="G28" s="61">
        <f>IF(F28&gt;=$T$1,"Y","N")</f>
        <v/>
      </c>
      <c r="H28" s="66" t="inlineStr">
        <is>
          <t>Y</t>
        </is>
      </c>
      <c r="I28" s="66" t="inlineStr">
        <is>
          <t>Y</t>
        </is>
      </c>
      <c r="J28" s="66" t="n">
        <v>71</v>
      </c>
      <c r="K28" s="67">
        <f>IF(J28="","",IF(AND(J28&gt;=40,J28&lt;=68),"Y","N"))</f>
        <v/>
      </c>
      <c r="L28" s="66" t="inlineStr">
        <is>
          <t>Y</t>
        </is>
      </c>
      <c r="M28" s="66" t="n"/>
      <c r="N28" s="66" t="n"/>
      <c r="O28" s="66" t="n"/>
      <c r="P28" s="67">
        <f>COUNTIF(G28,"Y")+COUNTIF(H28,"Y")+COUNTIF(I28,"Y")+COUNTIF(K28,"Y")+COUNTIF(L28,"Y")+COUNTIF(M28,"Y")+COUNTIF(N28,"Y")+COUNTIF(O28,"Y")</f>
        <v/>
      </c>
      <c r="Q28" s="68">
        <f>IF(P28&gt;=6,"STRONG SETUP",IF(P28&gt;=4,"WATCHLIST","AVOID"))</f>
        <v/>
      </c>
    </row>
    <row r="29" ht="15" customHeight="1" s="45">
      <c r="A29" s="53" t="n">
        <v>25</v>
      </c>
      <c r="B29" s="53" t="inlineStr">
        <is>
          <t>Ankit Metal &amp; Power Limited</t>
        </is>
      </c>
      <c r="C29" s="54" t="inlineStr">
        <is>
          <t>ANKITMETAL</t>
        </is>
      </c>
      <c r="D29" s="55" t="n">
        <v>1.53</v>
      </c>
      <c r="E29" s="56" t="n">
        <v>0.02</v>
      </c>
      <c r="F29" s="57" t="n">
        <v>32353</v>
      </c>
      <c r="G29" s="53">
        <f>IF(F29&gt;=$T$1,"Y","N")</f>
        <v/>
      </c>
      <c r="H29" s="66" t="inlineStr">
        <is>
          <t>Y</t>
        </is>
      </c>
      <c r="I29" s="66" t="inlineStr">
        <is>
          <t>N</t>
        </is>
      </c>
      <c r="J29" s="66" t="n">
        <v>58.7</v>
      </c>
      <c r="K29" s="59">
        <f>IF(J29="","",IF(AND(J29&gt;=40,J29&lt;=68),"Y","N"))</f>
        <v/>
      </c>
      <c r="L29" s="66" t="inlineStr">
        <is>
          <t>N</t>
        </is>
      </c>
      <c r="M29" s="66" t="n"/>
      <c r="N29" s="66" t="n"/>
      <c r="O29" s="66" t="n"/>
      <c r="P29" s="59">
        <f>COUNTIF(G29,"Y")+COUNTIF(H29,"Y")+COUNTIF(I29,"Y")+COUNTIF(K29,"Y")+COUNTIF(L29,"Y")+COUNTIF(M29,"Y")+COUNTIF(N29,"Y")+COUNTIF(O29,"Y")</f>
        <v/>
      </c>
      <c r="Q29" s="60">
        <f>IF(P29&gt;=6,"STRONG SETUP",IF(P29&gt;=4,"WATCHLIST","AVOID"))</f>
        <v/>
      </c>
    </row>
    <row r="30" ht="15" customHeight="1" s="45">
      <c r="A30" s="61" t="n">
        <v>26</v>
      </c>
      <c r="B30" s="61" t="inlineStr">
        <is>
          <t>Nilkamal Limited</t>
        </is>
      </c>
      <c r="C30" s="62" t="inlineStr">
        <is>
          <t>NILKAMAL</t>
        </is>
      </c>
      <c r="D30" s="63" t="n">
        <v>1676.1</v>
      </c>
      <c r="E30" s="64" t="n">
        <v>0.018</v>
      </c>
      <c r="F30" s="65" t="n">
        <v>63340</v>
      </c>
      <c r="G30" s="61">
        <f>IF(F30&gt;=$T$1,"Y","N")</f>
        <v/>
      </c>
      <c r="H30" s="66" t="inlineStr">
        <is>
          <t>Y</t>
        </is>
      </c>
      <c r="I30" s="66" t="inlineStr">
        <is>
          <t>Y</t>
        </is>
      </c>
      <c r="J30" s="66" t="n">
        <v>90.59999999999999</v>
      </c>
      <c r="K30" s="67">
        <f>IF(J30="","",IF(AND(J30&gt;=40,J30&lt;=68),"Y","N"))</f>
        <v/>
      </c>
      <c r="L30" s="66" t="inlineStr">
        <is>
          <t>N</t>
        </is>
      </c>
      <c r="M30" s="66" t="n"/>
      <c r="N30" s="66" t="n"/>
      <c r="O30" s="66" t="n"/>
      <c r="P30" s="67">
        <f>COUNTIF(G30,"Y")+COUNTIF(H30,"Y")+COUNTIF(I30,"Y")+COUNTIF(K30,"Y")+COUNTIF(L30,"Y")+COUNTIF(M30,"Y")+COUNTIF(N30,"Y")+COUNTIF(O30,"Y")</f>
        <v/>
      </c>
      <c r="Q30" s="68">
        <f>IF(P30&gt;=6,"STRONG SETUP",IF(P30&gt;=4,"WATCHLIST","AVOID"))</f>
        <v/>
      </c>
    </row>
    <row r="31" ht="15" customHeight="1" s="45">
      <c r="A31" s="53" t="n">
        <v>27</v>
      </c>
      <c r="B31" s="53" t="inlineStr">
        <is>
          <t>Nureca Ltd</t>
        </is>
      </c>
      <c r="C31" s="54" t="inlineStr">
        <is>
          <t>NURECA</t>
        </is>
      </c>
      <c r="D31" s="55" t="n">
        <v>301.64</v>
      </c>
      <c r="E31" s="56" t="n">
        <v>0.0164</v>
      </c>
      <c r="F31" s="57" t="n">
        <v>43709</v>
      </c>
      <c r="G31" s="53">
        <f>IF(F31&gt;=$T$1,"Y","N")</f>
        <v/>
      </c>
      <c r="H31" s="66" t="inlineStr">
        <is>
          <t>Y</t>
        </is>
      </c>
      <c r="I31" s="66" t="inlineStr">
        <is>
          <t>Y</t>
        </is>
      </c>
      <c r="J31" s="66" t="n">
        <v>81.8</v>
      </c>
      <c r="K31" s="59">
        <f>IF(J31="","",IF(AND(J31&gt;=40,J31&lt;=68),"Y","N"))</f>
        <v/>
      </c>
      <c r="L31" s="66" t="inlineStr">
        <is>
          <t>N</t>
        </is>
      </c>
      <c r="M31" s="66" t="n"/>
      <c r="N31" s="66" t="n"/>
      <c r="O31" s="66" t="n"/>
      <c r="P31" s="59">
        <f>COUNTIF(G31,"Y")+COUNTIF(H31,"Y")+COUNTIF(I31,"Y")+COUNTIF(K31,"Y")+COUNTIF(L31,"Y")+COUNTIF(M31,"Y")+COUNTIF(N31,"Y")+COUNTIF(O31,"Y")</f>
        <v/>
      </c>
      <c r="Q31" s="60">
        <f>IF(P31&gt;=6,"STRONG SETUP",IF(P31&gt;=4,"WATCHLIST","AVOID"))</f>
        <v/>
      </c>
    </row>
    <row r="32" ht="15" customHeight="1" s="45">
      <c r="A32" s="61" t="n">
        <v>28</v>
      </c>
      <c r="B32" s="61" t="inlineStr">
        <is>
          <t>Amd Industries Limited</t>
        </is>
      </c>
      <c r="C32" s="62" t="inlineStr">
        <is>
          <t>AMDIND</t>
        </is>
      </c>
      <c r="D32" s="63" t="n">
        <v>49.68</v>
      </c>
      <c r="E32" s="64" t="n">
        <v>0.0164</v>
      </c>
      <c r="F32" s="65" t="n">
        <v>28455</v>
      </c>
      <c r="G32" s="61">
        <f>IF(F32&gt;=$T$1,"Y","N")</f>
        <v/>
      </c>
      <c r="H32" s="66" t="inlineStr">
        <is>
          <t>Y</t>
        </is>
      </c>
      <c r="I32" s="66" t="inlineStr">
        <is>
          <t>Y</t>
        </is>
      </c>
      <c r="J32" s="66" t="n">
        <v>59.9</v>
      </c>
      <c r="K32" s="67">
        <f>IF(J32="","",IF(AND(J32&gt;=40,J32&lt;=68),"Y","N"))</f>
        <v/>
      </c>
      <c r="L32" s="66" t="inlineStr">
        <is>
          <t>N</t>
        </is>
      </c>
      <c r="M32" s="66" t="n"/>
      <c r="N32" s="66" t="n"/>
      <c r="O32" s="66" t="n"/>
      <c r="P32" s="67">
        <f>COUNTIF(G32,"Y")+COUNTIF(H32,"Y")+COUNTIF(I32,"Y")+COUNTIF(K32,"Y")+COUNTIF(L32,"Y")+COUNTIF(M32,"Y")+COUNTIF(N32,"Y")+COUNTIF(O32,"Y")</f>
        <v/>
      </c>
      <c r="Q32" s="68">
        <f>IF(P32&gt;=6,"STRONG SETUP",IF(P32&gt;=4,"WATCHLIST","AVOID"))</f>
        <v/>
      </c>
    </row>
    <row r="33" ht="15" customHeight="1" s="45">
      <c r="A33" s="53" t="n">
        <v>29</v>
      </c>
      <c r="B33" s="53" t="inlineStr">
        <is>
          <t>Bodal Chemicals Limited</t>
        </is>
      </c>
      <c r="C33" s="54" t="inlineStr">
        <is>
          <t>BODALCHEM</t>
        </is>
      </c>
      <c r="D33" s="55" t="n">
        <v>68.02</v>
      </c>
      <c r="E33" s="56" t="n">
        <v>0.0145</v>
      </c>
      <c r="F33" s="57" t="n">
        <v>119012</v>
      </c>
      <c r="G33" s="53">
        <f>IF(F33&gt;=$T$1,"Y","N")</f>
        <v/>
      </c>
      <c r="H33" s="66" t="inlineStr">
        <is>
          <t>Y</t>
        </is>
      </c>
      <c r="I33" s="66" t="inlineStr">
        <is>
          <t>Y</t>
        </is>
      </c>
      <c r="J33" s="66" t="n">
        <v>69.3</v>
      </c>
      <c r="K33" s="59">
        <f>IF(J33="","",IF(AND(J33&gt;=40,J33&lt;=68),"Y","N"))</f>
        <v/>
      </c>
      <c r="L33" s="66" t="inlineStr">
        <is>
          <t>N</t>
        </is>
      </c>
      <c r="M33" s="66" t="n"/>
      <c r="N33" s="66" t="n"/>
      <c r="O33" s="66" t="n"/>
      <c r="P33" s="59">
        <f>COUNTIF(G33,"Y")+COUNTIF(H33,"Y")+COUNTIF(I33,"Y")+COUNTIF(K33,"Y")+COUNTIF(L33,"Y")+COUNTIF(M33,"Y")+COUNTIF(N33,"Y")+COUNTIF(O33,"Y")</f>
        <v/>
      </c>
      <c r="Q33" s="60">
        <f>IF(P33&gt;=6,"STRONG SETUP",IF(P33&gt;=4,"WATCHLIST","AVOID"))</f>
        <v/>
      </c>
    </row>
    <row r="34" ht="15" customHeight="1" s="45">
      <c r="A34" s="61" t="n">
        <v>30</v>
      </c>
      <c r="B34" s="61" t="inlineStr">
        <is>
          <t>Hind Rectifiers Limited</t>
        </is>
      </c>
      <c r="C34" s="62" t="inlineStr">
        <is>
          <t>HIRECT</t>
        </is>
      </c>
      <c r="D34" s="63" t="n">
        <v>1301.9</v>
      </c>
      <c r="E34" s="64" t="n">
        <v>0.0132</v>
      </c>
      <c r="F34" s="65" t="n">
        <v>64247</v>
      </c>
      <c r="G34" s="61">
        <f>IF(F34&gt;=$T$1,"Y","N")</f>
        <v/>
      </c>
      <c r="H34" s="66" t="inlineStr">
        <is>
          <t>Y</t>
        </is>
      </c>
      <c r="I34" s="66" t="inlineStr">
        <is>
          <t>Y</t>
        </is>
      </c>
      <c r="J34" s="66" t="n">
        <v>71</v>
      </c>
      <c r="K34" s="67">
        <f>IF(J34="","",IF(AND(J34&gt;=40,J34&lt;=68),"Y","N"))</f>
        <v/>
      </c>
      <c r="L34" s="66" t="inlineStr">
        <is>
          <t>N</t>
        </is>
      </c>
      <c r="M34" s="66" t="n"/>
      <c r="N34" s="66" t="n"/>
      <c r="O34" s="66" t="n"/>
      <c r="P34" s="67">
        <f>COUNTIF(G34,"Y")+COUNTIF(H34,"Y")+COUNTIF(I34,"Y")+COUNTIF(K34,"Y")+COUNTIF(L34,"Y")+COUNTIF(M34,"Y")+COUNTIF(N34,"Y")+COUNTIF(O34,"Y")</f>
        <v/>
      </c>
      <c r="Q34" s="68">
        <f>IF(P34&gt;=6,"STRONG SETUP",IF(P34&gt;=4,"WATCHLIST","AVOID"))</f>
        <v/>
      </c>
    </row>
    <row r="35" ht="15" customHeight="1" s="45">
      <c r="A35" s="53" t="n">
        <v>31</v>
      </c>
      <c r="B35" s="53" t="inlineStr">
        <is>
          <t>Tatva Chintan Pharma Chem Ltd</t>
        </is>
      </c>
      <c r="C35" s="54" t="inlineStr">
        <is>
          <t>TATVA</t>
        </is>
      </c>
      <c r="D35" s="55" t="n">
        <v>1722.4</v>
      </c>
      <c r="E35" s="56" t="n">
        <v>0.0127</v>
      </c>
      <c r="F35" s="57" t="n">
        <v>156269</v>
      </c>
      <c r="G35" s="53">
        <f>IF(F35&gt;=$T$1,"Y","N")</f>
        <v/>
      </c>
      <c r="H35" s="66" t="inlineStr">
        <is>
          <t>Y</t>
        </is>
      </c>
      <c r="I35" s="66" t="inlineStr">
        <is>
          <t>Y</t>
        </is>
      </c>
      <c r="J35" s="66" t="n">
        <v>80.5</v>
      </c>
      <c r="K35" s="59">
        <f>IF(J35="","",IF(AND(J35&gt;=40,J35&lt;=68),"Y","N"))</f>
        <v/>
      </c>
      <c r="L35" s="66" t="inlineStr">
        <is>
          <t>N</t>
        </is>
      </c>
      <c r="M35" s="66" t="n"/>
      <c r="N35" s="66" t="n"/>
      <c r="O35" s="66" t="n"/>
      <c r="P35" s="59">
        <f>COUNTIF(G35,"Y")+COUNTIF(H35,"Y")+COUNTIF(I35,"Y")+COUNTIF(K35,"Y")+COUNTIF(L35,"Y")+COUNTIF(M35,"Y")+COUNTIF(N35,"Y")+COUNTIF(O35,"Y")</f>
        <v/>
      </c>
      <c r="Q35" s="60">
        <f>IF(P35&gt;=6,"STRONG SETUP",IF(P35&gt;=4,"WATCHLIST","AVOID"))</f>
        <v/>
      </c>
    </row>
    <row r="36" ht="15" customHeight="1" s="45">
      <c r="A36" s="61" t="n">
        <v>32</v>
      </c>
      <c r="B36" s="61" t="inlineStr">
        <is>
          <t>Epigral Ltd</t>
        </is>
      </c>
      <c r="C36" s="62" t="inlineStr">
        <is>
          <t>EPIGRAL</t>
        </is>
      </c>
      <c r="D36" s="63" t="n">
        <v>1162.7</v>
      </c>
      <c r="E36" s="64" t="n">
        <v>0.009299999999999999</v>
      </c>
      <c r="F36" s="65" t="n">
        <v>301772</v>
      </c>
      <c r="G36" s="61">
        <f>IF(F36&gt;=$T$1,"Y","N")</f>
        <v/>
      </c>
      <c r="H36" s="66" t="inlineStr">
        <is>
          <t>Y</t>
        </is>
      </c>
      <c r="I36" s="66" t="inlineStr">
        <is>
          <t>N</t>
        </is>
      </c>
      <c r="J36" s="66" t="n">
        <v>71.09999999999999</v>
      </c>
      <c r="K36" s="67">
        <f>IF(J36="","",IF(AND(J36&gt;=40,J36&lt;=68),"Y","N"))</f>
        <v/>
      </c>
      <c r="L36" s="66" t="inlineStr">
        <is>
          <t>Y</t>
        </is>
      </c>
      <c r="M36" s="66" t="n"/>
      <c r="N36" s="66" t="n"/>
      <c r="O36" s="66" t="n"/>
      <c r="P36" s="67">
        <f>COUNTIF(G36,"Y")+COUNTIF(H36,"Y")+COUNTIF(I36,"Y")+COUNTIF(K36,"Y")+COUNTIF(L36,"Y")+COUNTIF(M36,"Y")+COUNTIF(N36,"Y")+COUNTIF(O36,"Y")</f>
        <v/>
      </c>
      <c r="Q36" s="68">
        <f>IF(P36&gt;=6,"STRONG SETUP",IF(P36&gt;=4,"WATCHLIST","AVOID"))</f>
        <v/>
      </c>
    </row>
    <row r="37" ht="15" customHeight="1" s="45">
      <c r="A37" s="53" t="n">
        <v>33</v>
      </c>
      <c r="B37" s="53" t="inlineStr">
        <is>
          <t>Poddar Pigments Limited</t>
        </is>
      </c>
      <c r="C37" s="54" t="inlineStr">
        <is>
          <t>PODDARMENT</t>
        </is>
      </c>
      <c r="D37" s="55" t="n">
        <v>263.98</v>
      </c>
      <c r="E37" s="56" t="n">
        <v>0.0091</v>
      </c>
      <c r="F37" s="57" t="n">
        <v>5129</v>
      </c>
      <c r="G37" s="53">
        <f>IF(F37&gt;=$T$1,"Y","N")</f>
        <v/>
      </c>
      <c r="H37" s="66" t="inlineStr">
        <is>
          <t>Y</t>
        </is>
      </c>
      <c r="I37" s="66" t="inlineStr">
        <is>
          <t>Y</t>
        </is>
      </c>
      <c r="J37" s="66" t="n">
        <v>63.8</v>
      </c>
      <c r="K37" s="59">
        <f>IF(J37="","",IF(AND(J37&gt;=40,J37&lt;=68),"Y","N"))</f>
        <v/>
      </c>
      <c r="L37" s="66" t="inlineStr">
        <is>
          <t>N</t>
        </is>
      </c>
      <c r="M37" s="66" t="n"/>
      <c r="N37" s="66" t="n"/>
      <c r="O37" s="66" t="n"/>
      <c r="P37" s="59">
        <f>COUNTIF(G37,"Y")+COUNTIF(H37,"Y")+COUNTIF(I37,"Y")+COUNTIF(K37,"Y")+COUNTIF(L37,"Y")+COUNTIF(M37,"Y")+COUNTIF(N37,"Y")+COUNTIF(O37,"Y")</f>
        <v/>
      </c>
      <c r="Q37" s="60">
        <f>IF(P37&gt;=6,"STRONG SETUP",IF(P37&gt;=4,"WATCHLIST","AVOID"))</f>
        <v/>
      </c>
    </row>
    <row r="38" ht="15" customHeight="1" s="45">
      <c r="A38" s="61" t="n">
        <v>34</v>
      </c>
      <c r="B38" s="61" t="inlineStr">
        <is>
          <t>Supreme Petrochem Ltd</t>
        </is>
      </c>
      <c r="C38" s="62" t="inlineStr">
        <is>
          <t>SPLPETRO</t>
        </is>
      </c>
      <c r="D38" s="63" t="n">
        <v>741.6</v>
      </c>
      <c r="E38" s="64" t="n">
        <v>0.008399999999999999</v>
      </c>
      <c r="F38" s="65" t="n">
        <v>210520</v>
      </c>
      <c r="G38" s="61">
        <f>IF(F38&gt;=$T$1,"Y","N")</f>
        <v/>
      </c>
      <c r="H38" s="66" t="inlineStr">
        <is>
          <t>Y</t>
        </is>
      </c>
      <c r="I38" s="66" t="inlineStr">
        <is>
          <t>Y</t>
        </is>
      </c>
      <c r="J38" s="66" t="n">
        <v>59.6</v>
      </c>
      <c r="K38" s="67">
        <f>IF(J38="","",IF(AND(J38&gt;=40,J38&lt;=68),"Y","N"))</f>
        <v/>
      </c>
      <c r="L38" s="66" t="inlineStr">
        <is>
          <t>N</t>
        </is>
      </c>
      <c r="M38" s="66" t="n"/>
      <c r="N38" s="66" t="n"/>
      <c r="O38" s="66" t="n"/>
      <c r="P38" s="67">
        <f>COUNTIF(G38,"Y")+COUNTIF(H38,"Y")+COUNTIF(I38,"Y")+COUNTIF(K38,"Y")+COUNTIF(L38,"Y")+COUNTIF(M38,"Y")+COUNTIF(N38,"Y")+COUNTIF(O38,"Y")</f>
        <v/>
      </c>
      <c r="Q38" s="68">
        <f>IF(P38&gt;=6,"STRONG SETUP",IF(P38&gt;=4,"WATCHLIST","AVOID"))</f>
        <v/>
      </c>
    </row>
    <row r="39" ht="15" customHeight="1" s="45">
      <c r="A39" s="53" t="n">
        <v>35</v>
      </c>
      <c r="B39" s="53" t="inlineStr">
        <is>
          <t>S &amp; S Power Switchgear Ltd</t>
        </is>
      </c>
      <c r="C39" s="54" t="inlineStr">
        <is>
          <t>S&amp;SPOWER</t>
        </is>
      </c>
      <c r="D39" s="55" t="n">
        <v>347.3</v>
      </c>
      <c r="E39" s="56" t="n">
        <v>0.0077</v>
      </c>
      <c r="F39" s="57" t="n">
        <v>4791</v>
      </c>
      <c r="G39" s="53">
        <f>IF(F39&gt;=$T$1,"Y","N")</f>
        <v/>
      </c>
      <c r="H39" s="66" t="inlineStr">
        <is>
          <t>N</t>
        </is>
      </c>
      <c r="I39" s="66" t="inlineStr">
        <is>
          <t>Y</t>
        </is>
      </c>
      <c r="J39" s="66" t="n">
        <v>39.3</v>
      </c>
      <c r="K39" s="59">
        <f>IF(J39="","",IF(AND(J39&gt;=40,J39&lt;=68),"Y","N"))</f>
        <v/>
      </c>
      <c r="L39" s="66" t="inlineStr">
        <is>
          <t>Y</t>
        </is>
      </c>
      <c r="M39" s="66" t="n"/>
      <c r="N39" s="66" t="n"/>
      <c r="O39" s="66" t="n"/>
      <c r="P39" s="59">
        <f>COUNTIF(G39,"Y")+COUNTIF(H39,"Y")+COUNTIF(I39,"Y")+COUNTIF(K39,"Y")+COUNTIF(L39,"Y")+COUNTIF(M39,"Y")+COUNTIF(N39,"Y")+COUNTIF(O39,"Y")</f>
        <v/>
      </c>
      <c r="Q39" s="60">
        <f>IF(P39&gt;=6,"STRONG SETUP",IF(P39&gt;=4,"WATCHLIST","AVOID"))</f>
        <v/>
      </c>
    </row>
    <row r="40" ht="15" customHeight="1" s="45">
      <c r="A40" s="61" t="n">
        <v>36</v>
      </c>
      <c r="B40" s="61" t="inlineStr">
        <is>
          <t>Popular Vehicles &amp; Services Ltd</t>
        </is>
      </c>
      <c r="C40" s="62" t="inlineStr">
        <is>
          <t>PVSL</t>
        </is>
      </c>
      <c r="D40" s="63" t="n">
        <v>106.01</v>
      </c>
      <c r="E40" s="64" t="n">
        <v>0.0065</v>
      </c>
      <c r="F40" s="65" t="n">
        <v>56743</v>
      </c>
      <c r="G40" s="61">
        <f>IF(F40&gt;=$T$1,"Y","N")</f>
        <v/>
      </c>
      <c r="H40" s="66" t="inlineStr">
        <is>
          <t>Y</t>
        </is>
      </c>
      <c r="I40" s="66" t="inlineStr">
        <is>
          <t>N</t>
        </is>
      </c>
      <c r="J40" s="66" t="n">
        <v>71.90000000000001</v>
      </c>
      <c r="K40" s="67">
        <f>IF(J40="","",IF(AND(J40&gt;=40,J40&lt;=68),"Y","N"))</f>
        <v/>
      </c>
      <c r="L40" s="66" t="inlineStr">
        <is>
          <t>N</t>
        </is>
      </c>
      <c r="M40" s="66" t="n"/>
      <c r="N40" s="66" t="n"/>
      <c r="O40" s="66" t="n"/>
      <c r="P40" s="67">
        <f>COUNTIF(G40,"Y")+COUNTIF(H40,"Y")+COUNTIF(I40,"Y")+COUNTIF(K40,"Y")+COUNTIF(L40,"Y")+COUNTIF(M40,"Y")+COUNTIF(N40,"Y")+COUNTIF(O40,"Y")</f>
        <v/>
      </c>
      <c r="Q40" s="68">
        <f>IF(P40&gt;=6,"STRONG SETUP",IF(P40&gt;=4,"WATCHLIST","AVOID"))</f>
        <v/>
      </c>
    </row>
    <row r="41" ht="15" customHeight="1" s="45">
      <c r="A41" s="53" t="n">
        <v>37</v>
      </c>
      <c r="B41" s="53" t="inlineStr">
        <is>
          <t>Indiqube Spaces Ltd</t>
        </is>
      </c>
      <c r="C41" s="54" t="inlineStr">
        <is>
          <t>INDIQUBE</t>
        </is>
      </c>
      <c r="D41" s="55" t="n">
        <v>181.31</v>
      </c>
      <c r="E41" s="56" t="n">
        <v>0.0057</v>
      </c>
      <c r="F41" s="57" t="n">
        <v>31337</v>
      </c>
      <c r="G41" s="53">
        <f>IF(F41&gt;=$T$1,"Y","N")</f>
        <v/>
      </c>
      <c r="H41" s="66" t="inlineStr">
        <is>
          <t>Y</t>
        </is>
      </c>
      <c r="I41" s="66" t="inlineStr">
        <is>
          <t>N</t>
        </is>
      </c>
      <c r="J41" s="66" t="n">
        <v>62.8</v>
      </c>
      <c r="K41" s="59">
        <f>IF(J41="","",IF(AND(J41&gt;=40,J41&lt;=68),"Y","N"))</f>
        <v/>
      </c>
      <c r="L41" s="66" t="inlineStr">
        <is>
          <t>N</t>
        </is>
      </c>
      <c r="M41" s="66" t="n"/>
      <c r="N41" s="66" t="n"/>
      <c r="O41" s="66" t="n"/>
      <c r="P41" s="59">
        <f>COUNTIF(G41,"Y")+COUNTIF(H41,"Y")+COUNTIF(I41,"Y")+COUNTIF(K41,"Y")+COUNTIF(L41,"Y")+COUNTIF(M41,"Y")+COUNTIF(N41,"Y")+COUNTIF(O41,"Y")</f>
        <v/>
      </c>
      <c r="Q41" s="60">
        <f>IF(P41&gt;=6,"STRONG SETUP",IF(P41&gt;=4,"WATCHLIST","AVOID"))</f>
        <v/>
      </c>
    </row>
    <row r="42" ht="15" customHeight="1" s="45">
      <c r="A42" s="61" t="n">
        <v>38</v>
      </c>
      <c r="B42" s="61" t="inlineStr">
        <is>
          <t>BirlaNu Ltd</t>
        </is>
      </c>
      <c r="C42" s="62" t="inlineStr">
        <is>
          <t>BIRLANU</t>
        </is>
      </c>
      <c r="D42" s="63" t="n">
        <v>1351.9</v>
      </c>
      <c r="E42" s="64" t="n">
        <v>0.0036</v>
      </c>
      <c r="F42" s="65" t="n">
        <v>6522</v>
      </c>
      <c r="G42" s="61">
        <f>IF(F42&gt;=$T$1,"Y","N")</f>
        <v/>
      </c>
      <c r="H42" s="66" t="inlineStr">
        <is>
          <t>Y</t>
        </is>
      </c>
      <c r="I42" s="66" t="inlineStr">
        <is>
          <t>N</t>
        </is>
      </c>
      <c r="J42" s="66" t="n">
        <v>51.4</v>
      </c>
      <c r="K42" s="67">
        <f>IF(J42="","",IF(AND(J42&gt;=40,J42&lt;=68),"Y","N"))</f>
        <v/>
      </c>
      <c r="L42" s="66" t="inlineStr">
        <is>
          <t>N</t>
        </is>
      </c>
      <c r="M42" s="66" t="n"/>
      <c r="N42" s="66" t="n"/>
      <c r="O42" s="66" t="n"/>
      <c r="P42" s="67">
        <f>COUNTIF(G42,"Y")+COUNTIF(H42,"Y")+COUNTIF(I42,"Y")+COUNTIF(K42,"Y")+COUNTIF(L42,"Y")+COUNTIF(M42,"Y")+COUNTIF(N42,"Y")+COUNTIF(O42,"Y")</f>
        <v/>
      </c>
      <c r="Q42" s="68">
        <f>IF(P42&gt;=6,"STRONG SETUP",IF(P42&gt;=4,"WATCHLIST","AVOID"))</f>
        <v/>
      </c>
    </row>
    <row r="43" ht="15" customHeight="1" s="45">
      <c r="A43" s="53" t="n">
        <v>39</v>
      </c>
      <c r="B43" s="53" t="inlineStr">
        <is>
          <t>Arihant Capital Markets Ltd</t>
        </is>
      </c>
      <c r="C43" s="54" t="inlineStr">
        <is>
          <t>ARIHANTCAP</t>
        </is>
      </c>
      <c r="D43" s="55" t="n">
        <v>81.62</v>
      </c>
      <c r="E43" s="56" t="n">
        <v>0.0021</v>
      </c>
      <c r="F43" s="57" t="n">
        <v>967198</v>
      </c>
      <c r="G43" s="53">
        <f>IF(F43&gt;=$T$1,"Y","N")</f>
        <v/>
      </c>
      <c r="H43" s="66" t="inlineStr">
        <is>
          <t>Y</t>
        </is>
      </c>
      <c r="I43" s="66" t="inlineStr">
        <is>
          <t>Y</t>
        </is>
      </c>
      <c r="J43" s="66" t="n">
        <v>63.2</v>
      </c>
      <c r="K43" s="59">
        <f>IF(J43="","",IF(AND(J43&gt;=40,J43&lt;=68),"Y","N"))</f>
        <v/>
      </c>
      <c r="L43" s="66" t="inlineStr">
        <is>
          <t>Y</t>
        </is>
      </c>
      <c r="M43" s="66" t="n"/>
      <c r="N43" s="66" t="n"/>
      <c r="O43" s="66" t="n"/>
      <c r="P43" s="59">
        <f>COUNTIF(G43,"Y")+COUNTIF(H43,"Y")+COUNTIF(I43,"Y")+COUNTIF(K43,"Y")+COUNTIF(L43,"Y")+COUNTIF(M43,"Y")+COUNTIF(N43,"Y")+COUNTIF(O43,"Y")</f>
        <v/>
      </c>
      <c r="Q43" s="60">
        <f>IF(P43&gt;=6,"STRONG SETUP",IF(P43&gt;=4,"WATCHLIST","AVOID"))</f>
        <v/>
      </c>
    </row>
    <row r="44" ht="15" customHeight="1" s="45">
      <c r="A44" s="61" t="n">
        <v>40</v>
      </c>
      <c r="B44" s="61" t="inlineStr">
        <is>
          <t>Gandhar Oil Refinery (India) Ltd</t>
        </is>
      </c>
      <c r="C44" s="62" t="inlineStr">
        <is>
          <t>GANDHAR</t>
        </is>
      </c>
      <c r="D44" s="63" t="n">
        <v>282.46</v>
      </c>
      <c r="E44" s="64" t="n">
        <v>0.0018</v>
      </c>
      <c r="F44" s="65" t="n">
        <v>35869266</v>
      </c>
      <c r="G44" s="61">
        <f>IF(F44&gt;=$T$1,"Y","N")</f>
        <v/>
      </c>
      <c r="H44" s="66" t="inlineStr">
        <is>
          <t>Y</t>
        </is>
      </c>
      <c r="I44" s="66" t="inlineStr">
        <is>
          <t>Y</t>
        </is>
      </c>
      <c r="J44" s="66" t="n">
        <v>91.3</v>
      </c>
      <c r="K44" s="67">
        <f>IF(J44="","",IF(AND(J44&gt;=40,J44&lt;=68),"Y","N"))</f>
        <v/>
      </c>
      <c r="L44" s="66" t="inlineStr">
        <is>
          <t>Y</t>
        </is>
      </c>
      <c r="M44" s="66" t="n"/>
      <c r="N44" s="66" t="n"/>
      <c r="O44" s="66" t="n"/>
      <c r="P44" s="67">
        <f>COUNTIF(G44,"Y")+COUNTIF(H44,"Y")+COUNTIF(I44,"Y")+COUNTIF(K44,"Y")+COUNTIF(L44,"Y")+COUNTIF(M44,"Y")+COUNTIF(N44,"Y")+COUNTIF(O44,"Y")</f>
        <v/>
      </c>
      <c r="Q44" s="68">
        <f>IF(P44&gt;=6,"STRONG SETUP",IF(P44&gt;=4,"WATCHLIST","AVOID"))</f>
        <v/>
      </c>
    </row>
    <row r="45" ht="15" customHeight="1" s="45">
      <c r="A45" s="53" t="n">
        <v>41</v>
      </c>
      <c r="B45" s="53" t="inlineStr">
        <is>
          <t>Kapston Services Ltd</t>
        </is>
      </c>
      <c r="C45" s="54" t="inlineStr">
        <is>
          <t>KAPSTON</t>
        </is>
      </c>
      <c r="D45" s="55" t="n">
        <v>460.7</v>
      </c>
      <c r="E45" s="56" t="n">
        <v>0.0008</v>
      </c>
      <c r="F45" s="57" t="n">
        <v>32196</v>
      </c>
      <c r="G45" s="53">
        <f>IF(F45&gt;=$T$1,"Y","N")</f>
        <v/>
      </c>
      <c r="H45" s="66" t="inlineStr">
        <is>
          <t>Y</t>
        </is>
      </c>
      <c r="I45" s="66" t="inlineStr">
        <is>
          <t>Y</t>
        </is>
      </c>
      <c r="J45" s="66" t="n">
        <v>80.8</v>
      </c>
      <c r="K45" s="59">
        <f>IF(J45="","",IF(AND(J45&gt;=40,J45&lt;=68),"Y","N"))</f>
        <v/>
      </c>
      <c r="L45" s="66" t="inlineStr">
        <is>
          <t>N</t>
        </is>
      </c>
      <c r="M45" s="66" t="n"/>
      <c r="N45" s="66" t="n"/>
      <c r="O45" s="66" t="n"/>
      <c r="P45" s="59">
        <f>COUNTIF(G45,"Y")+COUNTIF(H45,"Y")+COUNTIF(I45,"Y")+COUNTIF(K45,"Y")+COUNTIF(L45,"Y")+COUNTIF(M45,"Y")+COUNTIF(N45,"Y")+COUNTIF(O45,"Y")</f>
        <v/>
      </c>
      <c r="Q45" s="60">
        <f>IF(P45&gt;=6,"STRONG SETUP",IF(P45&gt;=4,"WATCHLIST","AVOID"))</f>
        <v/>
      </c>
    </row>
    <row r="46" ht="15" customHeight="1" s="45">
      <c r="A46" s="61" t="n">
        <v>42</v>
      </c>
      <c r="B46" s="61" t="inlineStr">
        <is>
          <t>Universus Photo Imagings Ltd</t>
        </is>
      </c>
      <c r="C46" s="62" t="inlineStr">
        <is>
          <t>UNIVPHOTO</t>
        </is>
      </c>
      <c r="D46" s="63" t="n">
        <v>475.75</v>
      </c>
      <c r="E46" s="64" t="n">
        <v>-0.0002</v>
      </c>
      <c r="F46" s="65" t="n">
        <v>2824</v>
      </c>
      <c r="G46" s="61">
        <f>IF(F46&gt;=$T$1,"Y","N")</f>
        <v/>
      </c>
      <c r="H46" s="66" t="inlineStr">
        <is>
          <t>Y</t>
        </is>
      </c>
      <c r="I46" s="66" t="inlineStr">
        <is>
          <t>Y</t>
        </is>
      </c>
      <c r="J46" s="66" t="n">
        <v>95.40000000000001</v>
      </c>
      <c r="K46" s="67">
        <f>IF(J46="","",IF(AND(J46&gt;=40,J46&lt;=68),"Y","N"))</f>
        <v/>
      </c>
      <c r="L46" s="66" t="inlineStr">
        <is>
          <t>Y</t>
        </is>
      </c>
      <c r="M46" s="66" t="n"/>
      <c r="N46" s="66" t="n"/>
      <c r="O46" s="66" t="n"/>
      <c r="P46" s="67">
        <f>COUNTIF(G46,"Y")+COUNTIF(H46,"Y")+COUNTIF(I46,"Y")+COUNTIF(K46,"Y")+COUNTIF(L46,"Y")+COUNTIF(M46,"Y")+COUNTIF(N46,"Y")+COUNTIF(O46,"Y")</f>
        <v/>
      </c>
      <c r="Q46" s="68">
        <f>IF(P46&gt;=6,"STRONG SETUP",IF(P46&gt;=4,"WATCHLIST","AVOID"))</f>
        <v/>
      </c>
    </row>
    <row r="47" ht="15" customHeight="1" s="45">
      <c r="A47" s="53" t="n">
        <v>43</v>
      </c>
      <c r="B47" s="53" t="inlineStr">
        <is>
          <t>Sikko Industries Ltd</t>
        </is>
      </c>
      <c r="C47" s="54" t="inlineStr">
        <is>
          <t>SIKKO</t>
        </is>
      </c>
      <c r="D47" s="55" t="n">
        <v>4.7</v>
      </c>
      <c r="E47" s="56" t="n">
        <v>-0.0042</v>
      </c>
      <c r="F47" s="57" t="n">
        <v>529309</v>
      </c>
      <c r="G47" s="53">
        <f>IF(F47&gt;=$T$1,"Y","N")</f>
        <v/>
      </c>
      <c r="H47" s="66" t="inlineStr">
        <is>
          <t>Y</t>
        </is>
      </c>
      <c r="I47" s="66" t="inlineStr">
        <is>
          <t>Y</t>
        </is>
      </c>
      <c r="J47" s="66" t="n">
        <v>79.90000000000001</v>
      </c>
      <c r="K47" s="59">
        <f>IF(J47="","",IF(AND(J47&gt;=40,J47&lt;=68),"Y","N"))</f>
        <v/>
      </c>
      <c r="L47" s="66" t="inlineStr">
        <is>
          <t>N</t>
        </is>
      </c>
      <c r="M47" s="66" t="n"/>
      <c r="N47" s="66" t="n"/>
      <c r="O47" s="66" t="n"/>
      <c r="P47" s="59">
        <f>COUNTIF(G47,"Y")+COUNTIF(H47,"Y")+COUNTIF(I47,"Y")+COUNTIF(K47,"Y")+COUNTIF(L47,"Y")+COUNTIF(M47,"Y")+COUNTIF(N47,"Y")+COUNTIF(O47,"Y")</f>
        <v/>
      </c>
      <c r="Q47" s="60">
        <f>IF(P47&gt;=6,"STRONG SETUP",IF(P47&gt;=4,"WATCHLIST","AVOID"))</f>
        <v/>
      </c>
    </row>
    <row r="48" ht="15" customHeight="1" s="45">
      <c r="A48" s="61" t="n">
        <v>44</v>
      </c>
      <c r="B48" s="61" t="inlineStr">
        <is>
          <t>Ashima Limited</t>
        </is>
      </c>
      <c r="C48" s="62" t="inlineStr">
        <is>
          <t>ASHIMASYN</t>
        </is>
      </c>
      <c r="D48" s="63" t="n">
        <v>16.85</v>
      </c>
      <c r="E48" s="64" t="n">
        <v>-0.0059</v>
      </c>
      <c r="F48" s="65" t="n">
        <v>96050</v>
      </c>
      <c r="G48" s="61">
        <f>IF(F48&gt;=$T$1,"Y","N")</f>
        <v/>
      </c>
      <c r="H48" s="66" t="inlineStr">
        <is>
          <t>Y</t>
        </is>
      </c>
      <c r="I48" s="66" t="inlineStr">
        <is>
          <t>N</t>
        </is>
      </c>
      <c r="J48" s="66" t="n">
        <v>64.09999999999999</v>
      </c>
      <c r="K48" s="67">
        <f>IF(J48="","",IF(AND(J48&gt;=40,J48&lt;=68),"Y","N"))</f>
        <v/>
      </c>
      <c r="L48" s="66" t="inlineStr">
        <is>
          <t>N</t>
        </is>
      </c>
      <c r="M48" s="66" t="n"/>
      <c r="N48" s="66" t="n"/>
      <c r="O48" s="66" t="n"/>
      <c r="P48" s="67">
        <f>COUNTIF(G48,"Y")+COUNTIF(H48,"Y")+COUNTIF(I48,"Y")+COUNTIF(K48,"Y")+COUNTIF(L48,"Y")+COUNTIF(M48,"Y")+COUNTIF(N48,"Y")+COUNTIF(O48,"Y")</f>
        <v/>
      </c>
      <c r="Q48" s="68">
        <f>IF(P48&gt;=6,"STRONG SETUP",IF(P48&gt;=4,"WATCHLIST","AVOID"))</f>
        <v/>
      </c>
    </row>
    <row r="49" ht="15" customHeight="1" s="45">
      <c r="A49" s="53" t="n">
        <v>45</v>
      </c>
      <c r="B49" s="53" t="inlineStr">
        <is>
          <t>Consolidated Finvest &amp; Holdings Limited</t>
        </is>
      </c>
      <c r="C49" s="54" t="inlineStr">
        <is>
          <t>CONSOFINVT</t>
        </is>
      </c>
      <c r="D49" s="55" t="n">
        <v>286.42</v>
      </c>
      <c r="E49" s="56" t="n">
        <v>-0.0067</v>
      </c>
      <c r="F49" s="57" t="n">
        <v>15812</v>
      </c>
      <c r="G49" s="53">
        <f>IF(F49&gt;=$T$1,"Y","N")</f>
        <v/>
      </c>
      <c r="H49" s="66" t="inlineStr">
        <is>
          <t>Y</t>
        </is>
      </c>
      <c r="I49" s="66" t="inlineStr">
        <is>
          <t>Y</t>
        </is>
      </c>
      <c r="J49" s="66" t="n">
        <v>76.40000000000001</v>
      </c>
      <c r="K49" s="59">
        <f>IF(J49="","",IF(AND(J49&gt;=40,J49&lt;=68),"Y","N"))</f>
        <v/>
      </c>
      <c r="L49" s="66" t="inlineStr">
        <is>
          <t>N</t>
        </is>
      </c>
      <c r="M49" s="66" t="n"/>
      <c r="N49" s="66" t="n"/>
      <c r="O49" s="66" t="n"/>
      <c r="P49" s="59">
        <f>COUNTIF(G49,"Y")+COUNTIF(H49,"Y")+COUNTIF(I49,"Y")+COUNTIF(K49,"Y")+COUNTIF(L49,"Y")+COUNTIF(M49,"Y")+COUNTIF(N49,"Y")+COUNTIF(O49,"Y")</f>
        <v/>
      </c>
      <c r="Q49" s="60">
        <f>IF(P49&gt;=6,"STRONG SETUP",IF(P49&gt;=4,"WATCHLIST","AVOID"))</f>
        <v/>
      </c>
    </row>
    <row r="50" ht="15" customHeight="1" s="45">
      <c r="A50" s="61" t="n">
        <v>46</v>
      </c>
      <c r="B50" s="61" t="inlineStr">
        <is>
          <t>Jana Small Finance Bank Ltd</t>
        </is>
      </c>
      <c r="C50" s="62" t="inlineStr">
        <is>
          <t>JSFB</t>
        </is>
      </c>
      <c r="D50" s="63" t="n">
        <v>536.95</v>
      </c>
      <c r="E50" s="64" t="n">
        <v>-0.0086</v>
      </c>
      <c r="F50" s="65" t="n">
        <v>589753</v>
      </c>
      <c r="G50" s="61">
        <f>IF(F50&gt;=$T$1,"Y","N")</f>
        <v/>
      </c>
      <c r="H50" s="66" t="inlineStr">
        <is>
          <t>Y</t>
        </is>
      </c>
      <c r="I50" s="66" t="inlineStr">
        <is>
          <t>Y</t>
        </is>
      </c>
      <c r="J50" s="66" t="n">
        <v>73.59999999999999</v>
      </c>
      <c r="K50" s="67">
        <f>IF(J50="","",IF(AND(J50&gt;=40,J50&lt;=68),"Y","N"))</f>
        <v/>
      </c>
      <c r="L50" s="66" t="inlineStr">
        <is>
          <t>N</t>
        </is>
      </c>
      <c r="M50" s="66" t="n"/>
      <c r="N50" s="66" t="n"/>
      <c r="O50" s="66" t="n"/>
      <c r="P50" s="67">
        <f>COUNTIF(G50,"Y")+COUNTIF(H50,"Y")+COUNTIF(I50,"Y")+COUNTIF(K50,"Y")+COUNTIF(L50,"Y")+COUNTIF(M50,"Y")+COUNTIF(N50,"Y")+COUNTIF(O50,"Y")</f>
        <v/>
      </c>
      <c r="Q50" s="68">
        <f>IF(P50&gt;=6,"STRONG SETUP",IF(P50&gt;=4,"WATCHLIST","AVOID"))</f>
        <v/>
      </c>
    </row>
    <row r="51" ht="15" customHeight="1" s="45">
      <c r="A51" s="53" t="n">
        <v>47</v>
      </c>
      <c r="B51" s="53" t="inlineStr">
        <is>
          <t>GSP Crop Science Ltd</t>
        </is>
      </c>
      <c r="C51" s="54" t="inlineStr">
        <is>
          <t>GSPCROP</t>
        </is>
      </c>
      <c r="D51" s="55" t="n">
        <v>530.5</v>
      </c>
      <c r="E51" s="56" t="n">
        <v>-0.0287</v>
      </c>
      <c r="F51" s="57" t="n">
        <v>246804</v>
      </c>
      <c r="G51" s="53">
        <f>IF(F51&gt;=$T$1,"Y","N")</f>
        <v/>
      </c>
      <c r="H51" s="66" t="inlineStr">
        <is>
          <t>Y</t>
        </is>
      </c>
      <c r="I51" s="66" t="n"/>
      <c r="J51" s="66" t="n">
        <v>80.90000000000001</v>
      </c>
      <c r="K51" s="59">
        <f>IF(J51="","",IF(AND(J51&gt;=40,J51&lt;=68),"Y","N"))</f>
        <v/>
      </c>
      <c r="L51" s="66" t="inlineStr">
        <is>
          <t>N</t>
        </is>
      </c>
      <c r="M51" s="66" t="n"/>
      <c r="N51" s="66" t="n"/>
      <c r="O51" s="66" t="n"/>
      <c r="P51" s="59">
        <f>COUNTIF(G51,"Y")+COUNTIF(H51,"Y")+COUNTIF(I51,"Y")+COUNTIF(K51,"Y")+COUNTIF(L51,"Y")+COUNTIF(M51,"Y")+COUNTIF(N51,"Y")+COUNTIF(O51,"Y")</f>
        <v/>
      </c>
      <c r="Q51" s="60">
        <f>IF(P51&gt;=6,"STRONG SETUP",IF(P51&gt;=4,"WATCHLIST","AVOID"))</f>
        <v/>
      </c>
    </row>
    <row r="52" ht="15" customHeight="1" s="45">
      <c r="A52" s="61" t="n">
        <v>48</v>
      </c>
      <c r="B52" s="61" t="inlineStr">
        <is>
          <t>Emami Paper Mills Ltd</t>
        </is>
      </c>
      <c r="C52" s="62" t="inlineStr">
        <is>
          <t>EMAMIPAP</t>
        </is>
      </c>
      <c r="D52" s="63" t="n">
        <v>118.18</v>
      </c>
      <c r="E52" s="64" t="n">
        <v>-0.0382</v>
      </c>
      <c r="F52" s="65" t="n">
        <v>280286</v>
      </c>
      <c r="G52" s="61">
        <f>IF(F52&gt;=$T$1,"Y","N")</f>
        <v/>
      </c>
      <c r="H52" s="66" t="inlineStr">
        <is>
          <t>Y</t>
        </is>
      </c>
      <c r="I52" s="66" t="inlineStr">
        <is>
          <t>Y</t>
        </is>
      </c>
      <c r="J52" s="66" t="n">
        <v>83.5</v>
      </c>
      <c r="K52" s="67">
        <f>IF(J52="","",IF(AND(J52&gt;=40,J52&lt;=68),"Y","N"))</f>
        <v/>
      </c>
      <c r="L52" s="66" t="inlineStr">
        <is>
          <t>N</t>
        </is>
      </c>
      <c r="M52" s="66" t="n"/>
      <c r="N52" s="66" t="n"/>
      <c r="O52" s="66" t="n"/>
      <c r="P52" s="67">
        <f>COUNTIF(G52,"Y")+COUNTIF(H52,"Y")+COUNTIF(I52,"Y")+COUNTIF(K52,"Y")+COUNTIF(L52,"Y")+COUNTIF(M52,"Y")+COUNTIF(N52,"Y")+COUNTIF(O52,"Y")</f>
        <v/>
      </c>
      <c r="Q52" s="68">
        <f>IF(P52&gt;=6,"STRONG SETUP",IF(P52&gt;=4,"WATCHLIST","AVOID"))</f>
        <v/>
      </c>
    </row>
    <row r="53" ht="15" customHeight="1" s="45">
      <c r="A53" s="53" t="n">
        <v>49</v>
      </c>
      <c r="B53" s="53" t="inlineStr">
        <is>
          <t>Shardul Securities Ltd</t>
        </is>
      </c>
      <c r="C53" s="54" t="inlineStr">
        <is>
          <t>SHARDUL</t>
        </is>
      </c>
      <c r="D53" s="55" t="n">
        <v>53.61</v>
      </c>
      <c r="E53" s="56" t="n">
        <v>-0.05</v>
      </c>
      <c r="F53" s="57" t="n">
        <v>577</v>
      </c>
      <c r="G53" s="53">
        <f>IF(F53&gt;=$T$1,"Y","N")</f>
        <v/>
      </c>
      <c r="H53" s="66" t="inlineStr">
        <is>
          <t>Y</t>
        </is>
      </c>
      <c r="I53" s="66" t="n"/>
      <c r="J53" s="66" t="n">
        <v>81.59999999999999</v>
      </c>
      <c r="K53" s="59">
        <f>IF(J53="","",IF(AND(J53&gt;=40,J53&lt;=68),"Y","N"))</f>
        <v/>
      </c>
      <c r="L53" s="66" t="inlineStr">
        <is>
          <t>N</t>
        </is>
      </c>
      <c r="M53" s="66" t="n"/>
      <c r="N53" s="66" t="n"/>
      <c r="O53" s="66" t="n"/>
      <c r="P53" s="59">
        <f>COUNTIF(G53,"Y")+COUNTIF(H53,"Y")+COUNTIF(I53,"Y")+COUNTIF(K53,"Y")+COUNTIF(L53,"Y")+COUNTIF(M53,"Y")+COUNTIF(N53,"Y")+COUNTIF(O53,"Y")</f>
        <v/>
      </c>
      <c r="Q53" s="60">
        <f>IF(P53&gt;=6,"STRONG SETUP",IF(P53&gt;=4,"WATCHLIST","AVOID"))</f>
        <v/>
      </c>
    </row>
  </sheetData>
  <mergeCells count="2">
    <mergeCell ref="A2:Q2"/>
    <mergeCell ref="A1:Q1"/>
  </mergeCells>
  <conditionalFormatting sqref="Q5:Q53">
    <cfRule type="cellIs" rank="0" priority="2" equalAverage="0" operator="equal" aboveAverage="0" dxfId="0" text="" percent="0" bottom="0">
      <formula>"STRONG SETUP"</formula>
    </cfRule>
    <cfRule type="cellIs" rank="0" priority="3" equalAverage="0" operator="equal" aboveAverage="0" dxfId="1" text="" percent="0" bottom="0">
      <formula>"WATCHLIST"</formula>
    </cfRule>
    <cfRule type="cellIs" rank="0" priority="4" equalAverage="0" operator="equal" aboveAverage="0" dxfId="2" text="" percent="0" bottom="0">
      <formula>"AVOID"</formula>
    </cfRule>
  </conditionalFormatting>
  <dataValidations count="1">
    <dataValidation sqref="H5:I53 L5:O53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4" min="1" max="1"/>
    <col width="42" customWidth="1" style="44" min="2" max="3"/>
  </cols>
  <sheetData>
    <row r="1" ht="19.7" customHeight="1" s="45">
      <c r="A1" s="46" t="inlineStr">
        <is>
          <t>Pre-Trade Checklist — Factors to Confirm Before Entering ANY Trade</t>
        </is>
      </c>
    </row>
    <row r="2" ht="15" customHeight="1" s="45">
      <c r="A2" s="47" t="inlineStr">
        <is>
          <t>Go down this list before you click Buy. If you can't tick a box, that's a reason to skip the trade.</t>
        </is>
      </c>
    </row>
    <row r="4" ht="19.5" customHeight="1" s="45">
      <c r="A4" s="69" t="inlineStr">
        <is>
          <t>Factor</t>
        </is>
      </c>
      <c r="B4" s="69" t="inlineStr">
        <is>
          <t>Intraday Requirement</t>
        </is>
      </c>
      <c r="C4" s="69" t="inlineStr">
        <is>
          <t>Swing Requirement</t>
        </is>
      </c>
    </row>
    <row r="5" ht="31.5" customHeight="1" s="45">
      <c r="A5" s="70" t="inlineStr">
        <is>
          <t>Market Context</t>
        </is>
      </c>
      <c r="B5" s="71" t="inlineStr">
        <is>
          <t>Nifty/Bank Nifty trend aligned with your trade direction — don't fight the index</t>
        </is>
      </c>
      <c r="C5" s="71" t="inlineStr">
        <is>
          <t>Weekly Nifty trend supportive; avoid fresh longs in a broader downtrend</t>
        </is>
      </c>
    </row>
    <row r="6" ht="31.5" customHeight="1" s="45">
      <c r="A6" s="72" t="inlineStr">
        <is>
          <t>Sector Strength</t>
        </is>
      </c>
      <c r="B6" s="73" t="inlineStr">
        <is>
          <t>Sector index (e.g. Nifty Auto, Nifty IT) outperforming or in line with the move</t>
        </is>
      </c>
      <c r="C6" s="73" t="inlineStr">
        <is>
          <t>Sector showing relative strength over past 2-4 weeks</t>
        </is>
      </c>
    </row>
    <row r="7" ht="31.5" customHeight="1" s="45">
      <c r="A7" s="70" t="inlineStr">
        <is>
          <t>Trend Structure</t>
        </is>
      </c>
      <c r="B7" s="71" t="inlineStr">
        <is>
          <t>Price above VWAP; above 9/21 EMA on 15-min chart</t>
        </is>
      </c>
      <c r="C7" s="71" t="inlineStr">
        <is>
          <t>Price above 50 DMA; ideally above 200 DMA too</t>
        </is>
      </c>
    </row>
    <row r="8" ht="31.5" customHeight="1" s="45">
      <c r="A8" s="72" t="inlineStr">
        <is>
          <t>Momentum</t>
        </is>
      </c>
      <c r="B8" s="73" t="inlineStr">
        <is>
          <t>RSI(14) rising, not already above 80</t>
        </is>
      </c>
      <c r="C8" s="73" t="inlineStr">
        <is>
          <t>RSI(14) between 40-68 — avoid chasing an overbought spike</t>
        </is>
      </c>
    </row>
    <row r="9" ht="31.5" customHeight="1" s="45">
      <c r="A9" s="70" t="inlineStr">
        <is>
          <t>Volume Confirmation</t>
        </is>
      </c>
      <c r="B9" s="71" t="inlineStr">
        <is>
          <t>Volume in first 30 min meaningfully above recent average</t>
        </is>
      </c>
      <c r="C9" s="71" t="inlineStr">
        <is>
          <t>Breakout day volume &gt;1.5x the 20-day average volume</t>
        </is>
      </c>
    </row>
    <row r="10" ht="31.5" customHeight="1" s="45">
      <c r="A10" s="72" t="inlineStr">
        <is>
          <t>Support/Resistance</t>
        </is>
      </c>
      <c r="B10" s="73" t="inlineStr">
        <is>
          <t>Clear intraday level to place stop just below/above</t>
        </is>
      </c>
      <c r="C10" s="73" t="inlineStr">
        <is>
          <t>Clean swing low or breakout level to anchor the stop-loss</t>
        </is>
      </c>
    </row>
    <row r="11" ht="31.5" customHeight="1" s="45">
      <c r="A11" s="70" t="inlineStr">
        <is>
          <t>Liquidity</t>
        </is>
      </c>
      <c r="B11" s="71" t="inlineStr">
        <is>
          <t>Avg daily volume high enough that your order won't move the price</t>
        </is>
      </c>
      <c r="C11" s="71" t="inlineStr">
        <is>
          <t>Min. ~50,000 shares/day traded so you can exit without slippage</t>
        </is>
      </c>
    </row>
    <row r="12" ht="31.5" customHeight="1" s="45">
      <c r="A12" s="72" t="inlineStr">
        <is>
          <t>Risk:Reward</t>
        </is>
      </c>
      <c r="B12" s="73" t="inlineStr">
        <is>
          <t>Minimum 1:1.5, ideally 1:2 before you take the trade</t>
        </is>
      </c>
      <c r="C12" s="73" t="inlineStr">
        <is>
          <t>Minimum 1:2, ideally 1:3 given the longer holding period</t>
        </is>
      </c>
    </row>
    <row r="13" ht="31.5" customHeight="1" s="45">
      <c r="A13" s="70" t="inlineStr">
        <is>
          <t>News/Events</t>
        </is>
      </c>
      <c r="B13" s="71" t="inlineStr">
        <is>
          <t>No results, board meeting, or major news due today (gap risk)</t>
        </is>
      </c>
      <c r="C13" s="71" t="inlineStr">
        <is>
          <t>No results/corporate action expected during your planned holding window</t>
        </is>
      </c>
    </row>
    <row r="14" ht="31.5" customHeight="1" s="45">
      <c r="A14" s="72" t="inlineStr">
        <is>
          <t>Institutional Flow</t>
        </is>
      </c>
      <c r="B14" s="73" t="inlineStr">
        <is>
          <t>Not essential, but a plus if seen in bulk/block deals</t>
        </is>
      </c>
      <c r="C14" s="73" t="inlineStr">
        <is>
          <t>FII/DII accumulation trend positive (from your scanner)</t>
        </is>
      </c>
    </row>
    <row r="15" ht="31.5" customHeight="1" s="45">
      <c r="A15" s="70" t="inlineStr">
        <is>
          <t>Position Sizing</t>
        </is>
      </c>
      <c r="B15" s="71" t="inlineStr">
        <is>
          <t>Risk max 1% of capital; size decided BEFORE entry, not after</t>
        </is>
      </c>
      <c r="C15" s="71" t="inlineStr">
        <is>
          <t>Risk max 1-1.5% of capital; size decided BEFORE entry</t>
        </is>
      </c>
    </row>
    <row r="16" ht="31.5" customHeight="1" s="45">
      <c r="A16" s="72" t="inlineStr">
        <is>
          <t>Time of Entry</t>
        </is>
      </c>
      <c r="B16" s="73" t="inlineStr">
        <is>
          <t>Avoid first 5-10 min chop; best windows 9:45-11:00 and 2:00-2:45</t>
        </is>
      </c>
      <c r="C16" s="73" t="inlineStr">
        <is>
          <t>Not applicable — swing entries can be placed via GTT orders</t>
        </is>
      </c>
    </row>
    <row r="17" ht="31.5" customHeight="1" s="45">
      <c r="A17" s="70" t="inlineStr">
        <is>
          <t>Your Mental State</t>
        </is>
      </c>
      <c r="B17" s="71" t="inlineStr">
        <is>
          <t>Not revenge trading, not forcing a trade out of boredom</t>
        </is>
      </c>
      <c r="C17" s="71" t="inlineStr">
        <is>
          <t>Not forcing a trade because 'the market is doing something'</t>
        </is>
      </c>
    </row>
    <row r="19" ht="15" customHeight="1" s="45">
      <c r="A19" s="74" t="inlineStr">
        <is>
          <t>RED FLAGS — Skip the Trade If Any of These Are True</t>
        </is>
      </c>
    </row>
    <row r="20" ht="19.5" customHeight="1" s="45">
      <c r="A20" s="75" t="inlineStr">
        <is>
          <t>⚠  Stock is already at/near a 5-day upper circuit — you'll likely be chasing a trap</t>
        </is>
      </c>
    </row>
    <row r="21" ht="19.5" customHeight="1" s="45">
      <c r="A21" s="75" t="inlineStr">
        <is>
          <t>⚠  Average daily volume under 50,000 shares — you may not be able to exit cleanly</t>
        </is>
      </c>
    </row>
    <row r="22" ht="19.5" customHeight="1" s="45">
      <c r="A22" s="75" t="inlineStr">
        <is>
          <t>⚠  Results, AGM, or board meeting scheduled during your intended holding period</t>
        </is>
      </c>
    </row>
    <row r="23" ht="19.5" customHeight="1" s="45">
      <c r="A23" s="75" t="inlineStr">
        <is>
          <t>⚠  You don't have a stop-loss level decided BEFORE entering</t>
        </is>
      </c>
    </row>
    <row r="24" ht="19.5" customHeight="1" s="45">
      <c r="A24" s="75" t="inlineStr">
        <is>
          <t>⚠  You already have 3+ open positions — don't overextend, manage what you have first</t>
        </is>
      </c>
    </row>
    <row r="25" ht="19.5" customHeight="1" s="45">
      <c r="A25" s="75" t="inlineStr">
        <is>
          <t>⚠  You're entering because you're chasing a loss from an earlier trade today</t>
        </is>
      </c>
    </row>
    <row r="26" ht="19.5" customHeight="1" s="45">
      <c r="A26" s="75" t="inlineStr">
        <is>
          <t>⚠  The setup only 'sort of' meets your checklist — half-formed setups get half-formed results</t>
        </is>
      </c>
    </row>
  </sheetData>
  <mergeCells count="10">
    <mergeCell ref="A25:C25"/>
    <mergeCell ref="A20:C20"/>
    <mergeCell ref="A19:C19"/>
    <mergeCell ref="A1:C1"/>
    <mergeCell ref="A23:C23"/>
    <mergeCell ref="A22:C22"/>
    <mergeCell ref="A21:C21"/>
    <mergeCell ref="A26:C26"/>
    <mergeCell ref="A24:C24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44" min="1" max="1"/>
    <col width="16" customWidth="1" style="44" min="2" max="2"/>
    <col width="3" customWidth="1" style="44" min="3" max="3"/>
    <col width="18" customWidth="1" style="44" min="5" max="5"/>
    <col width="12" customWidth="1" style="44" min="6" max="6"/>
    <col width="14" customWidth="1" style="44" min="7" max="7"/>
    <col width="12" customWidth="1" style="44" min="8" max="8"/>
    <col width="11" customWidth="1" style="44" min="9" max="10"/>
    <col width="14" customWidth="1" style="44" min="11" max="11"/>
    <col width="16" customWidth="1" style="44" min="12" max="12"/>
    <col width="14" customWidth="1" style="44" min="13" max="13"/>
  </cols>
  <sheetData>
    <row r="1" ht="19.7" customHeight="1" s="45">
      <c r="A1" s="46" t="inlineStr">
        <is>
          <t>Risk-Reward &amp; Position Size Calculator</t>
        </is>
      </c>
    </row>
    <row r="2" ht="15" customHeight="1" s="45">
      <c r="A2" s="47" t="inlineStr">
        <is>
          <t>Type your Capital, Risk %, Entry, Stop-Loss, Target in the YELLOW cells. Everything else calculates automatically.</t>
        </is>
      </c>
    </row>
    <row r="4" ht="15" customHeight="1" s="45">
      <c r="A4" s="76" t="inlineStr">
        <is>
          <t>ACCOUNT SETTINGS</t>
        </is>
      </c>
      <c r="B4" s="77" t="n"/>
      <c r="E4" s="78" t="inlineStr">
        <is>
          <t>SCENARIO COMPARISON — Test Multiple Trade Ideas</t>
        </is>
      </c>
    </row>
    <row r="5" ht="30" customHeight="1" s="45">
      <c r="A5" s="53" t="inlineStr">
        <is>
          <t>Total Trading Capital (Rs.)</t>
        </is>
      </c>
      <c r="B5" s="51" t="n">
        <v>100000</v>
      </c>
      <c r="E5" s="52" t="inlineStr">
        <is>
          <t>Stock/Symbol</t>
        </is>
      </c>
      <c r="F5" s="52" t="inlineStr">
        <is>
          <t>Entry (Rs.)</t>
        </is>
      </c>
      <c r="G5" s="52" t="inlineStr">
        <is>
          <t>Stop-Loss (Rs.)</t>
        </is>
      </c>
      <c r="H5" s="52" t="inlineStr">
        <is>
          <t>Target (Rs.)</t>
        </is>
      </c>
      <c r="I5" s="52" t="inlineStr">
        <is>
          <t>R:R Ratio</t>
        </is>
      </c>
      <c r="J5" s="52" t="inlineStr">
        <is>
          <t>Qty (auto)</t>
        </is>
      </c>
      <c r="K5" s="52" t="inlineStr">
        <is>
          <t>Capital Used (Rs.)</t>
        </is>
      </c>
      <c r="L5" s="52" t="inlineStr">
        <is>
          <t>Profit if Target (Rs.)</t>
        </is>
      </c>
      <c r="M5" s="52" t="inlineStr">
        <is>
          <t>Loss if Stop (Rs.)</t>
        </is>
      </c>
    </row>
    <row r="6" ht="15" customHeight="1" s="45">
      <c r="A6" s="53" t="inlineStr">
        <is>
          <t>Max Risk per Trade (%)</t>
        </is>
      </c>
      <c r="B6" s="79" t="n">
        <v>0.01</v>
      </c>
      <c r="E6" s="80" t="inlineStr">
        <is>
          <t>KCPSUGIND</t>
        </is>
      </c>
      <c r="F6" s="81" t="n">
        <v>27.85</v>
      </c>
      <c r="G6" s="81" t="n">
        <v>26.5</v>
      </c>
      <c r="H6" s="81" t="n">
        <v>30.5</v>
      </c>
      <c r="I6" s="82">
        <f>IF(OR(F6="",G6=""),"-","1 : "&amp;TEXT(ABS(H6-F6)/ABS(F6-G6),"0.00"))</f>
        <v/>
      </c>
      <c r="J6" s="83">
        <f>IF(OR(F6="",G6=""),0,FLOOR(($B$15)/ABS(F6-G6),1))</f>
        <v/>
      </c>
      <c r="K6" s="83">
        <f>J6*F6</f>
        <v/>
      </c>
      <c r="L6" s="84">
        <f>J6*ABS(H6-F6)</f>
        <v/>
      </c>
      <c r="M6" s="84">
        <f>J6*ABS(F6-G6)</f>
        <v/>
      </c>
    </row>
    <row r="7" ht="15" customHeight="1" s="45">
      <c r="E7" s="80" t="inlineStr">
        <is>
          <t>MPSLTD</t>
        </is>
      </c>
      <c r="F7" s="81" t="n">
        <v>2769.7</v>
      </c>
      <c r="G7" s="81" t="n">
        <v>2680</v>
      </c>
      <c r="H7" s="81" t="n">
        <v>2950</v>
      </c>
      <c r="I7" s="82">
        <f>IF(OR(F7="",G7=""),"-","1 : "&amp;TEXT(ABS(H7-F7)/ABS(F7-G7),"0.00"))</f>
        <v/>
      </c>
      <c r="J7" s="83">
        <f>IF(OR(F7="",G7=""),0,FLOOR(($B$15)/ABS(F7-G7),1))</f>
        <v/>
      </c>
      <c r="K7" s="83">
        <f>J7*F7</f>
        <v/>
      </c>
      <c r="L7" s="84">
        <f>J7*ABS(H7-F7)</f>
        <v/>
      </c>
      <c r="M7" s="84">
        <f>J7*ABS(F7-G7)</f>
        <v/>
      </c>
    </row>
    <row r="8" ht="15" customHeight="1" s="45">
      <c r="A8" s="78" t="inlineStr">
        <is>
          <t>SINGLE TRADE CALCULATOR</t>
        </is>
      </c>
      <c r="E8" s="80" t="n"/>
      <c r="F8" s="81" t="n"/>
      <c r="G8" s="81" t="n"/>
      <c r="H8" s="81" t="n"/>
      <c r="I8" s="82">
        <f>IF(OR(F8="",G8=""),"-","1 : "&amp;TEXT(ABS(H8-F8)/ABS(F8-G8),"0.00"))</f>
        <v/>
      </c>
      <c r="J8" s="83">
        <f>IF(OR(F8="",G8=""),0,FLOOR(($B$15)/ABS(F8-G8),1))</f>
        <v/>
      </c>
      <c r="K8" s="83">
        <f>J8*F8</f>
        <v/>
      </c>
      <c r="L8" s="84">
        <f>J8*ABS(H8-F8)</f>
        <v/>
      </c>
      <c r="M8" s="84">
        <f>J8*ABS(F8-G8)</f>
        <v/>
      </c>
    </row>
    <row r="9" ht="15" customHeight="1" s="45">
      <c r="A9" s="85" t="inlineStr">
        <is>
          <t>Entry Price (Rs.)</t>
        </is>
      </c>
      <c r="B9" s="81" t="n">
        <v>100</v>
      </c>
      <c r="E9" s="80" t="n"/>
      <c r="F9" s="81" t="n"/>
      <c r="G9" s="81" t="n"/>
      <c r="H9" s="81" t="n"/>
      <c r="I9" s="82">
        <f>IF(OR(F9="",G9=""),"-","1 : "&amp;TEXT(ABS(H9-F9)/ABS(F9-G9),"0.00"))</f>
        <v/>
      </c>
      <c r="J9" s="83">
        <f>IF(OR(F9="",G9=""),0,FLOOR(($B$15)/ABS(F9-G9),1))</f>
        <v/>
      </c>
      <c r="K9" s="83">
        <f>J9*F9</f>
        <v/>
      </c>
      <c r="L9" s="84">
        <f>J9*ABS(H9-F9)</f>
        <v/>
      </c>
      <c r="M9" s="84">
        <f>J9*ABS(F9-G9)</f>
        <v/>
      </c>
    </row>
    <row r="10" ht="15" customHeight="1" s="45">
      <c r="A10" s="85" t="inlineStr">
        <is>
          <t>Stop-Loss Price (Rs.)</t>
        </is>
      </c>
      <c r="B10" s="81" t="n">
        <v>96</v>
      </c>
      <c r="E10" s="80" t="n"/>
      <c r="F10" s="81" t="n"/>
      <c r="G10" s="81" t="n"/>
      <c r="H10" s="81" t="n"/>
      <c r="I10" s="82">
        <f>IF(OR(F10="",G10=""),"-","1 : "&amp;TEXT(ABS(H10-F10)/ABS(F10-G10),"0.00"))</f>
        <v/>
      </c>
      <c r="J10" s="83">
        <f>IF(OR(F10="",G10=""),0,FLOOR(($B$15)/ABS(F10-G10),1))</f>
        <v/>
      </c>
      <c r="K10" s="83">
        <f>J10*F10</f>
        <v/>
      </c>
      <c r="L10" s="84">
        <f>J10*ABS(H10-F10)</f>
        <v/>
      </c>
      <c r="M10" s="84">
        <f>J10*ABS(F10-G10)</f>
        <v/>
      </c>
    </row>
    <row r="11" ht="15" customHeight="1" s="45">
      <c r="A11" s="85" t="inlineStr">
        <is>
          <t>Target Price (Rs.)</t>
        </is>
      </c>
      <c r="B11" s="81" t="n">
        <v>108</v>
      </c>
      <c r="E11" s="80" t="n"/>
      <c r="F11" s="81" t="n"/>
      <c r="G11" s="81" t="n"/>
      <c r="H11" s="81" t="n"/>
      <c r="I11" s="82">
        <f>IF(OR(F11="",G11=""),"-","1 : "&amp;TEXT(ABS(H11-F11)/ABS(F11-G11),"0.00"))</f>
        <v/>
      </c>
      <c r="J11" s="83">
        <f>IF(OR(F11="",G11=""),0,FLOOR(($B$15)/ABS(F11-G11),1))</f>
        <v/>
      </c>
      <c r="K11" s="83">
        <f>J11*F11</f>
        <v/>
      </c>
      <c r="L11" s="84">
        <f>J11*ABS(H11-F11)</f>
        <v/>
      </c>
      <c r="M11" s="84">
        <f>J11*ABS(F11-G11)</f>
        <v/>
      </c>
    </row>
    <row r="12" ht="15" customHeight="1" s="45">
      <c r="A12" s="85" t="inlineStr">
        <is>
          <t>Risk per Share (Rs.)</t>
        </is>
      </c>
      <c r="B12" s="86">
        <f>ABS(B9-B10)</f>
        <v/>
      </c>
    </row>
    <row r="13" ht="15" customHeight="1" s="45">
      <c r="A13" s="85" t="inlineStr">
        <is>
          <t>Reward per Share (Rs.)</t>
        </is>
      </c>
      <c r="B13" s="86">
        <f>ABS(B11-B9)</f>
        <v/>
      </c>
    </row>
    <row r="14" ht="15" customHeight="1" s="45">
      <c r="A14" s="85" t="inlineStr">
        <is>
          <t>Risk : Reward Ratio</t>
        </is>
      </c>
      <c r="B14" s="82">
        <f>IF(B12=0,"-","1 : "&amp;TEXT(B13/B12,"0.00"))</f>
        <v/>
      </c>
    </row>
    <row r="15" ht="15" customHeight="1" s="45">
      <c r="A15" s="85" t="inlineStr">
        <is>
          <t>Max Risk Amount (Rs.)</t>
        </is>
      </c>
      <c r="B15" s="83">
        <f>B5*B6</f>
        <v/>
      </c>
    </row>
    <row r="16" ht="15" customHeight="1" s="45">
      <c r="A16" s="85" t="inlineStr">
        <is>
          <t>Suggested Position Size (Qty)</t>
        </is>
      </c>
      <c r="B16" s="84">
        <f>IF(B12=0,0,FLOOR(B15/B12,1))</f>
        <v/>
      </c>
    </row>
    <row r="17" ht="15" customHeight="1" s="45">
      <c r="A17" s="85" t="inlineStr">
        <is>
          <t>Capital Deployed (Rs.)</t>
        </is>
      </c>
      <c r="B17" s="83">
        <f>B16*B9</f>
        <v/>
      </c>
    </row>
    <row r="18" ht="15" customHeight="1" s="45">
      <c r="A18" s="85" t="inlineStr">
        <is>
          <t>% of Capital Deployed</t>
        </is>
      </c>
      <c r="B18" s="87">
        <f>IF(B5=0,0,B17/B5)</f>
        <v/>
      </c>
    </row>
    <row r="19" ht="15" customHeight="1" s="45">
      <c r="A19" s="85" t="inlineStr">
        <is>
          <t>Potential Profit if Target Hit (Rs.)</t>
        </is>
      </c>
      <c r="B19" s="84">
        <f>B16*B13</f>
        <v/>
      </c>
    </row>
    <row r="20" ht="15" customHeight="1" s="45">
      <c r="A20" s="85" t="inlineStr">
        <is>
          <t>Potential Loss if Stop Hit (Rs.)</t>
        </is>
      </c>
      <c r="B20" s="84">
        <f>B16*B12</f>
        <v/>
      </c>
    </row>
    <row r="21" ht="15" customHeight="1" s="45">
      <c r="A21" s="85" t="inlineStr">
        <is>
          <t>Breakeven Win Rate Needed</t>
        </is>
      </c>
      <c r="B21" s="87">
        <f>IF((B12+B13)=0,0,B12/(B12+B13))</f>
        <v/>
      </c>
    </row>
  </sheetData>
  <mergeCells count="5">
    <mergeCell ref="A4:B4"/>
    <mergeCell ref="A2:F2"/>
    <mergeCell ref="A1:F1"/>
    <mergeCell ref="A8:B8"/>
    <mergeCell ref="E4:M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selection activeCell="A1" sqref="A1"/>
    </sheetView>
  </sheetViews>
  <sheetFormatPr baseColWidth="8" defaultRowHeight="15"/>
  <cols>
    <col width="15" customWidth="1" style="45" min="1" max="1"/>
    <col width="26" customWidth="1" style="45" min="2" max="2"/>
    <col width="15" customWidth="1" style="45" min="3" max="3"/>
    <col width="15" customWidth="1" style="45" min="4" max="4"/>
    <col width="15" customWidth="1" style="45" min="5" max="5"/>
    <col width="15" customWidth="1" style="45" min="6" max="6"/>
    <col width="15" customWidth="1" style="45" min="7" max="7"/>
    <col width="15" customWidth="1" style="45" min="8" max="8"/>
    <col width="15" customWidth="1" style="45" min="9" max="9"/>
    <col width="15" customWidth="1" style="45" min="10" max="10"/>
    <col width="15" customWidth="1" style="45" min="11" max="11"/>
    <col width="15" customWidth="1" style="45" min="12" max="12"/>
    <col width="15" customWidth="1" style="45" min="13" max="13"/>
    <col width="15" customWidth="1" style="45" min="14" max="14"/>
    <col width="15" customWidth="1" style="45" min="15" max="15"/>
    <col width="15" customWidth="1" style="45" min="16" max="16"/>
    <col width="15" customWidth="1" style="45" min="17" max="17"/>
  </cols>
  <sheetData>
    <row r="1">
      <c r="A1" s="88" t="inlineStr">
        <is>
          <t>BSE Top Gainers (5.0%-20.0%) — 26 Jul 2026</t>
        </is>
      </c>
    </row>
    <row r="3">
      <c r="A3" s="89" t="inlineStr">
        <is>
          <t>ALL BSE GAINERS 5.0%-20.0% — 0 stocks</t>
        </is>
      </c>
    </row>
    <row r="4" ht="32" customHeight="1" s="45">
      <c r="A4" s="90" t="inlineStr">
        <is>
          <t>Symbol</t>
        </is>
      </c>
      <c r="B4" s="90" t="inlineStr">
        <is>
          <t>Name</t>
        </is>
      </c>
      <c r="C4" s="90" t="inlineStr">
        <is>
          <t>Cap Segment</t>
        </is>
      </c>
      <c r="D4" s="90" t="inlineStr">
        <is>
          <t>Close</t>
        </is>
      </c>
      <c r="E4" s="90" t="inlineStr">
        <is>
          <t>% Chg</t>
        </is>
      </c>
      <c r="F4" s="90" t="inlineStr">
        <is>
          <t>Volume</t>
        </is>
      </c>
      <c r="G4" s="90" t="inlineStr">
        <is>
          <t>Turnover (Rs Cr)</t>
        </is>
      </c>
      <c r="H4" s="90" t="inlineStr">
        <is>
          <t>Vol Ratio (vs 3d avg)</t>
        </is>
      </c>
      <c r="I4" s="90" t="inlineStr">
        <is>
          <t>Vol Ratio (vs 20d avg)</t>
        </is>
      </c>
      <c r="J4" s="90" t="inlineStr">
        <is>
          <t>RSI(14)</t>
        </is>
      </c>
      <c r="K4" s="90" t="inlineStr">
        <is>
          <t>ADX(14)</t>
        </is>
      </c>
      <c r="L4" s="90" t="inlineStr">
        <is>
          <t>Score (0-9)</t>
        </is>
      </c>
      <c r="M4" s="90" t="inlineStr">
        <is>
          <t>Verdict</t>
        </is>
      </c>
    </row>
    <row r="6">
      <c r="A6" s="89" t="inlineStr">
        <is>
          <t>BSE SMALLCAP GAINERS — DEEP DIVE + LIKELY REASON — 0 stocks</t>
        </is>
      </c>
    </row>
    <row r="7" ht="32" customHeight="1" s="45">
      <c r="A7" s="90" t="inlineStr">
        <is>
          <t>Symbol</t>
        </is>
      </c>
      <c r="B7" s="90" t="inlineStr">
        <is>
          <t>Name</t>
        </is>
      </c>
      <c r="C7" s="90" t="inlineStr">
        <is>
          <t>Close</t>
        </is>
      </c>
      <c r="D7" s="90" t="inlineStr">
        <is>
          <t>% Chg</t>
        </is>
      </c>
      <c r="E7" s="90" t="inlineStr">
        <is>
          <t>Turnover (Rs Cr)</t>
        </is>
      </c>
      <c r="F7" s="90" t="inlineStr">
        <is>
          <t>Vol Ratio (vs 3d avg)</t>
        </is>
      </c>
      <c r="G7" s="90" t="inlineStr">
        <is>
          <t>Vol Ratio (vs 20d avg)</t>
        </is>
      </c>
      <c r="H7" s="90" t="inlineStr">
        <is>
          <t>Trend Strength</t>
        </is>
      </c>
      <c r="I7" s="90" t="inlineStr">
        <is>
          <t>20d Slope %/day</t>
        </is>
      </c>
      <c r="J7" s="90" t="inlineStr">
        <is>
          <t>Trend R^2</t>
        </is>
      </c>
      <c r="K7" s="90" t="inlineStr">
        <is>
          <t>Trend Quality (ADX x R^2)</t>
        </is>
      </c>
      <c r="L7" s="90" t="inlineStr">
        <is>
          <t>Entry</t>
        </is>
      </c>
      <c r="M7" s="90" t="inlineStr">
        <is>
          <t>Stop Loss</t>
        </is>
      </c>
      <c r="N7" s="90" t="inlineStr">
        <is>
          <t>Target 1</t>
        </is>
      </c>
      <c r="O7" s="90" t="inlineStr">
        <is>
          <t>Target 2</t>
        </is>
      </c>
      <c r="P7" s="90" t="inlineStr">
        <is>
          <t>Likely Reason for Gain</t>
        </is>
      </c>
      <c r="Q7" s="90" t="inlineStr">
        <is>
          <t>Recent Headlines</t>
        </is>
      </c>
    </row>
  </sheetData>
  <mergeCells count="3">
    <mergeCell ref="A3:M3"/>
    <mergeCell ref="A6:Q6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8"/>
  <sheetViews>
    <sheetView showGridLines="0" workbookViewId="0">
      <selection activeCell="A1" sqref="A1"/>
    </sheetView>
  </sheetViews>
  <sheetFormatPr baseColWidth="8" defaultRowHeight="15"/>
  <cols>
    <col width="15" customWidth="1" style="45" min="1" max="1"/>
    <col width="26" customWidth="1" style="45" min="2" max="2"/>
    <col width="15" customWidth="1" style="45" min="3" max="3"/>
    <col width="15" customWidth="1" style="45" min="4" max="4"/>
    <col width="15" customWidth="1" style="45" min="5" max="5"/>
    <col width="15" customWidth="1" style="45" min="6" max="6"/>
    <col width="15" customWidth="1" style="45" min="7" max="7"/>
    <col width="15" customWidth="1" style="45" min="8" max="8"/>
    <col width="15" customWidth="1" style="45" min="9" max="9"/>
    <col width="15" customWidth="1" style="45" min="10" max="10"/>
    <col width="15" customWidth="1" style="45" min="11" max="11"/>
    <col width="15" customWidth="1" style="45" min="12" max="12"/>
    <col width="15" customWidth="1" style="45" min="13" max="13"/>
  </cols>
  <sheetData>
    <row r="1">
      <c r="A1" s="88" t="inlineStr">
        <is>
          <t>BSE 1000 Scan — 27 Jul 2026</t>
        </is>
      </c>
    </row>
    <row r="3">
      <c r="A3" s="89" t="inlineStr">
        <is>
          <t>FULL SCAN — 170 liquid stocks scanned</t>
        </is>
      </c>
    </row>
    <row r="4" ht="32" customHeight="1" s="45">
      <c r="A4" s="90" t="inlineStr">
        <is>
          <t>Symbol</t>
        </is>
      </c>
      <c r="B4" s="90" t="inlineStr">
        <is>
          <t>Name</t>
        </is>
      </c>
      <c r="C4" s="90" t="inlineStr">
        <is>
          <t>Cap Segment</t>
        </is>
      </c>
      <c r="D4" s="90" t="inlineStr">
        <is>
          <t>Close</t>
        </is>
      </c>
      <c r="E4" s="90" t="inlineStr">
        <is>
          <t>% Chg</t>
        </is>
      </c>
      <c r="F4" s="90" t="inlineStr">
        <is>
          <t>Volume</t>
        </is>
      </c>
      <c r="G4" s="90" t="inlineStr">
        <is>
          <t>Turnover (Rs Cr)</t>
        </is>
      </c>
      <c r="H4" s="90" t="inlineStr">
        <is>
          <t>Liquidity OK?</t>
        </is>
      </c>
      <c r="I4" s="90" t="inlineStr">
        <is>
          <t>RSI(14)</t>
        </is>
      </c>
      <c r="J4" s="90" t="inlineStr">
        <is>
          <t>ADX(14)</t>
        </is>
      </c>
      <c r="K4" s="90" t="inlineStr">
        <is>
          <t>Trend Quality</t>
        </is>
      </c>
      <c r="L4" s="90" t="inlineStr">
        <is>
          <t>Score (0-9)</t>
        </is>
      </c>
      <c r="M4" s="90" t="inlineStr">
        <is>
          <t>Verdict</t>
        </is>
      </c>
    </row>
    <row r="5">
      <c r="A5" s="95" t="inlineStr">
        <is>
          <t>BAJFINANCE</t>
        </is>
      </c>
      <c r="B5" s="95" t="inlineStr">
        <is>
          <t>Bajaj Finance Limited</t>
        </is>
      </c>
      <c r="C5" s="95" t="inlineStr">
        <is>
          <t>Large/Midcap</t>
        </is>
      </c>
      <c r="D5" s="95" t="n">
        <v>1044.7</v>
      </c>
      <c r="E5" s="95" t="n">
        <v>3.15</v>
      </c>
      <c r="F5" s="95" t="n">
        <v>3348270</v>
      </c>
      <c r="G5" s="95" t="n">
        <v>349.79</v>
      </c>
      <c r="H5" s="95" t="inlineStr">
        <is>
          <t>Y</t>
        </is>
      </c>
      <c r="I5" s="95" t="n">
        <v>50.5</v>
      </c>
      <c r="J5" s="95" t="n">
        <v>38.8</v>
      </c>
      <c r="K5" s="95" t="n">
        <v>11.7</v>
      </c>
      <c r="L5" s="95" t="n">
        <v>7</v>
      </c>
      <c r="M5" s="95" t="inlineStr">
        <is>
          <t>STRONG SETUP</t>
        </is>
      </c>
    </row>
    <row r="6">
      <c r="A6" s="96" t="inlineStr">
        <is>
          <t>INDORAMA</t>
        </is>
      </c>
      <c r="B6" s="96" t="inlineStr">
        <is>
          <t>Indo Rama Synthetics (India) Ltd.</t>
        </is>
      </c>
      <c r="C6" s="96" t="inlineStr">
        <is>
          <t>Large/Midcap</t>
        </is>
      </c>
      <c r="D6" s="96" t="n">
        <v>50.07</v>
      </c>
      <c r="E6" s="96" t="n">
        <v>3.39</v>
      </c>
      <c r="F6" s="96" t="n">
        <v>104432</v>
      </c>
      <c r="G6" s="96" t="n">
        <v>0.52</v>
      </c>
      <c r="H6" s="96" t="inlineStr">
        <is>
          <t>Y</t>
        </is>
      </c>
      <c r="I6" s="96" t="n">
        <v>54.3</v>
      </c>
      <c r="J6" s="96" t="n">
        <v>24.1</v>
      </c>
      <c r="K6" s="96" t="n">
        <v>6.9</v>
      </c>
      <c r="L6" s="96" t="n">
        <v>7</v>
      </c>
      <c r="M6" s="96" t="inlineStr">
        <is>
          <t>STRONG SETUP</t>
        </is>
      </c>
    </row>
    <row r="7">
      <c r="A7" s="95" t="inlineStr">
        <is>
          <t>KAJARIACER</t>
        </is>
      </c>
      <c r="B7" s="95" t="inlineStr">
        <is>
          <t>Kajaria Ceramics Ltd</t>
        </is>
      </c>
      <c r="C7" s="95" t="inlineStr">
        <is>
          <t>Large/Midcap</t>
        </is>
      </c>
      <c r="D7" s="95" t="n">
        <v>1222.5</v>
      </c>
      <c r="E7" s="95" t="n">
        <v>0.63</v>
      </c>
      <c r="F7" s="95" t="n">
        <v>145839</v>
      </c>
      <c r="G7" s="95" t="n">
        <v>17.83</v>
      </c>
      <c r="H7" s="95" t="inlineStr">
        <is>
          <t>Y</t>
        </is>
      </c>
      <c r="I7" s="95" t="n">
        <v>54.7</v>
      </c>
      <c r="J7" s="95" t="n">
        <v>37.9</v>
      </c>
      <c r="K7" s="95" t="n">
        <v>11.1</v>
      </c>
      <c r="L7" s="95" t="n">
        <v>7</v>
      </c>
      <c r="M7" s="95" t="inlineStr">
        <is>
          <t>STRONG SETUP</t>
        </is>
      </c>
    </row>
    <row r="8">
      <c r="A8" s="96" t="inlineStr">
        <is>
          <t>LORDSCHLO</t>
        </is>
      </c>
      <c r="B8" s="96" t="inlineStr">
        <is>
          <t>Lords Chloro Alkali Ltd</t>
        </is>
      </c>
      <c r="C8" s="96" t="inlineStr">
        <is>
          <t>Large/Midcap</t>
        </is>
      </c>
      <c r="D8" s="96" t="n">
        <v>156.99</v>
      </c>
      <c r="E8" s="96" t="n">
        <v>5.33</v>
      </c>
      <c r="F8" s="96" t="n">
        <v>83056</v>
      </c>
      <c r="G8" s="96" t="n">
        <v>1.3</v>
      </c>
      <c r="H8" s="96" t="inlineStr">
        <is>
          <t>Y</t>
        </is>
      </c>
      <c r="I8" s="96" t="n">
        <v>66.40000000000001</v>
      </c>
      <c r="J8" s="96" t="n">
        <v>37.8</v>
      </c>
      <c r="K8" s="96" t="n">
        <v>24.2</v>
      </c>
      <c r="L8" s="96" t="n">
        <v>7</v>
      </c>
      <c r="M8" s="96" t="inlineStr">
        <is>
          <t>STRONG SETUP</t>
        </is>
      </c>
    </row>
    <row r="9">
      <c r="A9" s="95" t="inlineStr">
        <is>
          <t>SPLPETRO</t>
        </is>
      </c>
      <c r="B9" s="95" t="inlineStr">
        <is>
          <t>Supreme Petrochem Ltd.</t>
        </is>
      </c>
      <c r="C9" s="95" t="inlineStr">
        <is>
          <t>Large/Midcap</t>
        </is>
      </c>
      <c r="D9" s="95" t="n">
        <v>753.75</v>
      </c>
      <c r="E9" s="95" t="n">
        <v>1.64</v>
      </c>
      <c r="F9" s="95" t="n">
        <v>326212</v>
      </c>
      <c r="G9" s="95" t="n">
        <v>24.59</v>
      </c>
      <c r="H9" s="95" t="inlineStr">
        <is>
          <t>Y</t>
        </is>
      </c>
      <c r="I9" s="95" t="n">
        <v>62.4</v>
      </c>
      <c r="J9" s="95" t="n">
        <v>21.9</v>
      </c>
      <c r="K9" s="95" t="n">
        <v>5.8</v>
      </c>
      <c r="L9" s="95" t="n">
        <v>7</v>
      </c>
      <c r="M9" s="95" t="inlineStr">
        <is>
          <t>STRONG SETUP</t>
        </is>
      </c>
    </row>
    <row r="10">
      <c r="A10" s="96" t="inlineStr">
        <is>
          <t>CUMMINSIND</t>
        </is>
      </c>
      <c r="B10" s="96" t="inlineStr">
        <is>
          <t>Cummins India Ltd.</t>
        </is>
      </c>
      <c r="C10" s="96" t="inlineStr">
        <is>
          <t>Large/Midcap</t>
        </is>
      </c>
      <c r="D10" s="96" t="n">
        <v>5593.5</v>
      </c>
      <c r="E10" s="96" t="n">
        <v>-0.12</v>
      </c>
      <c r="F10" s="96" t="n">
        <v>81944</v>
      </c>
      <c r="G10" s="96" t="n">
        <v>45.84</v>
      </c>
      <c r="H10" s="96" t="inlineStr">
        <is>
          <t>Y</t>
        </is>
      </c>
      <c r="I10" s="96" t="n">
        <v>63.2</v>
      </c>
      <c r="J10" s="96" t="n">
        <v>33.8</v>
      </c>
      <c r="K10" s="96" t="n">
        <v>2.1</v>
      </c>
      <c r="L10" s="96" t="n">
        <v>7</v>
      </c>
      <c r="M10" s="96" t="inlineStr">
        <is>
          <t>STRONG SETUP</t>
        </is>
      </c>
    </row>
    <row r="11">
      <c r="A11" s="95" t="inlineStr">
        <is>
          <t>COLPAL</t>
        </is>
      </c>
      <c r="B11" s="95" t="inlineStr">
        <is>
          <t>Colgate-Palmolive (India) Ltd.</t>
        </is>
      </c>
      <c r="C11" s="95" t="inlineStr">
        <is>
          <t>Large/Midcap</t>
        </is>
      </c>
      <c r="D11" s="95" t="n">
        <v>2134.1</v>
      </c>
      <c r="E11" s="95" t="n">
        <v>2.3</v>
      </c>
      <c r="F11" s="95" t="n">
        <v>182011</v>
      </c>
      <c r="G11" s="95" t="n">
        <v>38.84</v>
      </c>
      <c r="H11" s="95" t="inlineStr">
        <is>
          <t>Y</t>
        </is>
      </c>
      <c r="I11" s="95" t="n">
        <v>57.4</v>
      </c>
      <c r="J11" s="95" t="n">
        <v>10.2</v>
      </c>
      <c r="K11" s="95" t="n">
        <v>2.2</v>
      </c>
      <c r="L11" s="95" t="n">
        <v>7</v>
      </c>
      <c r="M11" s="95" t="inlineStr">
        <is>
          <t>STRONG SETUP</t>
        </is>
      </c>
    </row>
    <row r="12">
      <c r="A12" s="96" t="inlineStr">
        <is>
          <t>LONGSPUR</t>
        </is>
      </c>
      <c r="B12" s="96" t="inlineStr">
        <is>
          <t>Longspur International Ventures Limited</t>
        </is>
      </c>
      <c r="C12" s="96" t="inlineStr">
        <is>
          <t>Large/Midcap</t>
        </is>
      </c>
      <c r="D12" s="96" t="n">
        <v>9</v>
      </c>
      <c r="E12" s="96" t="n">
        <v>3.93</v>
      </c>
      <c r="F12" s="96" t="n">
        <v>62134</v>
      </c>
      <c r="G12" s="96" t="n">
        <v>0.06</v>
      </c>
      <c r="H12" s="96" t="inlineStr">
        <is>
          <t>Y</t>
        </is>
      </c>
      <c r="I12" s="96" t="n">
        <v>66.90000000000001</v>
      </c>
      <c r="J12" s="96" t="n">
        <v>24.5</v>
      </c>
      <c r="K12" s="96" t="n">
        <v>1.1</v>
      </c>
      <c r="L12" s="96" t="n">
        <v>7</v>
      </c>
      <c r="M12" s="96" t="inlineStr">
        <is>
          <t>STRONG SETUP</t>
        </is>
      </c>
    </row>
    <row r="13">
      <c r="A13" s="95" t="inlineStr">
        <is>
          <t>ATUL</t>
        </is>
      </c>
      <c r="B13" s="95" t="inlineStr">
        <is>
          <t>Atul Limited.</t>
        </is>
      </c>
      <c r="C13" s="95" t="inlineStr">
        <is>
          <t>Large/Midcap</t>
        </is>
      </c>
      <c r="D13" s="95" t="n">
        <v>6745</v>
      </c>
      <c r="E13" s="95" t="n">
        <v>5.27</v>
      </c>
      <c r="F13" s="95" t="n">
        <v>219983</v>
      </c>
      <c r="G13" s="95" t="n">
        <v>148.38</v>
      </c>
      <c r="H13" s="95" t="inlineStr">
        <is>
          <t>Y</t>
        </is>
      </c>
      <c r="I13" s="95" t="n">
        <v>61.8</v>
      </c>
      <c r="J13" s="95" t="n">
        <v>34.4</v>
      </c>
      <c r="K13" s="95" t="n">
        <v>3.1</v>
      </c>
      <c r="L13" s="95" t="n">
        <v>6</v>
      </c>
      <c r="M13" s="95" t="inlineStr">
        <is>
          <t>WATCHLIST</t>
        </is>
      </c>
    </row>
    <row r="14">
      <c r="A14" s="96" t="inlineStr">
        <is>
          <t>ARE&amp;M</t>
        </is>
      </c>
      <c r="B14" s="96" t="inlineStr">
        <is>
          <t>Amara Raja Energy &amp; Mobility Limited</t>
        </is>
      </c>
      <c r="C14" s="96" t="inlineStr">
        <is>
          <t>Large/Midcap</t>
        </is>
      </c>
      <c r="D14" s="96" t="n">
        <v>875.05</v>
      </c>
      <c r="E14" s="96" t="n">
        <v>0.85</v>
      </c>
      <c r="F14" s="96" t="n">
        <v>155867</v>
      </c>
      <c r="G14" s="96" t="n">
        <v>13.64</v>
      </c>
      <c r="H14" s="96" t="inlineStr">
        <is>
          <t>Y</t>
        </is>
      </c>
      <c r="I14" s="96" t="n">
        <v>61.9</v>
      </c>
      <c r="J14" s="96" t="n">
        <v>34.6</v>
      </c>
      <c r="K14" s="96" t="n">
        <v>15.9</v>
      </c>
      <c r="L14" s="96" t="n">
        <v>6</v>
      </c>
      <c r="M14" s="96" t="inlineStr">
        <is>
          <t>WATCHLIST</t>
        </is>
      </c>
    </row>
    <row r="15">
      <c r="A15" s="95" t="inlineStr">
        <is>
          <t>ABB</t>
        </is>
      </c>
      <c r="B15" s="95" t="inlineStr">
        <is>
          <t>ABB India Limited</t>
        </is>
      </c>
      <c r="C15" s="95" t="inlineStr">
        <is>
          <t>Large/Midcap</t>
        </is>
      </c>
      <c r="D15" s="95" t="n">
        <v>7254.5</v>
      </c>
      <c r="E15" s="95" t="n">
        <v>-1.64</v>
      </c>
      <c r="F15" s="95" t="n">
        <v>200862</v>
      </c>
      <c r="G15" s="95" t="n">
        <v>145.72</v>
      </c>
      <c r="H15" s="95" t="inlineStr">
        <is>
          <t>Y</t>
        </is>
      </c>
      <c r="I15" s="95" t="n">
        <v>58.3</v>
      </c>
      <c r="J15" s="95" t="n">
        <v>34</v>
      </c>
      <c r="K15" s="95" t="n">
        <v>17.7</v>
      </c>
      <c r="L15" s="95" t="n">
        <v>6</v>
      </c>
      <c r="M15" s="95" t="inlineStr">
        <is>
          <t>WATCHLIST</t>
        </is>
      </c>
    </row>
    <row r="16">
      <c r="A16" s="96" t="inlineStr">
        <is>
          <t>AEGISLOG</t>
        </is>
      </c>
      <c r="B16" s="96" t="inlineStr">
        <is>
          <t>Aegis Logistics Ltd.</t>
        </is>
      </c>
      <c r="C16" s="96" t="inlineStr">
        <is>
          <t>Large/Midcap</t>
        </is>
      </c>
      <c r="D16" s="96" t="n">
        <v>1316</v>
      </c>
      <c r="E16" s="96" t="n">
        <v>-2.49</v>
      </c>
      <c r="F16" s="96" t="n">
        <v>566846</v>
      </c>
      <c r="G16" s="96" t="n">
        <v>74.59999999999999</v>
      </c>
      <c r="H16" s="96" t="inlineStr">
        <is>
          <t>Y</t>
        </is>
      </c>
      <c r="I16" s="96" t="n">
        <v>45.5</v>
      </c>
      <c r="J16" s="96" t="n">
        <v>21.1</v>
      </c>
      <c r="K16" s="96" t="n">
        <v>4.2</v>
      </c>
      <c r="L16" s="96" t="n">
        <v>6</v>
      </c>
      <c r="M16" s="96" t="inlineStr">
        <is>
          <t>WATCHLIST</t>
        </is>
      </c>
    </row>
    <row r="17">
      <c r="A17" s="95" t="inlineStr">
        <is>
          <t>BALRAMCHIN</t>
        </is>
      </c>
      <c r="B17" s="95" t="inlineStr">
        <is>
          <t>BALRAMPUR CHINI MILLS LTD</t>
        </is>
      </c>
      <c r="C17" s="95" t="inlineStr">
        <is>
          <t>Large/Midcap</t>
        </is>
      </c>
      <c r="D17" s="95" t="n">
        <v>612.15</v>
      </c>
      <c r="E17" s="95" t="n">
        <v>0.33</v>
      </c>
      <c r="F17" s="95" t="n">
        <v>109350</v>
      </c>
      <c r="G17" s="95" t="n">
        <v>6.69</v>
      </c>
      <c r="H17" s="95" t="inlineStr">
        <is>
          <t>Y</t>
        </is>
      </c>
      <c r="I17" s="95" t="n">
        <v>67.7</v>
      </c>
      <c r="J17" s="95" t="n">
        <v>61.2</v>
      </c>
      <c r="K17" s="95" t="n">
        <v>54.1</v>
      </c>
      <c r="L17" s="95" t="n">
        <v>6</v>
      </c>
      <c r="M17" s="95" t="inlineStr">
        <is>
          <t>WATCHLIST</t>
        </is>
      </c>
    </row>
    <row r="18">
      <c r="A18" s="96" t="inlineStr">
        <is>
          <t>BEPL</t>
        </is>
      </c>
      <c r="B18" s="96" t="inlineStr">
        <is>
          <t>Bhansali Engineering Polymers Ltd.</t>
        </is>
      </c>
      <c r="C18" s="96" t="inlineStr">
        <is>
          <t>Large/Midcap</t>
        </is>
      </c>
      <c r="D18" s="96" t="n">
        <v>115.1</v>
      </c>
      <c r="E18" s="96" t="n">
        <v>-5.51</v>
      </c>
      <c r="F18" s="96" t="n">
        <v>3602452</v>
      </c>
      <c r="G18" s="96" t="n">
        <v>41.46</v>
      </c>
      <c r="H18" s="96" t="inlineStr">
        <is>
          <t>Y</t>
        </is>
      </c>
      <c r="I18" s="96" t="n">
        <v>65.7</v>
      </c>
      <c r="J18" s="96" t="n">
        <v>45.6</v>
      </c>
      <c r="K18" s="96" t="n">
        <v>35.5</v>
      </c>
      <c r="L18" s="96" t="n">
        <v>6</v>
      </c>
      <c r="M18" s="96" t="inlineStr">
        <is>
          <t>WATCHLIST</t>
        </is>
      </c>
    </row>
    <row r="19">
      <c r="A19" s="95" t="inlineStr">
        <is>
          <t>OAL</t>
        </is>
      </c>
      <c r="B19" s="95" t="inlineStr">
        <is>
          <t>ORIENTAL AROMATICS LIMITED</t>
        </is>
      </c>
      <c r="C19" s="95" t="inlineStr">
        <is>
          <t>Large/Midcap</t>
        </is>
      </c>
      <c r="D19" s="95" t="n">
        <v>383.55</v>
      </c>
      <c r="E19" s="95" t="n">
        <v>2.83</v>
      </c>
      <c r="F19" s="95" t="n">
        <v>60063</v>
      </c>
      <c r="G19" s="95" t="n">
        <v>2.3</v>
      </c>
      <c r="H19" s="95" t="inlineStr">
        <is>
          <t>Y</t>
        </is>
      </c>
      <c r="I19" s="95" t="n">
        <v>78.2</v>
      </c>
      <c r="J19" s="95" t="n">
        <v>52.9</v>
      </c>
      <c r="K19" s="95" t="n">
        <v>41.4</v>
      </c>
      <c r="L19" s="95" t="n">
        <v>6</v>
      </c>
      <c r="M19" s="95" t="inlineStr">
        <is>
          <t>WATCHLIST</t>
        </is>
      </c>
    </row>
    <row r="20">
      <c r="A20" s="96" t="inlineStr">
        <is>
          <t>TITAN</t>
        </is>
      </c>
      <c r="B20" s="96" t="inlineStr">
        <is>
          <t>Titan Company Limited</t>
        </is>
      </c>
      <c r="C20" s="96" t="inlineStr">
        <is>
          <t>Large/Midcap</t>
        </is>
      </c>
      <c r="D20" s="96" t="n">
        <v>4705.9</v>
      </c>
      <c r="E20" s="96" t="n">
        <v>0.62</v>
      </c>
      <c r="F20" s="96" t="n">
        <v>215594</v>
      </c>
      <c r="G20" s="96" t="n">
        <v>101.46</v>
      </c>
      <c r="H20" s="96" t="inlineStr">
        <is>
          <t>Y</t>
        </is>
      </c>
      <c r="I20" s="96" t="n">
        <v>68.90000000000001</v>
      </c>
      <c r="J20" s="96" t="n">
        <v>67.90000000000001</v>
      </c>
      <c r="K20" s="96" t="n">
        <v>60.2</v>
      </c>
      <c r="L20" s="96" t="n">
        <v>6</v>
      </c>
      <c r="M20" s="96" t="inlineStr">
        <is>
          <t>WATCHLIST</t>
        </is>
      </c>
    </row>
    <row r="21">
      <c r="A21" s="95" t="inlineStr">
        <is>
          <t>EPL</t>
        </is>
      </c>
      <c r="B21" s="95" t="inlineStr">
        <is>
          <t>EPL LIMITED</t>
        </is>
      </c>
      <c r="C21" s="95" t="inlineStr">
        <is>
          <t>Large/Midcap</t>
        </is>
      </c>
      <c r="D21" s="95" t="n">
        <v>235.12</v>
      </c>
      <c r="E21" s="95" t="n">
        <v>0.88</v>
      </c>
      <c r="F21" s="95" t="n">
        <v>77557</v>
      </c>
      <c r="G21" s="95" t="n">
        <v>1.82</v>
      </c>
      <c r="H21" s="95" t="inlineStr">
        <is>
          <t>Y</t>
        </is>
      </c>
      <c r="I21" s="95" t="n">
        <v>38.3</v>
      </c>
      <c r="J21" s="95" t="n">
        <v>20.8</v>
      </c>
      <c r="K21" s="95" t="n">
        <v>0.8</v>
      </c>
      <c r="L21" s="95" t="n">
        <v>6</v>
      </c>
      <c r="M21" s="95" t="inlineStr">
        <is>
          <t>WATCHLIST</t>
        </is>
      </c>
    </row>
    <row r="22">
      <c r="A22" s="96" t="inlineStr">
        <is>
          <t>UFLEX</t>
        </is>
      </c>
      <c r="B22" s="96" t="inlineStr">
        <is>
          <t>Uflex Limited</t>
        </is>
      </c>
      <c r="C22" s="96" t="inlineStr">
        <is>
          <t>Large/Midcap</t>
        </is>
      </c>
      <c r="D22" s="96" t="n">
        <v>471.75</v>
      </c>
      <c r="E22" s="96" t="n">
        <v>-1.41</v>
      </c>
      <c r="F22" s="96" t="n">
        <v>74662</v>
      </c>
      <c r="G22" s="96" t="n">
        <v>3.52</v>
      </c>
      <c r="H22" s="96" t="inlineStr">
        <is>
          <t>Y</t>
        </is>
      </c>
      <c r="I22" s="96" t="n">
        <v>67.7</v>
      </c>
      <c r="J22" s="96" t="n">
        <v>37.4</v>
      </c>
      <c r="K22" s="96" t="n">
        <v>23.6</v>
      </c>
      <c r="L22" s="96" t="n">
        <v>6</v>
      </c>
      <c r="M22" s="96" t="inlineStr">
        <is>
          <t>WATCHLIST</t>
        </is>
      </c>
    </row>
    <row r="23">
      <c r="A23" s="95" t="inlineStr">
        <is>
          <t>HEROMOTOCO</t>
        </is>
      </c>
      <c r="B23" s="95" t="inlineStr">
        <is>
          <t>Hero MotoCorp Limited</t>
        </is>
      </c>
      <c r="C23" s="95" t="inlineStr">
        <is>
          <t>Large/Midcap</t>
        </is>
      </c>
      <c r="D23" s="95" t="n">
        <v>5096</v>
      </c>
      <c r="E23" s="95" t="n">
        <v>1.69</v>
      </c>
      <c r="F23" s="95" t="n">
        <v>230045</v>
      </c>
      <c r="G23" s="95" t="n">
        <v>117.23</v>
      </c>
      <c r="H23" s="95" t="inlineStr">
        <is>
          <t>Y</t>
        </is>
      </c>
      <c r="I23" s="95" t="n">
        <v>60.9</v>
      </c>
      <c r="J23" s="95" t="n">
        <v>29.2</v>
      </c>
      <c r="K23" s="95" t="n">
        <v>18.4</v>
      </c>
      <c r="L23" s="95" t="n">
        <v>6</v>
      </c>
      <c r="M23" s="95" t="inlineStr">
        <is>
          <t>WATCHLIST</t>
        </is>
      </c>
    </row>
    <row r="24">
      <c r="A24" s="96" t="inlineStr">
        <is>
          <t>AGI</t>
        </is>
      </c>
      <c r="B24" s="96" t="inlineStr">
        <is>
          <t>AGI GREENPAC LIMITED</t>
        </is>
      </c>
      <c r="C24" s="96" t="inlineStr">
        <is>
          <t>Large/Midcap</t>
        </is>
      </c>
      <c r="D24" s="96" t="n">
        <v>684.9</v>
      </c>
      <c r="E24" s="96" t="n">
        <v>1.79</v>
      </c>
      <c r="F24" s="96" t="n">
        <v>67324</v>
      </c>
      <c r="G24" s="96" t="n">
        <v>4.61</v>
      </c>
      <c r="H24" s="96" t="inlineStr">
        <is>
          <t>Y</t>
        </is>
      </c>
      <c r="I24" s="96" t="n">
        <v>42.3</v>
      </c>
      <c r="J24" s="96" t="n">
        <v>33</v>
      </c>
      <c r="K24" s="96" t="n">
        <v>13.3</v>
      </c>
      <c r="L24" s="96" t="n">
        <v>6</v>
      </c>
      <c r="M24" s="96" t="inlineStr">
        <is>
          <t>WATCHLIST</t>
        </is>
      </c>
    </row>
    <row r="25">
      <c r="A25" s="95" t="inlineStr">
        <is>
          <t>INDIAGLYCO</t>
        </is>
      </c>
      <c r="B25" s="95" t="inlineStr">
        <is>
          <t>India Glycols Ltd</t>
        </is>
      </c>
      <c r="C25" s="95" t="inlineStr">
        <is>
          <t>Large/Midcap</t>
        </is>
      </c>
      <c r="D25" s="95" t="n">
        <v>1176.35</v>
      </c>
      <c r="E25" s="95" t="n">
        <v>1.6</v>
      </c>
      <c r="F25" s="95" t="n">
        <v>126273</v>
      </c>
      <c r="G25" s="95" t="n">
        <v>14.85</v>
      </c>
      <c r="H25" s="95" t="inlineStr">
        <is>
          <t>Y</t>
        </is>
      </c>
      <c r="I25" s="95" t="n">
        <v>68.3</v>
      </c>
      <c r="J25" s="95" t="n">
        <v>56.2</v>
      </c>
      <c r="K25" s="95" t="n">
        <v>45.8</v>
      </c>
      <c r="L25" s="95" t="n">
        <v>6</v>
      </c>
      <c r="M25" s="95" t="inlineStr">
        <is>
          <t>WATCHLIST</t>
        </is>
      </c>
    </row>
    <row r="26">
      <c r="A26" s="96" t="inlineStr">
        <is>
          <t>IGPL</t>
        </is>
      </c>
      <c r="B26" s="96" t="inlineStr">
        <is>
          <t>IG Petrochemicals Ltd</t>
        </is>
      </c>
      <c r="C26" s="96" t="inlineStr">
        <is>
          <t>Large/Midcap</t>
        </is>
      </c>
      <c r="D26" s="96" t="n">
        <v>470.35</v>
      </c>
      <c r="E26" s="96" t="n">
        <v>4.16</v>
      </c>
      <c r="F26" s="96" t="n">
        <v>78660</v>
      </c>
      <c r="G26" s="96" t="n">
        <v>3.7</v>
      </c>
      <c r="H26" s="96" t="inlineStr">
        <is>
          <t>Y</t>
        </is>
      </c>
      <c r="I26" s="96" t="n">
        <v>74</v>
      </c>
      <c r="J26" s="96" t="n">
        <v>27.8</v>
      </c>
      <c r="K26" s="96" t="n">
        <v>0</v>
      </c>
      <c r="L26" s="96" t="n">
        <v>6</v>
      </c>
      <c r="M26" s="96" t="inlineStr">
        <is>
          <t>WATCHLIST</t>
        </is>
      </c>
    </row>
    <row r="27">
      <c r="A27" s="95" t="inlineStr">
        <is>
          <t>IONEXCHANG</t>
        </is>
      </c>
      <c r="B27" s="95" t="inlineStr">
        <is>
          <t>Ion Exchange (India) Ltd</t>
        </is>
      </c>
      <c r="C27" s="95" t="inlineStr">
        <is>
          <t>Large/Midcap</t>
        </is>
      </c>
      <c r="D27" s="95" t="n">
        <v>424.15</v>
      </c>
      <c r="E27" s="95" t="n">
        <v>-0.22</v>
      </c>
      <c r="F27" s="95" t="n">
        <v>324408</v>
      </c>
      <c r="G27" s="95" t="n">
        <v>13.76</v>
      </c>
      <c r="H27" s="95" t="inlineStr">
        <is>
          <t>Y</t>
        </is>
      </c>
      <c r="I27" s="95" t="n">
        <v>55.8</v>
      </c>
      <c r="J27" s="95" t="n">
        <v>36.5</v>
      </c>
      <c r="K27" s="95" t="n">
        <v>5</v>
      </c>
      <c r="L27" s="95" t="n">
        <v>6</v>
      </c>
      <c r="M27" s="95" t="inlineStr">
        <is>
          <t>WATCHLIST</t>
        </is>
      </c>
    </row>
    <row r="28">
      <c r="A28" s="96" t="inlineStr">
        <is>
          <t>LUPIN</t>
        </is>
      </c>
      <c r="B28" s="96" t="inlineStr">
        <is>
          <t>Lupin Ltd</t>
        </is>
      </c>
      <c r="C28" s="96" t="inlineStr">
        <is>
          <t>Large/Midcap</t>
        </is>
      </c>
      <c r="D28" s="96" t="n">
        <v>2409.2</v>
      </c>
      <c r="E28" s="96" t="n">
        <v>1.63</v>
      </c>
      <c r="F28" s="96" t="n">
        <v>421670</v>
      </c>
      <c r="G28" s="96" t="n">
        <v>101.59</v>
      </c>
      <c r="H28" s="96" t="inlineStr">
        <is>
          <t>Y</t>
        </is>
      </c>
      <c r="I28" s="96" t="n">
        <v>42.7</v>
      </c>
      <c r="J28" s="96" t="n">
        <v>38.5</v>
      </c>
      <c r="K28" s="96" t="n">
        <v>0</v>
      </c>
      <c r="L28" s="96" t="n">
        <v>6</v>
      </c>
      <c r="M28" s="96" t="inlineStr">
        <is>
          <t>WATCHLIST</t>
        </is>
      </c>
    </row>
    <row r="29">
      <c r="A29" s="95" t="inlineStr">
        <is>
          <t>PIDILITIND</t>
        </is>
      </c>
      <c r="B29" s="95" t="inlineStr">
        <is>
          <t>Pidilite Industries Ltd.</t>
        </is>
      </c>
      <c r="C29" s="95" t="inlineStr">
        <is>
          <t>Large/Midcap</t>
        </is>
      </c>
      <c r="D29" s="95" t="n">
        <v>1611.5</v>
      </c>
      <c r="E29" s="95" t="n">
        <v>2.58</v>
      </c>
      <c r="F29" s="95" t="n">
        <v>509101</v>
      </c>
      <c r="G29" s="95" t="n">
        <v>82.04000000000001</v>
      </c>
      <c r="H29" s="95" t="inlineStr">
        <is>
          <t>Y</t>
        </is>
      </c>
      <c r="I29" s="95" t="n">
        <v>50.1</v>
      </c>
      <c r="J29" s="95" t="n">
        <v>11.5</v>
      </c>
      <c r="K29" s="95" t="n">
        <v>0.4</v>
      </c>
      <c r="L29" s="95" t="n">
        <v>6</v>
      </c>
      <c r="M29" s="95" t="inlineStr">
        <is>
          <t>WATCHLIST</t>
        </is>
      </c>
    </row>
    <row r="30">
      <c r="A30" s="96" t="inlineStr">
        <is>
          <t>RAIN</t>
        </is>
      </c>
      <c r="B30" s="96" t="inlineStr">
        <is>
          <t>Rain Industries Limited</t>
        </is>
      </c>
      <c r="C30" s="96" t="inlineStr">
        <is>
          <t>Large/Midcap</t>
        </is>
      </c>
      <c r="D30" s="96" t="n">
        <v>223.24</v>
      </c>
      <c r="E30" s="96" t="n">
        <v>-0.88</v>
      </c>
      <c r="F30" s="96" t="n">
        <v>2142714</v>
      </c>
      <c r="G30" s="96" t="n">
        <v>47.83</v>
      </c>
      <c r="H30" s="96" t="inlineStr">
        <is>
          <t>Y</t>
        </is>
      </c>
      <c r="I30" s="96" t="n">
        <v>65.09999999999999</v>
      </c>
      <c r="J30" s="96" t="n">
        <v>60.6</v>
      </c>
      <c r="K30" s="96" t="n">
        <v>54.8</v>
      </c>
      <c r="L30" s="96" t="n">
        <v>6</v>
      </c>
      <c r="M30" s="96" t="inlineStr">
        <is>
          <t>WATCHLIST</t>
        </is>
      </c>
    </row>
    <row r="31">
      <c r="A31" s="95" t="inlineStr">
        <is>
          <t>TORNTPHARM</t>
        </is>
      </c>
      <c r="B31" s="95" t="inlineStr">
        <is>
          <t>Torrent Pharmaceuticals Ltd.</t>
        </is>
      </c>
      <c r="C31" s="95" t="inlineStr">
        <is>
          <t>Large/Midcap</t>
        </is>
      </c>
      <c r="D31" s="95" t="n">
        <v>5040</v>
      </c>
      <c r="E31" s="95" t="n">
        <v>1.58</v>
      </c>
      <c r="F31" s="95" t="n">
        <v>96756</v>
      </c>
      <c r="G31" s="95" t="n">
        <v>48.77</v>
      </c>
      <c r="H31" s="95" t="inlineStr">
        <is>
          <t>Y</t>
        </is>
      </c>
      <c r="I31" s="95" t="n">
        <v>60</v>
      </c>
      <c r="J31" s="95" t="n">
        <v>47.1</v>
      </c>
      <c r="K31" s="95" t="n">
        <v>33.6</v>
      </c>
      <c r="L31" s="95" t="n">
        <v>6</v>
      </c>
      <c r="M31" s="95" t="inlineStr">
        <is>
          <t>WATCHLIST</t>
        </is>
      </c>
    </row>
    <row r="32">
      <c r="A32" s="96" t="inlineStr">
        <is>
          <t>TIMEX</t>
        </is>
      </c>
      <c r="B32" s="96" t="inlineStr">
        <is>
          <t>Timex Group India Ltd</t>
        </is>
      </c>
      <c r="C32" s="96" t="inlineStr">
        <is>
          <t>Large/Midcap</t>
        </is>
      </c>
      <c r="D32" s="96" t="n">
        <v>574</v>
      </c>
      <c r="E32" s="96" t="n">
        <v>-0.84</v>
      </c>
      <c r="F32" s="96" t="n">
        <v>227218</v>
      </c>
      <c r="G32" s="96" t="n">
        <v>13.04</v>
      </c>
      <c r="H32" s="96" t="inlineStr">
        <is>
          <t>Y</t>
        </is>
      </c>
      <c r="I32" s="96" t="n">
        <v>63.8</v>
      </c>
      <c r="J32" s="96" t="n">
        <v>41.7</v>
      </c>
      <c r="K32" s="96" t="n">
        <v>26.1</v>
      </c>
      <c r="L32" s="96" t="n">
        <v>6</v>
      </c>
      <c r="M32" s="96" t="inlineStr">
        <is>
          <t>WATCHLIST</t>
        </is>
      </c>
    </row>
    <row r="33">
      <c r="A33" s="95" t="inlineStr">
        <is>
          <t>WSTCSTPAPR</t>
        </is>
      </c>
      <c r="B33" s="95" t="inlineStr">
        <is>
          <t>West Coast Paper Mills Limited</t>
        </is>
      </c>
      <c r="C33" s="95" t="inlineStr">
        <is>
          <t>Large/Midcap</t>
        </is>
      </c>
      <c r="D33" s="95" t="n">
        <v>585.95</v>
      </c>
      <c r="E33" s="95" t="n">
        <v>5.85</v>
      </c>
      <c r="F33" s="95" t="n">
        <v>401671</v>
      </c>
      <c r="G33" s="95" t="n">
        <v>23.54</v>
      </c>
      <c r="H33" s="95" t="inlineStr">
        <is>
          <t>Y</t>
        </is>
      </c>
      <c r="I33" s="95" t="n">
        <v>69.59999999999999</v>
      </c>
      <c r="J33" s="95" t="n">
        <v>52.4</v>
      </c>
      <c r="K33" s="95" t="n">
        <v>10.4</v>
      </c>
      <c r="L33" s="95" t="n">
        <v>6</v>
      </c>
      <c r="M33" s="95" t="inlineStr">
        <is>
          <t>WATCHLIST</t>
        </is>
      </c>
    </row>
    <row r="34">
      <c r="A34" s="96" t="inlineStr">
        <is>
          <t>ASIANPAINT</t>
        </is>
      </c>
      <c r="B34" s="96" t="inlineStr">
        <is>
          <t>Asian Paints Ltd.</t>
        </is>
      </c>
      <c r="C34" s="96" t="inlineStr">
        <is>
          <t>Large/Midcap</t>
        </is>
      </c>
      <c r="D34" s="96" t="n">
        <v>2710.2</v>
      </c>
      <c r="E34" s="96" t="n">
        <v>2.74</v>
      </c>
      <c r="F34" s="96" t="n">
        <v>409140</v>
      </c>
      <c r="G34" s="96" t="n">
        <v>110.89</v>
      </c>
      <c r="H34" s="96" t="inlineStr">
        <is>
          <t>Y</t>
        </is>
      </c>
      <c r="I34" s="96" t="n">
        <v>46.4</v>
      </c>
      <c r="J34" s="96" t="n">
        <v>16.6</v>
      </c>
      <c r="K34" s="96" t="n">
        <v>1.7</v>
      </c>
      <c r="L34" s="96" t="n">
        <v>6</v>
      </c>
      <c r="M34" s="96" t="inlineStr">
        <is>
          <t>WATCHLIST</t>
        </is>
      </c>
    </row>
    <row r="35">
      <c r="A35" s="95" t="inlineStr">
        <is>
          <t>SHAILY</t>
        </is>
      </c>
      <c r="B35" s="95" t="inlineStr">
        <is>
          <t>Shaily Engineering Plastics Ltd.</t>
        </is>
      </c>
      <c r="C35" s="95" t="inlineStr">
        <is>
          <t>Large/Midcap</t>
        </is>
      </c>
      <c r="D35" s="95" t="n">
        <v>3054</v>
      </c>
      <c r="E35" s="95" t="n">
        <v>2.84</v>
      </c>
      <c r="F35" s="95" t="n">
        <v>121418</v>
      </c>
      <c r="G35" s="95" t="n">
        <v>37.08</v>
      </c>
      <c r="H35" s="95" t="inlineStr">
        <is>
          <t>Y</t>
        </is>
      </c>
      <c r="I35" s="95" t="n">
        <v>71.59999999999999</v>
      </c>
      <c r="J35" s="95" t="n">
        <v>27.2</v>
      </c>
      <c r="K35" s="95" t="n">
        <v>1</v>
      </c>
      <c r="L35" s="95" t="n">
        <v>6</v>
      </c>
      <c r="M35" s="95" t="inlineStr">
        <is>
          <t>WATCHLIST</t>
        </is>
      </c>
    </row>
    <row r="36">
      <c r="A36" s="96" t="inlineStr">
        <is>
          <t>SESHAPAPER</t>
        </is>
      </c>
      <c r="B36" s="96" t="inlineStr">
        <is>
          <t>Seshasayee Paper &amp; Boards Ltd.</t>
        </is>
      </c>
      <c r="C36" s="96" t="inlineStr">
        <is>
          <t>Large/Midcap</t>
        </is>
      </c>
      <c r="D36" s="96" t="n">
        <v>247.38</v>
      </c>
      <c r="E36" s="96" t="n">
        <v>7.45</v>
      </c>
      <c r="F36" s="96" t="n">
        <v>2792359</v>
      </c>
      <c r="G36" s="96" t="n">
        <v>69.08</v>
      </c>
      <c r="H36" s="96" t="inlineStr">
        <is>
          <t>Y</t>
        </is>
      </c>
      <c r="I36" s="96" t="n">
        <v>64.8</v>
      </c>
      <c r="J36" s="96" t="n">
        <v>15.6</v>
      </c>
      <c r="K36" s="96" t="n">
        <v>0</v>
      </c>
      <c r="L36" s="96" t="n">
        <v>6</v>
      </c>
      <c r="M36" s="96" t="inlineStr">
        <is>
          <t>WATCHLIST</t>
        </is>
      </c>
    </row>
    <row r="37">
      <c r="A37" s="95" t="inlineStr">
        <is>
          <t>ZENSARTECH</t>
        </is>
      </c>
      <c r="B37" s="95" t="inlineStr">
        <is>
          <t>Zensar Technologies Ltd.</t>
        </is>
      </c>
      <c r="C37" s="95" t="inlineStr">
        <is>
          <t>Large/Midcap</t>
        </is>
      </c>
      <c r="D37" s="95" t="n">
        <v>516.8</v>
      </c>
      <c r="E37" s="95" t="n">
        <v>2.15</v>
      </c>
      <c r="F37" s="95" t="n">
        <v>1660497</v>
      </c>
      <c r="G37" s="95" t="n">
        <v>85.81</v>
      </c>
      <c r="H37" s="95" t="inlineStr">
        <is>
          <t>Y</t>
        </is>
      </c>
      <c r="I37" s="95" t="n">
        <v>62.9</v>
      </c>
      <c r="J37" s="95" t="n">
        <v>40.6</v>
      </c>
      <c r="K37" s="95" t="n">
        <v>21</v>
      </c>
      <c r="L37" s="95" t="n">
        <v>6</v>
      </c>
      <c r="M37" s="95" t="inlineStr">
        <is>
          <t>WATCHLIST</t>
        </is>
      </c>
    </row>
    <row r="38">
      <c r="A38" s="96" t="inlineStr">
        <is>
          <t>NELCO</t>
        </is>
      </c>
      <c r="B38" s="96" t="inlineStr">
        <is>
          <t>Nelco Ltd</t>
        </is>
      </c>
      <c r="C38" s="96" t="inlineStr">
        <is>
          <t>Large/Midcap</t>
        </is>
      </c>
      <c r="D38" s="96" t="n">
        <v>943.6</v>
      </c>
      <c r="E38" s="96" t="n">
        <v>1.16</v>
      </c>
      <c r="F38" s="96" t="n">
        <v>230151</v>
      </c>
      <c r="G38" s="96" t="n">
        <v>21.72</v>
      </c>
      <c r="H38" s="96" t="inlineStr">
        <is>
          <t>Y</t>
        </is>
      </c>
      <c r="I38" s="96" t="n">
        <v>58.3</v>
      </c>
      <c r="J38" s="96" t="n">
        <v>12.7</v>
      </c>
      <c r="K38" s="96" t="n">
        <v>0</v>
      </c>
      <c r="L38" s="96" t="n">
        <v>6</v>
      </c>
      <c r="M38" s="96" t="inlineStr">
        <is>
          <t>WATCHLIST</t>
        </is>
      </c>
    </row>
    <row r="39">
      <c r="A39" s="95" t="inlineStr">
        <is>
          <t>BLUESTARCO</t>
        </is>
      </c>
      <c r="B39" s="95" t="inlineStr">
        <is>
          <t>Blue Star Ltd</t>
        </is>
      </c>
      <c r="C39" s="95" t="inlineStr">
        <is>
          <t>Large/Midcap</t>
        </is>
      </c>
      <c r="D39" s="95" t="n">
        <v>1655.8</v>
      </c>
      <c r="E39" s="95" t="n">
        <v>1.14</v>
      </c>
      <c r="F39" s="95" t="n">
        <v>72766</v>
      </c>
      <c r="G39" s="95" t="n">
        <v>12.05</v>
      </c>
      <c r="H39" s="95" t="inlineStr">
        <is>
          <t>Y</t>
        </is>
      </c>
      <c r="I39" s="95" t="n">
        <v>57.3</v>
      </c>
      <c r="J39" s="95" t="n">
        <v>23</v>
      </c>
      <c r="K39" s="95" t="n">
        <v>7.1</v>
      </c>
      <c r="L39" s="95" t="n">
        <v>5</v>
      </c>
      <c r="M39" s="95" t="inlineStr">
        <is>
          <t>WATCHLIST</t>
        </is>
      </c>
    </row>
    <row r="40">
      <c r="A40" s="96" t="inlineStr">
        <is>
          <t>EXIDEIND</t>
        </is>
      </c>
      <c r="B40" s="96" t="inlineStr">
        <is>
          <t>Exide Industries Ltd.</t>
        </is>
      </c>
      <c r="C40" s="96" t="inlineStr">
        <is>
          <t>Large/Midcap</t>
        </is>
      </c>
      <c r="D40" s="96" t="n">
        <v>439.2</v>
      </c>
      <c r="E40" s="96" t="n">
        <v>-0.86</v>
      </c>
      <c r="F40" s="96" t="n">
        <v>1826067</v>
      </c>
      <c r="G40" s="96" t="n">
        <v>80.2</v>
      </c>
      <c r="H40" s="96" t="inlineStr">
        <is>
          <t>Y</t>
        </is>
      </c>
      <c r="I40" s="96" t="n">
        <v>70.40000000000001</v>
      </c>
      <c r="J40" s="96" t="n">
        <v>55.6</v>
      </c>
      <c r="K40" s="96" t="n">
        <v>42.5</v>
      </c>
      <c r="L40" s="96" t="n">
        <v>5</v>
      </c>
      <c r="M40" s="96" t="inlineStr">
        <is>
          <t>WATCHLIST</t>
        </is>
      </c>
    </row>
    <row r="41">
      <c r="A41" s="95" t="inlineStr">
        <is>
          <t>BHEL</t>
        </is>
      </c>
      <c r="B41" s="95" t="inlineStr">
        <is>
          <t>Bharat Heavy Electricals Ltd.</t>
        </is>
      </c>
      <c r="C41" s="95" t="inlineStr">
        <is>
          <t>Large/Midcap</t>
        </is>
      </c>
      <c r="D41" s="95" t="n">
        <v>413.6</v>
      </c>
      <c r="E41" s="95" t="n">
        <v>-0.89</v>
      </c>
      <c r="F41" s="95" t="n">
        <v>6065176</v>
      </c>
      <c r="G41" s="95" t="n">
        <v>250.86</v>
      </c>
      <c r="H41" s="95" t="inlineStr">
        <is>
          <t>Y</t>
        </is>
      </c>
      <c r="I41" s="95" t="n">
        <v>67.2</v>
      </c>
      <c r="J41" s="95" t="n">
        <v>25.9</v>
      </c>
      <c r="K41" s="95" t="n">
        <v>7.3</v>
      </c>
      <c r="L41" s="95" t="n">
        <v>5</v>
      </c>
      <c r="M41" s="95" t="inlineStr">
        <is>
          <t>WATCHLIST</t>
        </is>
      </c>
    </row>
    <row r="42">
      <c r="A42" s="96" t="inlineStr">
        <is>
          <t>MRPL</t>
        </is>
      </c>
      <c r="B42" s="96" t="inlineStr">
        <is>
          <t>Mangalore Refinery &amp; Petrochemicals</t>
        </is>
      </c>
      <c r="C42" s="96" t="inlineStr">
        <is>
          <t>Large/Midcap</t>
        </is>
      </c>
      <c r="D42" s="96" t="n">
        <v>164.23</v>
      </c>
      <c r="E42" s="96" t="n">
        <v>-3.25</v>
      </c>
      <c r="F42" s="96" t="n">
        <v>5730663</v>
      </c>
      <c r="G42" s="96" t="n">
        <v>94.11</v>
      </c>
      <c r="H42" s="96" t="inlineStr">
        <is>
          <t>Y</t>
        </is>
      </c>
      <c r="I42" s="96" t="n">
        <v>63.2</v>
      </c>
      <c r="J42" s="96" t="n">
        <v>40.1</v>
      </c>
      <c r="K42" s="96" t="n">
        <v>29.6</v>
      </c>
      <c r="L42" s="96" t="n">
        <v>5</v>
      </c>
      <c r="M42" s="96" t="inlineStr">
        <is>
          <t>WATCHLIST</t>
        </is>
      </c>
    </row>
    <row r="43">
      <c r="A43" s="95" t="inlineStr">
        <is>
          <t>CHENNPETRO</t>
        </is>
      </c>
      <c r="B43" s="95" t="inlineStr">
        <is>
          <t>Chennai Petroleum Corporation Ltd.</t>
        </is>
      </c>
      <c r="C43" s="95" t="inlineStr">
        <is>
          <t>Large/Midcap</t>
        </is>
      </c>
      <c r="D43" s="95" t="n">
        <v>1171.4</v>
      </c>
      <c r="E43" s="95" t="n">
        <v>-3.57</v>
      </c>
      <c r="F43" s="95" t="n">
        <v>1030315</v>
      </c>
      <c r="G43" s="95" t="n">
        <v>120.69</v>
      </c>
      <c r="H43" s="95" t="inlineStr">
        <is>
          <t>Y</t>
        </is>
      </c>
      <c r="I43" s="95" t="n">
        <v>57.4</v>
      </c>
      <c r="J43" s="95" t="n">
        <v>36.3</v>
      </c>
      <c r="K43" s="95" t="n">
        <v>18.8</v>
      </c>
      <c r="L43" s="95" t="n">
        <v>5</v>
      </c>
      <c r="M43" s="95" t="inlineStr">
        <is>
          <t>WATCHLIST</t>
        </is>
      </c>
    </row>
    <row r="44">
      <c r="A44" s="96" t="inlineStr">
        <is>
          <t>IDBI</t>
        </is>
      </c>
      <c r="B44" s="96" t="inlineStr">
        <is>
          <t>IDBI Bank Ltd</t>
        </is>
      </c>
      <c r="C44" s="96" t="inlineStr">
        <is>
          <t>Large/Midcap</t>
        </is>
      </c>
      <c r="D44" s="96" t="n">
        <v>84.61</v>
      </c>
      <c r="E44" s="96" t="n">
        <v>-0.38</v>
      </c>
      <c r="F44" s="96" t="n">
        <v>2358225</v>
      </c>
      <c r="G44" s="96" t="n">
        <v>19.95</v>
      </c>
      <c r="H44" s="96" t="inlineStr">
        <is>
          <t>Y</t>
        </is>
      </c>
      <c r="I44" s="96" t="n">
        <v>53.7</v>
      </c>
      <c r="J44" s="96" t="n">
        <v>21</v>
      </c>
      <c r="K44" s="96" t="n">
        <v>7.2</v>
      </c>
      <c r="L44" s="96" t="n">
        <v>5</v>
      </c>
      <c r="M44" s="96" t="inlineStr">
        <is>
          <t>WATCHLIST</t>
        </is>
      </c>
    </row>
    <row r="45">
      <c r="A45" s="95" t="inlineStr">
        <is>
          <t>ARVIND</t>
        </is>
      </c>
      <c r="B45" s="95" t="inlineStr">
        <is>
          <t>Arvind Ltd.</t>
        </is>
      </c>
      <c r="C45" s="95" t="inlineStr">
        <is>
          <t>Large/Midcap</t>
        </is>
      </c>
      <c r="D45" s="95" t="n">
        <v>527.75</v>
      </c>
      <c r="E45" s="95" t="n">
        <v>0.1</v>
      </c>
      <c r="F45" s="95" t="n">
        <v>280322</v>
      </c>
      <c r="G45" s="95" t="n">
        <v>14.79</v>
      </c>
      <c r="H45" s="95" t="inlineStr">
        <is>
          <t>Y</t>
        </is>
      </c>
      <c r="I45" s="95" t="n">
        <v>43.9</v>
      </c>
      <c r="J45" s="95" t="n">
        <v>46</v>
      </c>
      <c r="K45" s="95" t="n">
        <v>29</v>
      </c>
      <c r="L45" s="95" t="n">
        <v>5</v>
      </c>
      <c r="M45" s="95" t="inlineStr">
        <is>
          <t>WATCHLIST</t>
        </is>
      </c>
    </row>
    <row r="46">
      <c r="A46" s="96" t="inlineStr">
        <is>
          <t>GODFRYPHLP</t>
        </is>
      </c>
      <c r="B46" s="96" t="inlineStr">
        <is>
          <t>Godfrey Phillips India Ltd.</t>
        </is>
      </c>
      <c r="C46" s="96" t="inlineStr">
        <is>
          <t>Large/Midcap</t>
        </is>
      </c>
      <c r="D46" s="96" t="n">
        <v>2200.3</v>
      </c>
      <c r="E46" s="96" t="n">
        <v>3.32</v>
      </c>
      <c r="F46" s="96" t="n">
        <v>1006366</v>
      </c>
      <c r="G46" s="96" t="n">
        <v>221.43</v>
      </c>
      <c r="H46" s="96" t="inlineStr">
        <is>
          <t>Y</t>
        </is>
      </c>
      <c r="I46" s="96" t="n">
        <v>57.2</v>
      </c>
      <c r="J46" s="96" t="n">
        <v>49.8</v>
      </c>
      <c r="K46" s="96" t="n">
        <v>5.9</v>
      </c>
      <c r="L46" s="96" t="n">
        <v>5</v>
      </c>
      <c r="M46" s="96" t="inlineStr">
        <is>
          <t>WATCHLIST</t>
        </is>
      </c>
    </row>
    <row r="47">
      <c r="A47" s="95" t="inlineStr">
        <is>
          <t>HSCL</t>
        </is>
      </c>
      <c r="B47" s="95" t="inlineStr">
        <is>
          <t>Himadri Speciality Chemical Ltd.</t>
        </is>
      </c>
      <c r="C47" s="95" t="inlineStr">
        <is>
          <t>Large/Midcap</t>
        </is>
      </c>
      <c r="D47" s="95" t="n">
        <v>782.7</v>
      </c>
      <c r="E47" s="95" t="n">
        <v>-0.87</v>
      </c>
      <c r="F47" s="95" t="n">
        <v>4794865</v>
      </c>
      <c r="G47" s="95" t="n">
        <v>375.29</v>
      </c>
      <c r="H47" s="95" t="inlineStr">
        <is>
          <t>Y</t>
        </is>
      </c>
      <c r="I47" s="95" t="n">
        <v>81.09999999999999</v>
      </c>
      <c r="J47" s="95" t="n">
        <v>35</v>
      </c>
      <c r="K47" s="95" t="n">
        <v>25.3</v>
      </c>
      <c r="L47" s="95" t="n">
        <v>5</v>
      </c>
      <c r="M47" s="95" t="inlineStr">
        <is>
          <t>WATCHLIST</t>
        </is>
      </c>
    </row>
    <row r="48">
      <c r="A48" s="96" t="inlineStr">
        <is>
          <t>HFCL</t>
        </is>
      </c>
      <c r="B48" s="96" t="inlineStr">
        <is>
          <t>HFCL LIMITED</t>
        </is>
      </c>
      <c r="C48" s="96" t="inlineStr">
        <is>
          <t>Large/Midcap</t>
        </is>
      </c>
      <c r="D48" s="96" t="n">
        <v>195.1</v>
      </c>
      <c r="E48" s="96" t="n">
        <v>-0.89</v>
      </c>
      <c r="F48" s="96" t="n">
        <v>18084722</v>
      </c>
      <c r="G48" s="96" t="n">
        <v>352.83</v>
      </c>
      <c r="H48" s="96" t="inlineStr">
        <is>
          <t>Y</t>
        </is>
      </c>
      <c r="I48" s="96" t="n">
        <v>30.5</v>
      </c>
      <c r="J48" s="96" t="n">
        <v>11.2</v>
      </c>
      <c r="K48" s="96" t="n">
        <v>1.6</v>
      </c>
      <c r="L48" s="96" t="n">
        <v>5</v>
      </c>
      <c r="M48" s="96" t="inlineStr">
        <is>
          <t>WATCHLIST</t>
        </is>
      </c>
    </row>
    <row r="49">
      <c r="A49" s="95" t="inlineStr">
        <is>
          <t>KIRLFER</t>
        </is>
      </c>
      <c r="B49" s="95" t="inlineStr">
        <is>
          <t>Kirloskar Ferrous Industries Ltd.</t>
        </is>
      </c>
      <c r="C49" s="95" t="inlineStr">
        <is>
          <t>Large/Midcap</t>
        </is>
      </c>
      <c r="D49" s="95" t="n">
        <v>479.05</v>
      </c>
      <c r="E49" s="95" t="n">
        <v>1.78</v>
      </c>
      <c r="F49" s="95" t="n">
        <v>55004</v>
      </c>
      <c r="G49" s="95" t="n">
        <v>2.63</v>
      </c>
      <c r="H49" s="95" t="inlineStr">
        <is>
          <t>Y</t>
        </is>
      </c>
      <c r="I49" s="95" t="n">
        <v>61.7</v>
      </c>
      <c r="J49" s="95" t="n">
        <v>32.1</v>
      </c>
      <c r="K49" s="95" t="n">
        <v>14.8</v>
      </c>
      <c r="L49" s="95" t="n">
        <v>5</v>
      </c>
      <c r="M49" s="95" t="inlineStr">
        <is>
          <t>WATCHLIST</t>
        </is>
      </c>
    </row>
    <row r="50">
      <c r="A50" s="96" t="inlineStr">
        <is>
          <t>CENTENKA</t>
        </is>
      </c>
      <c r="B50" s="96" t="inlineStr">
        <is>
          <t>Century Enka Ltd.</t>
        </is>
      </c>
      <c r="C50" s="96" t="inlineStr">
        <is>
          <t>Large/Midcap</t>
        </is>
      </c>
      <c r="D50" s="96" t="n">
        <v>581.15</v>
      </c>
      <c r="E50" s="96" t="n">
        <v>1.21</v>
      </c>
      <c r="F50" s="96" t="n">
        <v>92715</v>
      </c>
      <c r="G50" s="96" t="n">
        <v>5.39</v>
      </c>
      <c r="H50" s="96" t="inlineStr">
        <is>
          <t>Y</t>
        </is>
      </c>
      <c r="I50" s="96" t="n">
        <v>73.59999999999999</v>
      </c>
      <c r="J50" s="96" t="n">
        <v>44.1</v>
      </c>
      <c r="K50" s="96" t="n">
        <v>29.3</v>
      </c>
      <c r="L50" s="96" t="n">
        <v>5</v>
      </c>
      <c r="M50" s="96" t="inlineStr">
        <is>
          <t>WATCHLIST</t>
        </is>
      </c>
    </row>
    <row r="51">
      <c r="A51" s="95" t="inlineStr">
        <is>
          <t>MANALIPETC</t>
        </is>
      </c>
      <c r="B51" s="95" t="inlineStr">
        <is>
          <t>Manali Petrochemicals Ltd.</t>
        </is>
      </c>
      <c r="C51" s="95" t="inlineStr">
        <is>
          <t>Large/Midcap</t>
        </is>
      </c>
      <c r="D51" s="95" t="n">
        <v>66.63</v>
      </c>
      <c r="E51" s="95" t="n">
        <v>-0.21</v>
      </c>
      <c r="F51" s="95" t="n">
        <v>298977</v>
      </c>
      <c r="G51" s="95" t="n">
        <v>1.99</v>
      </c>
      <c r="H51" s="95" t="inlineStr">
        <is>
          <t>Y</t>
        </is>
      </c>
      <c r="I51" s="95" t="n">
        <v>60.1</v>
      </c>
      <c r="J51" s="95" t="n">
        <v>21.1</v>
      </c>
      <c r="K51" s="95" t="n">
        <v>2.7</v>
      </c>
      <c r="L51" s="95" t="n">
        <v>5</v>
      </c>
      <c r="M51" s="95" t="inlineStr">
        <is>
          <t>WATCHLIST</t>
        </is>
      </c>
    </row>
    <row r="52">
      <c r="A52" s="96" t="inlineStr">
        <is>
          <t>NIITLTD</t>
        </is>
      </c>
      <c r="B52" s="96" t="inlineStr">
        <is>
          <t>NIIT Ltd.</t>
        </is>
      </c>
      <c r="C52" s="96" t="inlineStr">
        <is>
          <t>Large/Midcap</t>
        </is>
      </c>
      <c r="D52" s="96" t="n">
        <v>95.56</v>
      </c>
      <c r="E52" s="96" t="n">
        <v>0.99</v>
      </c>
      <c r="F52" s="96" t="n">
        <v>172079</v>
      </c>
      <c r="G52" s="96" t="n">
        <v>1.64</v>
      </c>
      <c r="H52" s="96" t="inlineStr">
        <is>
          <t>Y</t>
        </is>
      </c>
      <c r="I52" s="96" t="n">
        <v>40.3</v>
      </c>
      <c r="J52" s="96" t="n">
        <v>16.5</v>
      </c>
      <c r="K52" s="96" t="n">
        <v>10.2</v>
      </c>
      <c r="L52" s="96" t="n">
        <v>5</v>
      </c>
      <c r="M52" s="96" t="inlineStr">
        <is>
          <t>WATCHLIST</t>
        </is>
      </c>
    </row>
    <row r="53">
      <c r="A53" s="95" t="inlineStr">
        <is>
          <t>SPMLINFRA</t>
        </is>
      </c>
      <c r="B53" s="95" t="inlineStr">
        <is>
          <t>SPML Infra Limited</t>
        </is>
      </c>
      <c r="C53" s="95" t="inlineStr">
        <is>
          <t>Large/Midcap</t>
        </is>
      </c>
      <c r="D53" s="95" t="n">
        <v>199.53</v>
      </c>
      <c r="E53" s="95" t="n">
        <v>0.07000000000000001</v>
      </c>
      <c r="F53" s="95" t="n">
        <v>56473</v>
      </c>
      <c r="G53" s="95" t="n">
        <v>1.13</v>
      </c>
      <c r="H53" s="95" t="inlineStr">
        <is>
          <t>Y</t>
        </is>
      </c>
      <c r="I53" s="95" t="n">
        <v>61.4</v>
      </c>
      <c r="J53" s="95" t="n">
        <v>22.8</v>
      </c>
      <c r="K53" s="95" t="n">
        <v>6.1</v>
      </c>
      <c r="L53" s="95" t="n">
        <v>5</v>
      </c>
      <c r="M53" s="95" t="inlineStr">
        <is>
          <t>WATCHLIST</t>
        </is>
      </c>
    </row>
    <row r="54">
      <c r="A54" s="96" t="inlineStr">
        <is>
          <t>SUNFLAG</t>
        </is>
      </c>
      <c r="B54" s="96" t="inlineStr">
        <is>
          <t>Sunflag Iron &amp; Steel Co. Ltd.</t>
        </is>
      </c>
      <c r="C54" s="96" t="inlineStr">
        <is>
          <t>Large/Midcap</t>
        </is>
      </c>
      <c r="D54" s="96" t="n">
        <v>360.95</v>
      </c>
      <c r="E54" s="96" t="n">
        <v>3.51</v>
      </c>
      <c r="F54" s="96" t="n">
        <v>96238</v>
      </c>
      <c r="G54" s="96" t="n">
        <v>3.47</v>
      </c>
      <c r="H54" s="96" t="inlineStr">
        <is>
          <t>Y</t>
        </is>
      </c>
      <c r="I54" s="96" t="n">
        <v>66.2</v>
      </c>
      <c r="J54" s="96" t="n">
        <v>15.4</v>
      </c>
      <c r="K54" s="96" t="n">
        <v>4</v>
      </c>
      <c r="L54" s="96" t="n">
        <v>5</v>
      </c>
      <c r="M54" s="96" t="inlineStr">
        <is>
          <t>WATCHLIST</t>
        </is>
      </c>
    </row>
    <row r="55">
      <c r="A55" s="95" t="inlineStr">
        <is>
          <t>BBOX</t>
        </is>
      </c>
      <c r="B55" s="95" t="inlineStr">
        <is>
          <t>BLACK BOX LIMITED</t>
        </is>
      </c>
      <c r="C55" s="95" t="inlineStr">
        <is>
          <t>Large/Midcap</t>
        </is>
      </c>
      <c r="D55" s="95" t="n">
        <v>775.95</v>
      </c>
      <c r="E55" s="95" t="n">
        <v>-0.32</v>
      </c>
      <c r="F55" s="95" t="n">
        <v>118067</v>
      </c>
      <c r="G55" s="95" t="n">
        <v>9.16</v>
      </c>
      <c r="H55" s="95" t="inlineStr">
        <is>
          <t>Y</t>
        </is>
      </c>
      <c r="I55" s="95" t="n">
        <v>10.4</v>
      </c>
      <c r="J55" s="95" t="n">
        <v>75.3</v>
      </c>
      <c r="K55" s="95" t="n">
        <v>69.59999999999999</v>
      </c>
      <c r="L55" s="95" t="n">
        <v>5</v>
      </c>
      <c r="M55" s="95" t="inlineStr">
        <is>
          <t>WATCHLIST</t>
        </is>
      </c>
    </row>
    <row r="56">
      <c r="A56" s="96" t="inlineStr">
        <is>
          <t>BHARATFORG</t>
        </is>
      </c>
      <c r="B56" s="96" t="inlineStr">
        <is>
          <t>Bharat Forge Ltd</t>
        </is>
      </c>
      <c r="C56" s="96" t="inlineStr">
        <is>
          <t>Large/Midcap</t>
        </is>
      </c>
      <c r="D56" s="96" t="n">
        <v>2159.5</v>
      </c>
      <c r="E56" s="96" t="n">
        <v>0.37</v>
      </c>
      <c r="F56" s="96" t="n">
        <v>249055</v>
      </c>
      <c r="G56" s="96" t="n">
        <v>53.78</v>
      </c>
      <c r="H56" s="96" t="inlineStr">
        <is>
          <t>Y</t>
        </is>
      </c>
      <c r="I56" s="96" t="n">
        <v>57.9</v>
      </c>
      <c r="J56" s="96" t="n">
        <v>22.2</v>
      </c>
      <c r="K56" s="96" t="n">
        <v>7.1</v>
      </c>
      <c r="L56" s="96" t="n">
        <v>5</v>
      </c>
      <c r="M56" s="96" t="inlineStr">
        <is>
          <t>WATCHLIST</t>
        </is>
      </c>
    </row>
    <row r="57">
      <c r="A57" s="95" t="inlineStr">
        <is>
          <t>M&amp;M</t>
        </is>
      </c>
      <c r="B57" s="95" t="inlineStr">
        <is>
          <t>Mahindra &amp; Mahindra Ltd.</t>
        </is>
      </c>
      <c r="C57" s="95" t="inlineStr">
        <is>
          <t>Large/Midcap</t>
        </is>
      </c>
      <c r="D57" s="95" t="n">
        <v>3225.5</v>
      </c>
      <c r="E57" s="95" t="n">
        <v>2.03</v>
      </c>
      <c r="F57" s="95" t="n">
        <v>938454</v>
      </c>
      <c r="G57" s="95" t="n">
        <v>302.7</v>
      </c>
      <c r="H57" s="95" t="inlineStr">
        <is>
          <t>Y</t>
        </is>
      </c>
      <c r="I57" s="95" t="n">
        <v>52.3</v>
      </c>
      <c r="J57" s="95" t="n">
        <v>18</v>
      </c>
      <c r="K57" s="95" t="n">
        <v>5.8</v>
      </c>
      <c r="L57" s="95" t="n">
        <v>5</v>
      </c>
      <c r="M57" s="95" t="inlineStr">
        <is>
          <t>WATCHLIST</t>
        </is>
      </c>
    </row>
    <row r="58">
      <c r="A58" s="96" t="inlineStr">
        <is>
          <t>GESHIP</t>
        </is>
      </c>
      <c r="B58" s="96" t="inlineStr">
        <is>
          <t>Great Eastern Shipping Co. Ltd.</t>
        </is>
      </c>
      <c r="C58" s="96" t="inlineStr">
        <is>
          <t>Large/Midcap</t>
        </is>
      </c>
      <c r="D58" s="96" t="n">
        <v>1409.7</v>
      </c>
      <c r="E58" s="96" t="n">
        <v>-1.96</v>
      </c>
      <c r="F58" s="96" t="n">
        <v>224389</v>
      </c>
      <c r="G58" s="96" t="n">
        <v>31.63</v>
      </c>
      <c r="H58" s="96" t="inlineStr">
        <is>
          <t>Y</t>
        </is>
      </c>
      <c r="I58" s="96" t="n">
        <v>54.2</v>
      </c>
      <c r="J58" s="96" t="n">
        <v>42.7</v>
      </c>
      <c r="K58" s="96" t="n">
        <v>1.6</v>
      </c>
      <c r="L58" s="96" t="n">
        <v>5</v>
      </c>
      <c r="M58" s="96" t="inlineStr">
        <is>
          <t>WATCHLIST</t>
        </is>
      </c>
    </row>
    <row r="59">
      <c r="A59" s="95" t="inlineStr">
        <is>
          <t>CASTROLIND</t>
        </is>
      </c>
      <c r="B59" s="95" t="inlineStr">
        <is>
          <t>Castrol India Ltd</t>
        </is>
      </c>
      <c r="C59" s="95" t="inlineStr">
        <is>
          <t>Large/Midcap</t>
        </is>
      </c>
      <c r="D59" s="95" t="n">
        <v>184.5</v>
      </c>
      <c r="E59" s="95" t="n">
        <v>-0.16</v>
      </c>
      <c r="F59" s="95" t="n">
        <v>675096</v>
      </c>
      <c r="G59" s="95" t="n">
        <v>12.46</v>
      </c>
      <c r="H59" s="95" t="inlineStr">
        <is>
          <t>Y</t>
        </is>
      </c>
      <c r="I59" s="95" t="n">
        <v>51.2</v>
      </c>
      <c r="J59" s="95" t="n">
        <v>33.5</v>
      </c>
      <c r="K59" s="95" t="n">
        <v>6.3</v>
      </c>
      <c r="L59" s="95" t="n">
        <v>5</v>
      </c>
      <c r="M59" s="95" t="inlineStr">
        <is>
          <t>WATCHLIST</t>
        </is>
      </c>
    </row>
    <row r="60">
      <c r="A60" s="96" t="inlineStr">
        <is>
          <t>GREAVESCOT</t>
        </is>
      </c>
      <c r="B60" s="96" t="inlineStr">
        <is>
          <t>Greaves Cotton Ltd.</t>
        </is>
      </c>
      <c r="C60" s="96" t="inlineStr">
        <is>
          <t>Large/Midcap</t>
        </is>
      </c>
      <c r="D60" s="96" t="n">
        <v>244.65</v>
      </c>
      <c r="E60" s="96" t="n">
        <v>-0.68</v>
      </c>
      <c r="F60" s="96" t="n">
        <v>691441</v>
      </c>
      <c r="G60" s="96" t="n">
        <v>16.92</v>
      </c>
      <c r="H60" s="96" t="inlineStr">
        <is>
          <t>Y</t>
        </is>
      </c>
      <c r="I60" s="96" t="n">
        <v>63.4</v>
      </c>
      <c r="J60" s="96" t="n">
        <v>50.9</v>
      </c>
      <c r="K60" s="96" t="n">
        <v>17.2</v>
      </c>
      <c r="L60" s="96" t="n">
        <v>5</v>
      </c>
      <c r="M60" s="96" t="inlineStr">
        <is>
          <t>WATCHLIST</t>
        </is>
      </c>
    </row>
    <row r="61">
      <c r="A61" s="95" t="inlineStr">
        <is>
          <t>SAGCEM</t>
        </is>
      </c>
      <c r="B61" s="95" t="inlineStr">
        <is>
          <t>Sagar Cements Ltd</t>
        </is>
      </c>
      <c r="C61" s="95" t="inlineStr">
        <is>
          <t>Large/Midcap</t>
        </is>
      </c>
      <c r="D61" s="95" t="n">
        <v>181.86</v>
      </c>
      <c r="E61" s="95" t="n">
        <v>2.43</v>
      </c>
      <c r="F61" s="95" t="n">
        <v>72678</v>
      </c>
      <c r="G61" s="95" t="n">
        <v>1.32</v>
      </c>
      <c r="H61" s="95" t="inlineStr">
        <is>
          <t>Y</t>
        </is>
      </c>
      <c r="I61" s="95" t="n">
        <v>59.5</v>
      </c>
      <c r="J61" s="95" t="n">
        <v>14.2</v>
      </c>
      <c r="K61" s="95" t="n">
        <v>1.2</v>
      </c>
      <c r="L61" s="95" t="n">
        <v>5</v>
      </c>
      <c r="M61" s="95" t="inlineStr">
        <is>
          <t>WATCHLIST</t>
        </is>
      </c>
    </row>
    <row r="62">
      <c r="A62" s="96" t="inlineStr">
        <is>
          <t>TRIVENIGQ</t>
        </is>
      </c>
      <c r="B62" s="96" t="inlineStr">
        <is>
          <t>Triveni Glass Ltd.</t>
        </is>
      </c>
      <c r="C62" s="96" t="inlineStr">
        <is>
          <t>Large/Midcap</t>
        </is>
      </c>
      <c r="D62" s="96" t="n">
        <v>9.56</v>
      </c>
      <c r="E62" s="96" t="n">
        <v>19.95</v>
      </c>
      <c r="F62" s="96" t="n">
        <v>60757</v>
      </c>
      <c r="G62" s="96" t="n">
        <v>0.06</v>
      </c>
      <c r="H62" s="96" t="inlineStr">
        <is>
          <t>Y</t>
        </is>
      </c>
      <c r="I62" s="96" t="n">
        <v>82.09999999999999</v>
      </c>
      <c r="J62" s="96" t="n">
        <v>35.9</v>
      </c>
      <c r="K62" s="96" t="n">
        <v>10.8</v>
      </c>
      <c r="L62" s="96" t="n">
        <v>5</v>
      </c>
      <c r="M62" s="96" t="inlineStr">
        <is>
          <t>WATCHLIST</t>
        </is>
      </c>
    </row>
    <row r="63">
      <c r="A63" s="95" t="inlineStr">
        <is>
          <t>PHOENIXLTD</t>
        </is>
      </c>
      <c r="B63" s="95" t="inlineStr">
        <is>
          <t>The Phoenix Mills Ltd.</t>
        </is>
      </c>
      <c r="C63" s="95" t="inlineStr">
        <is>
          <t>Large/Midcap</t>
        </is>
      </c>
      <c r="D63" s="95" t="n">
        <v>2042.9</v>
      </c>
      <c r="E63" s="95" t="n">
        <v>1.6</v>
      </c>
      <c r="F63" s="95" t="n">
        <v>164093</v>
      </c>
      <c r="G63" s="95" t="n">
        <v>33.52</v>
      </c>
      <c r="H63" s="95" t="inlineStr">
        <is>
          <t>Y</t>
        </is>
      </c>
      <c r="I63" s="95" t="n">
        <v>45.9</v>
      </c>
      <c r="J63" s="95" t="n">
        <v>50.2</v>
      </c>
      <c r="K63" s="95" t="n">
        <v>2</v>
      </c>
      <c r="L63" s="95" t="n">
        <v>5</v>
      </c>
      <c r="M63" s="95" t="inlineStr">
        <is>
          <t>WATCHLIST</t>
        </is>
      </c>
    </row>
    <row r="64">
      <c r="A64" s="96" t="inlineStr">
        <is>
          <t>HIRECT</t>
        </is>
      </c>
      <c r="B64" s="96" t="inlineStr">
        <is>
          <t>Hind Rectifiers Ltd.</t>
        </is>
      </c>
      <c r="C64" s="96" t="inlineStr">
        <is>
          <t>Large/Midcap</t>
        </is>
      </c>
      <c r="D64" s="96" t="n">
        <v>1330.4</v>
      </c>
      <c r="E64" s="96" t="n">
        <v>2.19</v>
      </c>
      <c r="F64" s="96" t="n">
        <v>100210</v>
      </c>
      <c r="G64" s="96" t="n">
        <v>13.33</v>
      </c>
      <c r="H64" s="96" t="inlineStr">
        <is>
          <t>Y</t>
        </is>
      </c>
      <c r="I64" s="96" t="n">
        <v>77.8</v>
      </c>
      <c r="J64" s="96" t="n">
        <v>41</v>
      </c>
      <c r="K64" s="96" t="n">
        <v>21</v>
      </c>
      <c r="L64" s="96" t="n">
        <v>5</v>
      </c>
      <c r="M64" s="96" t="inlineStr">
        <is>
          <t>WATCHLIST</t>
        </is>
      </c>
    </row>
    <row r="65">
      <c r="A65" s="95" t="inlineStr">
        <is>
          <t>UNIVCABLES</t>
        </is>
      </c>
      <c r="B65" s="95" t="inlineStr">
        <is>
          <t>Universal Cables Ltd.</t>
        </is>
      </c>
      <c r="C65" s="95" t="inlineStr">
        <is>
          <t>Large/Midcap</t>
        </is>
      </c>
      <c r="D65" s="95" t="n">
        <v>1237.2</v>
      </c>
      <c r="E65" s="95" t="n">
        <v>0.5600000000000001</v>
      </c>
      <c r="F65" s="95" t="n">
        <v>59515</v>
      </c>
      <c r="G65" s="95" t="n">
        <v>7.36</v>
      </c>
      <c r="H65" s="95" t="inlineStr">
        <is>
          <t>Y</t>
        </is>
      </c>
      <c r="I65" s="95" t="n">
        <v>73.40000000000001</v>
      </c>
      <c r="J65" s="95" t="n">
        <v>22.7</v>
      </c>
      <c r="K65" s="95" t="n">
        <v>1.4</v>
      </c>
      <c r="L65" s="95" t="n">
        <v>5</v>
      </c>
      <c r="M65" s="95" t="inlineStr">
        <is>
          <t>WATCHLIST</t>
        </is>
      </c>
    </row>
    <row r="66">
      <c r="A66" s="96" t="inlineStr">
        <is>
          <t>RELTD</t>
        </is>
      </c>
      <c r="B66" s="96" t="inlineStr">
        <is>
          <t>RAVINDRA ENERGY LIMITED</t>
        </is>
      </c>
      <c r="C66" s="96" t="inlineStr">
        <is>
          <t>Large/Midcap</t>
        </is>
      </c>
      <c r="D66" s="96" t="n">
        <v>174.01</v>
      </c>
      <c r="E66" s="96" t="n">
        <v>1.49</v>
      </c>
      <c r="F66" s="96" t="n">
        <v>141859</v>
      </c>
      <c r="G66" s="96" t="n">
        <v>2.47</v>
      </c>
      <c r="H66" s="96" t="inlineStr">
        <is>
          <t>Y</t>
        </is>
      </c>
      <c r="I66" s="96" t="n">
        <v>31.2</v>
      </c>
      <c r="J66" s="96" t="n">
        <v>48.9</v>
      </c>
      <c r="K66" s="96" t="n">
        <v>6.1</v>
      </c>
      <c r="L66" s="96" t="n">
        <v>5</v>
      </c>
      <c r="M66" s="96" t="inlineStr">
        <is>
          <t>WATCHLIST</t>
        </is>
      </c>
    </row>
    <row r="67">
      <c r="A67" s="95" t="inlineStr">
        <is>
          <t>ABREL</t>
        </is>
      </c>
      <c r="B67" s="95" t="inlineStr">
        <is>
          <t>ADITYA BIRLA REAL ESTATE LIMITED</t>
        </is>
      </c>
      <c r="C67" s="95" t="inlineStr">
        <is>
          <t>Large/Midcap</t>
        </is>
      </c>
      <c r="D67" s="95" t="n">
        <v>1407.7</v>
      </c>
      <c r="E67" s="95" t="n">
        <v>2.44</v>
      </c>
      <c r="F67" s="95" t="n">
        <v>53076</v>
      </c>
      <c r="G67" s="95" t="n">
        <v>7.47</v>
      </c>
      <c r="H67" s="95" t="inlineStr">
        <is>
          <t>Y</t>
        </is>
      </c>
      <c r="I67" s="95" t="n">
        <v>50.1</v>
      </c>
      <c r="J67" s="95" t="n">
        <v>29.2</v>
      </c>
      <c r="K67" s="95" t="n">
        <v>3.4</v>
      </c>
      <c r="L67" s="95" t="n">
        <v>4</v>
      </c>
      <c r="M67" s="95" t="inlineStr">
        <is>
          <t>AVOID</t>
        </is>
      </c>
    </row>
    <row r="68">
      <c r="A68" s="96" t="inlineStr">
        <is>
          <t>BANCOINDIA</t>
        </is>
      </c>
      <c r="B68" s="96" t="inlineStr">
        <is>
          <t>Banco Products (India) Ltd.</t>
        </is>
      </c>
      <c r="C68" s="96" t="inlineStr">
        <is>
          <t>Large/Midcap</t>
        </is>
      </c>
      <c r="D68" s="96" t="n">
        <v>627.5</v>
      </c>
      <c r="E68" s="96" t="n">
        <v>3.13</v>
      </c>
      <c r="F68" s="96" t="n">
        <v>114536</v>
      </c>
      <c r="G68" s="96" t="n">
        <v>7.19</v>
      </c>
      <c r="H68" s="96" t="inlineStr">
        <is>
          <t>Y</t>
        </is>
      </c>
      <c r="I68" s="96" t="n">
        <v>33.3</v>
      </c>
      <c r="J68" s="96" t="n">
        <v>28.4</v>
      </c>
      <c r="K68" s="96" t="n">
        <v>18.9</v>
      </c>
      <c r="L68" s="96" t="n">
        <v>4</v>
      </c>
      <c r="M68" s="96" t="inlineStr">
        <is>
          <t>AVOID</t>
        </is>
      </c>
    </row>
    <row r="69">
      <c r="A69" s="95" t="inlineStr">
        <is>
          <t>CIPLA</t>
        </is>
      </c>
      <c r="B69" s="95" t="inlineStr">
        <is>
          <t>Cipla Ltd.</t>
        </is>
      </c>
      <c r="C69" s="95" t="inlineStr">
        <is>
          <t>Large/Midcap</t>
        </is>
      </c>
      <c r="D69" s="95" t="n">
        <v>1408</v>
      </c>
      <c r="E69" s="95" t="n">
        <v>-0.18</v>
      </c>
      <c r="F69" s="95" t="n">
        <v>439668</v>
      </c>
      <c r="G69" s="95" t="n">
        <v>61.91</v>
      </c>
      <c r="H69" s="95" t="inlineStr">
        <is>
          <t>Y</t>
        </is>
      </c>
      <c r="I69" s="95" t="n">
        <v>36.9</v>
      </c>
      <c r="J69" s="95" t="n">
        <v>35.7</v>
      </c>
      <c r="K69" s="95" t="n">
        <v>27.5</v>
      </c>
      <c r="L69" s="95" t="n">
        <v>4</v>
      </c>
      <c r="M69" s="95" t="inlineStr">
        <is>
          <t>AVOID</t>
        </is>
      </c>
    </row>
    <row r="70">
      <c r="A70" s="96" t="inlineStr">
        <is>
          <t>IFCI</t>
        </is>
      </c>
      <c r="B70" s="96" t="inlineStr">
        <is>
          <t>IFCI Ltd.</t>
        </is>
      </c>
      <c r="C70" s="96" t="inlineStr">
        <is>
          <t>Large/Midcap</t>
        </is>
      </c>
      <c r="D70" s="96" t="n">
        <v>70.56</v>
      </c>
      <c r="E70" s="96" t="n">
        <v>0.63</v>
      </c>
      <c r="F70" s="96" t="n">
        <v>3452339</v>
      </c>
      <c r="G70" s="96" t="n">
        <v>24.36</v>
      </c>
      <c r="H70" s="96" t="inlineStr">
        <is>
          <t>Y</t>
        </is>
      </c>
      <c r="I70" s="96" t="n">
        <v>35.9</v>
      </c>
      <c r="J70" s="96" t="n">
        <v>38.9</v>
      </c>
      <c r="K70" s="96" t="n">
        <v>26.8</v>
      </c>
      <c r="L70" s="96" t="n">
        <v>4</v>
      </c>
      <c r="M70" s="96" t="inlineStr">
        <is>
          <t>AVOID</t>
        </is>
      </c>
    </row>
    <row r="71">
      <c r="A71" s="95" t="inlineStr">
        <is>
          <t>SBIN</t>
        </is>
      </c>
      <c r="B71" s="95" t="inlineStr">
        <is>
          <t>State Bank Of India</t>
        </is>
      </c>
      <c r="C71" s="95" t="inlineStr">
        <is>
          <t>Large/Midcap</t>
        </is>
      </c>
      <c r="D71" s="95" t="n">
        <v>1019.5</v>
      </c>
      <c r="E71" s="95" t="n">
        <v>0.44</v>
      </c>
      <c r="F71" s="95" t="n">
        <v>2784530</v>
      </c>
      <c r="G71" s="95" t="n">
        <v>283.88</v>
      </c>
      <c r="H71" s="95" t="inlineStr">
        <is>
          <t>Y</t>
        </is>
      </c>
      <c r="I71" s="95" t="n">
        <v>44.3</v>
      </c>
      <c r="J71" s="95" t="n">
        <v>21.7</v>
      </c>
      <c r="K71" s="95" t="n">
        <v>2.5</v>
      </c>
      <c r="L71" s="95" t="n">
        <v>4</v>
      </c>
      <c r="M71" s="95" t="inlineStr">
        <is>
          <t>AVOID</t>
        </is>
      </c>
    </row>
    <row r="72">
      <c r="A72" s="96" t="inlineStr">
        <is>
          <t>DHAMPURSUG</t>
        </is>
      </c>
      <c r="B72" s="96" t="inlineStr">
        <is>
          <t>Dhampur Sugar Mills Ltd.</t>
        </is>
      </c>
      <c r="C72" s="96" t="inlineStr">
        <is>
          <t>Large/Midcap</t>
        </is>
      </c>
      <c r="D72" s="96" t="n">
        <v>143.01</v>
      </c>
      <c r="E72" s="96" t="n">
        <v>0.63</v>
      </c>
      <c r="F72" s="96" t="n">
        <v>70312</v>
      </c>
      <c r="G72" s="96" t="n">
        <v>1.01</v>
      </c>
      <c r="H72" s="96" t="inlineStr">
        <is>
          <t>Y</t>
        </is>
      </c>
      <c r="I72" s="96" t="n">
        <v>49.7</v>
      </c>
      <c r="J72" s="96" t="n">
        <v>46.9</v>
      </c>
      <c r="K72" s="96" t="n">
        <v>8.699999999999999</v>
      </c>
      <c r="L72" s="96" t="n">
        <v>4</v>
      </c>
      <c r="M72" s="96" t="inlineStr">
        <is>
          <t>AVOID</t>
        </is>
      </c>
    </row>
    <row r="73">
      <c r="A73" s="95" t="inlineStr">
        <is>
          <t>FINCABLES</t>
        </is>
      </c>
      <c r="B73" s="95" t="inlineStr">
        <is>
          <t>Finolex Cables Ltd.</t>
        </is>
      </c>
      <c r="C73" s="95" t="inlineStr">
        <is>
          <t>Large/Midcap</t>
        </is>
      </c>
      <c r="D73" s="95" t="n">
        <v>996.5</v>
      </c>
      <c r="E73" s="95" t="n">
        <v>-0.24</v>
      </c>
      <c r="F73" s="95" t="n">
        <v>86270</v>
      </c>
      <c r="G73" s="95" t="n">
        <v>8.6</v>
      </c>
      <c r="H73" s="95" t="inlineStr">
        <is>
          <t>Y</t>
        </is>
      </c>
      <c r="I73" s="95" t="n">
        <v>37.2</v>
      </c>
      <c r="J73" s="95" t="n">
        <v>45.7</v>
      </c>
      <c r="K73" s="95" t="n">
        <v>37.8</v>
      </c>
      <c r="L73" s="95" t="n">
        <v>4</v>
      </c>
      <c r="M73" s="95" t="inlineStr">
        <is>
          <t>AVOID</t>
        </is>
      </c>
    </row>
    <row r="74">
      <c r="A74" s="96" t="inlineStr">
        <is>
          <t>GANESHBE</t>
        </is>
      </c>
      <c r="B74" s="96" t="inlineStr">
        <is>
          <t>Ganesh Benzoplast Ltd.</t>
        </is>
      </c>
      <c r="C74" s="96" t="inlineStr">
        <is>
          <t>Large/Midcap</t>
        </is>
      </c>
      <c r="D74" s="96" t="n">
        <v>114.2</v>
      </c>
      <c r="E74" s="96" t="n">
        <v>2.5</v>
      </c>
      <c r="F74" s="96" t="n">
        <v>189776</v>
      </c>
      <c r="G74" s="96" t="n">
        <v>2.17</v>
      </c>
      <c r="H74" s="96" t="inlineStr">
        <is>
          <t>Y</t>
        </is>
      </c>
      <c r="I74" s="96" t="n">
        <v>70.09999999999999</v>
      </c>
      <c r="J74" s="96" t="n">
        <v>32</v>
      </c>
      <c r="K74" s="96" t="n">
        <v>13.3</v>
      </c>
      <c r="L74" s="96" t="n">
        <v>4</v>
      </c>
      <c r="M74" s="96" t="inlineStr">
        <is>
          <t>AVOID</t>
        </is>
      </c>
    </row>
    <row r="75">
      <c r="A75" s="95" t="inlineStr">
        <is>
          <t>GTL</t>
        </is>
      </c>
      <c r="B75" s="95" t="inlineStr">
        <is>
          <t>GTL Ltd</t>
        </is>
      </c>
      <c r="C75" s="95" t="inlineStr">
        <is>
          <t>Large/Midcap</t>
        </is>
      </c>
      <c r="D75" s="95" t="n">
        <v>7.5</v>
      </c>
      <c r="E75" s="95" t="n">
        <v>4.6</v>
      </c>
      <c r="F75" s="95" t="n">
        <v>434255</v>
      </c>
      <c r="G75" s="95" t="n">
        <v>0.33</v>
      </c>
      <c r="H75" s="95" t="inlineStr">
        <is>
          <t>Y</t>
        </is>
      </c>
      <c r="I75" s="95" t="n">
        <v>49</v>
      </c>
      <c r="J75" s="95" t="n">
        <v>42.9</v>
      </c>
      <c r="K75" s="95" t="n">
        <v>26</v>
      </c>
      <c r="L75" s="95" t="n">
        <v>4</v>
      </c>
      <c r="M75" s="95" t="inlineStr">
        <is>
          <t>AVOID</t>
        </is>
      </c>
    </row>
    <row r="76">
      <c r="A76" s="96" t="inlineStr">
        <is>
          <t>GHCL</t>
        </is>
      </c>
      <c r="B76" s="96" t="inlineStr">
        <is>
          <t>GHCL Ltd.</t>
        </is>
      </c>
      <c r="C76" s="96" t="inlineStr">
        <is>
          <t>Large/Midcap</t>
        </is>
      </c>
      <c r="D76" s="96" t="n">
        <v>439.55</v>
      </c>
      <c r="E76" s="96" t="n">
        <v>0.77</v>
      </c>
      <c r="F76" s="96" t="n">
        <v>181098</v>
      </c>
      <c r="G76" s="96" t="n">
        <v>7.96</v>
      </c>
      <c r="H76" s="96" t="inlineStr">
        <is>
          <t>Y</t>
        </is>
      </c>
      <c r="I76" s="96" t="n">
        <v>61.2</v>
      </c>
      <c r="J76" s="96" t="n">
        <v>16.6</v>
      </c>
      <c r="K76" s="96" t="n">
        <v>0.2</v>
      </c>
      <c r="L76" s="96" t="n">
        <v>4</v>
      </c>
      <c r="M76" s="96" t="inlineStr">
        <is>
          <t>AVOID</t>
        </is>
      </c>
    </row>
    <row r="77">
      <c r="A77" s="95" t="inlineStr">
        <is>
          <t>HINDOILEXP</t>
        </is>
      </c>
      <c r="B77" s="95" t="inlineStr">
        <is>
          <t>Hindustan Oil Exploration Co. Ltd.</t>
        </is>
      </c>
      <c r="C77" s="95" t="inlineStr">
        <is>
          <t>Large/Midcap</t>
        </is>
      </c>
      <c r="D77" s="95" t="n">
        <v>159.55</v>
      </c>
      <c r="E77" s="95" t="n">
        <v>-1.54</v>
      </c>
      <c r="F77" s="95" t="n">
        <v>137356</v>
      </c>
      <c r="G77" s="95" t="n">
        <v>2.19</v>
      </c>
      <c r="H77" s="95" t="inlineStr">
        <is>
          <t>Y</t>
        </is>
      </c>
      <c r="I77" s="95" t="n">
        <v>56.1</v>
      </c>
      <c r="J77" s="95" t="n">
        <v>26.4</v>
      </c>
      <c r="K77" s="95" t="n">
        <v>5</v>
      </c>
      <c r="L77" s="95" t="n">
        <v>4</v>
      </c>
      <c r="M77" s="95" t="inlineStr">
        <is>
          <t>AVOID</t>
        </is>
      </c>
    </row>
    <row r="78">
      <c r="A78" s="96" t="inlineStr">
        <is>
          <t>KOTAKBANK</t>
        </is>
      </c>
      <c r="B78" s="96" t="inlineStr">
        <is>
          <t>Kotak Mahindra Bank Ltd.</t>
        </is>
      </c>
      <c r="C78" s="96" t="inlineStr">
        <is>
          <t>Large/Midcap</t>
        </is>
      </c>
      <c r="D78" s="96" t="n">
        <v>385.15</v>
      </c>
      <c r="E78" s="96" t="n">
        <v>0.1</v>
      </c>
      <c r="F78" s="96" t="n">
        <v>7988126</v>
      </c>
      <c r="G78" s="96" t="n">
        <v>307.66</v>
      </c>
      <c r="H78" s="96" t="inlineStr">
        <is>
          <t>Y</t>
        </is>
      </c>
      <c r="I78" s="96" t="n">
        <v>53</v>
      </c>
      <c r="J78" s="96" t="n">
        <v>29.6</v>
      </c>
      <c r="K78" s="96" t="n">
        <v>3.2</v>
      </c>
      <c r="L78" s="96" t="n">
        <v>4</v>
      </c>
      <c r="M78" s="96" t="inlineStr">
        <is>
          <t>AVOID</t>
        </is>
      </c>
    </row>
    <row r="79">
      <c r="A79" s="95" t="inlineStr">
        <is>
          <t>LICHSGFIN</t>
        </is>
      </c>
      <c r="B79" s="95" t="inlineStr">
        <is>
          <t>Lic Housing Finance Ltd.</t>
        </is>
      </c>
      <c r="C79" s="95" t="inlineStr">
        <is>
          <t>Large/Midcap</t>
        </is>
      </c>
      <c r="D79" s="95" t="n">
        <v>544.75</v>
      </c>
      <c r="E79" s="95" t="n">
        <v>1.08</v>
      </c>
      <c r="F79" s="95" t="n">
        <v>253977</v>
      </c>
      <c r="G79" s="95" t="n">
        <v>13.84</v>
      </c>
      <c r="H79" s="95" t="inlineStr">
        <is>
          <t>Y</t>
        </is>
      </c>
      <c r="I79" s="95" t="n">
        <v>50.8</v>
      </c>
      <c r="J79" s="95" t="n">
        <v>13.1</v>
      </c>
      <c r="K79" s="95" t="n">
        <v>3.1</v>
      </c>
      <c r="L79" s="95" t="n">
        <v>4</v>
      </c>
      <c r="M79" s="95" t="inlineStr">
        <is>
          <t>AVOID</t>
        </is>
      </c>
    </row>
    <row r="80">
      <c r="A80" s="96" t="inlineStr">
        <is>
          <t>TRENT</t>
        </is>
      </c>
      <c r="B80" s="96" t="inlineStr">
        <is>
          <t>Trent Ltd [Lakme Ltd]</t>
        </is>
      </c>
      <c r="C80" s="96" t="inlineStr">
        <is>
          <t>Large/Midcap</t>
        </is>
      </c>
      <c r="D80" s="96" t="n">
        <v>2945</v>
      </c>
      <c r="E80" s="96" t="n">
        <v>1.89</v>
      </c>
      <c r="F80" s="96" t="n">
        <v>446637</v>
      </c>
      <c r="G80" s="96" t="n">
        <v>131.53</v>
      </c>
      <c r="H80" s="96" t="inlineStr">
        <is>
          <t>Y</t>
        </is>
      </c>
      <c r="I80" s="96" t="n">
        <v>53</v>
      </c>
      <c r="J80" s="96" t="n">
        <v>41.8</v>
      </c>
      <c r="K80" s="96" t="n">
        <v>23.2</v>
      </c>
      <c r="L80" s="96" t="n">
        <v>4</v>
      </c>
      <c r="M80" s="96" t="inlineStr">
        <is>
          <t>AVOID</t>
        </is>
      </c>
    </row>
    <row r="81">
      <c r="A81" s="95" t="inlineStr">
        <is>
          <t>MOREPENLAB</t>
        </is>
      </c>
      <c r="B81" s="95" t="inlineStr">
        <is>
          <t>Morepen Laboratories Ltd.</t>
        </is>
      </c>
      <c r="C81" s="95" t="inlineStr">
        <is>
          <t>Large/Midcap</t>
        </is>
      </c>
      <c r="D81" s="95" t="n">
        <v>56.43</v>
      </c>
      <c r="E81" s="95" t="n">
        <v>4.89</v>
      </c>
      <c r="F81" s="95" t="n">
        <v>6351657</v>
      </c>
      <c r="G81" s="95" t="n">
        <v>35.84</v>
      </c>
      <c r="H81" s="95" t="inlineStr">
        <is>
          <t>Y</t>
        </is>
      </c>
      <c r="I81" s="95" t="n">
        <v>38.1</v>
      </c>
      <c r="J81" s="95" t="n">
        <v>60.5</v>
      </c>
      <c r="K81" s="95" t="n">
        <v>27.1</v>
      </c>
      <c r="L81" s="95" t="n">
        <v>4</v>
      </c>
      <c r="M81" s="95" t="inlineStr">
        <is>
          <t>AVOID</t>
        </is>
      </c>
    </row>
    <row r="82">
      <c r="A82" s="96" t="inlineStr">
        <is>
          <t>SPICEJET</t>
        </is>
      </c>
      <c r="B82" s="96" t="inlineStr">
        <is>
          <t>SpiceJet Limited</t>
        </is>
      </c>
      <c r="C82" s="96" t="inlineStr">
        <is>
          <t>Large/Midcap</t>
        </is>
      </c>
      <c r="D82" s="96" t="n">
        <v>12.29</v>
      </c>
      <c r="E82" s="96" t="n">
        <v>2.16</v>
      </c>
      <c r="F82" s="96" t="n">
        <v>2509058</v>
      </c>
      <c r="G82" s="96" t="n">
        <v>3.08</v>
      </c>
      <c r="H82" s="96" t="inlineStr">
        <is>
          <t>Y</t>
        </is>
      </c>
      <c r="I82" s="96" t="n">
        <v>61.6</v>
      </c>
      <c r="J82" s="96" t="n">
        <v>54.3</v>
      </c>
      <c r="K82" s="96" t="n">
        <v>4.5</v>
      </c>
      <c r="L82" s="96" t="n">
        <v>4</v>
      </c>
      <c r="M82" s="96" t="inlineStr">
        <is>
          <t>AVOID</t>
        </is>
      </c>
    </row>
    <row r="83">
      <c r="A83" s="95" t="inlineStr">
        <is>
          <t>GRASIM</t>
        </is>
      </c>
      <c r="B83" s="95" t="inlineStr">
        <is>
          <t>Grasim Industries Ltd</t>
        </is>
      </c>
      <c r="C83" s="95" t="inlineStr">
        <is>
          <t>Large/Midcap</t>
        </is>
      </c>
      <c r="D83" s="95" t="n">
        <v>3094.3</v>
      </c>
      <c r="E83" s="95" t="n">
        <v>0.16</v>
      </c>
      <c r="F83" s="95" t="n">
        <v>76612</v>
      </c>
      <c r="G83" s="95" t="n">
        <v>23.71</v>
      </c>
      <c r="H83" s="95" t="inlineStr">
        <is>
          <t>Y</t>
        </is>
      </c>
      <c r="I83" s="95" t="n">
        <v>39.9</v>
      </c>
      <c r="J83" s="95" t="n">
        <v>13.7</v>
      </c>
      <c r="K83" s="95" t="n">
        <v>2.2</v>
      </c>
      <c r="L83" s="95" t="n">
        <v>4</v>
      </c>
      <c r="M83" s="95" t="inlineStr">
        <is>
          <t>AVOID</t>
        </is>
      </c>
    </row>
    <row r="84">
      <c r="A84" s="96" t="inlineStr">
        <is>
          <t>ORIENTHOT</t>
        </is>
      </c>
      <c r="B84" s="96" t="inlineStr">
        <is>
          <t>Oriental Hotels Ltd.</t>
        </is>
      </c>
      <c r="C84" s="96" t="inlineStr">
        <is>
          <t>Large/Midcap</t>
        </is>
      </c>
      <c r="D84" s="96" t="n">
        <v>137.19</v>
      </c>
      <c r="E84" s="96" t="n">
        <v>1.74</v>
      </c>
      <c r="F84" s="96" t="n">
        <v>231300</v>
      </c>
      <c r="G84" s="96" t="n">
        <v>3.17</v>
      </c>
      <c r="H84" s="96" t="inlineStr">
        <is>
          <t>Y</t>
        </is>
      </c>
      <c r="I84" s="96" t="n">
        <v>50</v>
      </c>
      <c r="J84" s="96" t="n">
        <v>23.4</v>
      </c>
      <c r="K84" s="96" t="n">
        <v>1.1</v>
      </c>
      <c r="L84" s="96" t="n">
        <v>4</v>
      </c>
      <c r="M84" s="96" t="inlineStr">
        <is>
          <t>AVOID</t>
        </is>
      </c>
    </row>
    <row r="85">
      <c r="A85" s="95" t="inlineStr">
        <is>
          <t>RAYMOND</t>
        </is>
      </c>
      <c r="B85" s="95" t="inlineStr">
        <is>
          <t>Raymond Limited</t>
        </is>
      </c>
      <c r="C85" s="95" t="inlineStr">
        <is>
          <t>Large/Midcap</t>
        </is>
      </c>
      <c r="D85" s="95" t="n">
        <v>590.5</v>
      </c>
      <c r="E85" s="95" t="n">
        <v>0.36</v>
      </c>
      <c r="F85" s="95" t="n">
        <v>175261</v>
      </c>
      <c r="G85" s="95" t="n">
        <v>10.35</v>
      </c>
      <c r="H85" s="95" t="inlineStr">
        <is>
          <t>Y</t>
        </is>
      </c>
      <c r="I85" s="95" t="n">
        <v>41.8</v>
      </c>
      <c r="J85" s="95" t="n">
        <v>24.1</v>
      </c>
      <c r="K85" s="95" t="n">
        <v>0.1</v>
      </c>
      <c r="L85" s="95" t="n">
        <v>4</v>
      </c>
      <c r="M85" s="95" t="inlineStr">
        <is>
          <t>AVOID</t>
        </is>
      </c>
    </row>
    <row r="86">
      <c r="A86" s="96" t="inlineStr">
        <is>
          <t>BIRLACORPN</t>
        </is>
      </c>
      <c r="B86" s="96" t="inlineStr">
        <is>
          <t>Birla Corporation Ltd.</t>
        </is>
      </c>
      <c r="C86" s="96" t="inlineStr">
        <is>
          <t>Large/Midcap</t>
        </is>
      </c>
      <c r="D86" s="96" t="n">
        <v>930.15</v>
      </c>
      <c r="E86" s="96" t="n">
        <v>-2.76</v>
      </c>
      <c r="F86" s="96" t="n">
        <v>180022</v>
      </c>
      <c r="G86" s="96" t="n">
        <v>16.74</v>
      </c>
      <c r="H86" s="96" t="inlineStr">
        <is>
          <t>Y</t>
        </is>
      </c>
      <c r="I86" s="96" t="n">
        <v>44.7</v>
      </c>
      <c r="J86" s="96" t="n">
        <v>26</v>
      </c>
      <c r="K86" s="96" t="n">
        <v>0.6</v>
      </c>
      <c r="L86" s="96" t="n">
        <v>4</v>
      </c>
      <c r="M86" s="96" t="inlineStr">
        <is>
          <t>AVOID</t>
        </is>
      </c>
    </row>
    <row r="87">
      <c r="A87" s="95" t="inlineStr">
        <is>
          <t>WELSPLSOL</t>
        </is>
      </c>
      <c r="B87" s="95" t="inlineStr">
        <is>
          <t>WELSPUN SPECIALTY SOLUTIONS LIMITED</t>
        </is>
      </c>
      <c r="C87" s="95" t="inlineStr">
        <is>
          <t>Large/Midcap</t>
        </is>
      </c>
      <c r="D87" s="95" t="n">
        <v>52.79</v>
      </c>
      <c r="E87" s="95" t="n">
        <v>2.9</v>
      </c>
      <c r="F87" s="95" t="n">
        <v>273686</v>
      </c>
      <c r="G87" s="95" t="n">
        <v>1.44</v>
      </c>
      <c r="H87" s="95" t="inlineStr">
        <is>
          <t>Y</t>
        </is>
      </c>
      <c r="I87" s="95" t="n">
        <v>54.4</v>
      </c>
      <c r="J87" s="95" t="n">
        <v>29.1</v>
      </c>
      <c r="K87" s="95" t="n">
        <v>2.2</v>
      </c>
      <c r="L87" s="95" t="n">
        <v>4</v>
      </c>
      <c r="M87" s="95" t="inlineStr">
        <is>
          <t>AVOID</t>
        </is>
      </c>
    </row>
    <row r="88">
      <c r="A88" s="96" t="inlineStr">
        <is>
          <t>JINDALSAW</t>
        </is>
      </c>
      <c r="B88" s="96" t="inlineStr">
        <is>
          <t>Jindal Saw Ltd.</t>
        </is>
      </c>
      <c r="C88" s="96" t="inlineStr">
        <is>
          <t>Large/Midcap</t>
        </is>
      </c>
      <c r="D88" s="96" t="n">
        <v>254.3</v>
      </c>
      <c r="E88" s="96" t="n">
        <v>-0.41</v>
      </c>
      <c r="F88" s="96" t="n">
        <v>277711</v>
      </c>
      <c r="G88" s="96" t="n">
        <v>7.06</v>
      </c>
      <c r="H88" s="96" t="inlineStr">
        <is>
          <t>Y</t>
        </is>
      </c>
      <c r="I88" s="96" t="n">
        <v>45</v>
      </c>
      <c r="J88" s="96" t="n">
        <v>9.9</v>
      </c>
      <c r="K88" s="96" t="n">
        <v>0.1</v>
      </c>
      <c r="L88" s="96" t="n">
        <v>4</v>
      </c>
      <c r="M88" s="96" t="inlineStr">
        <is>
          <t>AVOID</t>
        </is>
      </c>
    </row>
    <row r="89">
      <c r="A89" s="95" t="inlineStr">
        <is>
          <t>THERMAX</t>
        </is>
      </c>
      <c r="B89" s="95" t="inlineStr">
        <is>
          <t>Thermax Ltd.</t>
        </is>
      </c>
      <c r="C89" s="95" t="inlineStr">
        <is>
          <t>Large/Midcap</t>
        </is>
      </c>
      <c r="D89" s="95" t="n">
        <v>4424</v>
      </c>
      <c r="E89" s="95" t="n">
        <v>-1.99</v>
      </c>
      <c r="F89" s="95" t="n">
        <v>95347</v>
      </c>
      <c r="G89" s="95" t="n">
        <v>42.18</v>
      </c>
      <c r="H89" s="95" t="inlineStr">
        <is>
          <t>Y</t>
        </is>
      </c>
      <c r="I89" s="95" t="n">
        <v>41.2</v>
      </c>
      <c r="J89" s="95" t="n">
        <v>22.1</v>
      </c>
      <c r="K89" s="95" t="n">
        <v>8.6</v>
      </c>
      <c r="L89" s="95" t="n">
        <v>4</v>
      </c>
      <c r="M89" s="95" t="inlineStr">
        <is>
          <t>AVOID</t>
        </is>
      </c>
    </row>
    <row r="90">
      <c r="A90" s="96" t="inlineStr">
        <is>
          <t>FEDERALBNK</t>
        </is>
      </c>
      <c r="B90" s="96" t="inlineStr">
        <is>
          <t>Federal Bank Ltd.</t>
        </is>
      </c>
      <c r="C90" s="96" t="inlineStr">
        <is>
          <t>Large/Midcap</t>
        </is>
      </c>
      <c r="D90" s="96" t="n">
        <v>354.65</v>
      </c>
      <c r="E90" s="96" t="n">
        <v>0.1</v>
      </c>
      <c r="F90" s="96" t="n">
        <v>2712672</v>
      </c>
      <c r="G90" s="96" t="n">
        <v>96.2</v>
      </c>
      <c r="H90" s="96" t="inlineStr">
        <is>
          <t>Y</t>
        </is>
      </c>
      <c r="I90" s="96" t="n">
        <v>72.7</v>
      </c>
      <c r="J90" s="96" t="n">
        <v>35.5</v>
      </c>
      <c r="K90" s="96" t="n">
        <v>22.5</v>
      </c>
      <c r="L90" s="96" t="n">
        <v>4</v>
      </c>
      <c r="M90" s="96" t="inlineStr">
        <is>
          <t>AVOID</t>
        </is>
      </c>
    </row>
    <row r="91">
      <c r="A91" s="95" t="inlineStr">
        <is>
          <t>BPCL</t>
        </is>
      </c>
      <c r="B91" s="95" t="inlineStr">
        <is>
          <t>Bharat Petroleum Corpn. Ltd.</t>
        </is>
      </c>
      <c r="C91" s="95" t="inlineStr">
        <is>
          <t>Large/Midcap</t>
        </is>
      </c>
      <c r="D91" s="95" t="n">
        <v>316.2</v>
      </c>
      <c r="E91" s="95" t="n">
        <v>1.95</v>
      </c>
      <c r="F91" s="95" t="n">
        <v>2829924</v>
      </c>
      <c r="G91" s="95" t="n">
        <v>89.48</v>
      </c>
      <c r="H91" s="95" t="inlineStr">
        <is>
          <t>Y</t>
        </is>
      </c>
      <c r="I91" s="95" t="n">
        <v>52.2</v>
      </c>
      <c r="J91" s="95" t="n">
        <v>13.2</v>
      </c>
      <c r="K91" s="95" t="n">
        <v>5.5</v>
      </c>
      <c r="L91" s="95" t="n">
        <v>4</v>
      </c>
      <c r="M91" s="95" t="inlineStr">
        <is>
          <t>AVOID</t>
        </is>
      </c>
    </row>
    <row r="92">
      <c r="A92" s="96" t="inlineStr">
        <is>
          <t>SIEMENS</t>
        </is>
      </c>
      <c r="B92" s="96" t="inlineStr">
        <is>
          <t>Siemens Ltd.</t>
        </is>
      </c>
      <c r="C92" s="96" t="inlineStr">
        <is>
          <t>Large/Midcap</t>
        </is>
      </c>
      <c r="D92" s="96" t="n">
        <v>3700.3</v>
      </c>
      <c r="E92" s="96" t="n">
        <v>0.28</v>
      </c>
      <c r="F92" s="96" t="n">
        <v>133249</v>
      </c>
      <c r="G92" s="96" t="n">
        <v>49.31</v>
      </c>
      <c r="H92" s="96" t="inlineStr">
        <is>
          <t>Y</t>
        </is>
      </c>
      <c r="I92" s="96" t="n">
        <v>75.8</v>
      </c>
      <c r="J92" s="96" t="n">
        <v>50.8</v>
      </c>
      <c r="K92" s="96" t="n">
        <v>22.2</v>
      </c>
      <c r="L92" s="96" t="n">
        <v>4</v>
      </c>
      <c r="M92" s="96" t="inlineStr">
        <is>
          <t>AVOID</t>
        </is>
      </c>
    </row>
    <row r="93">
      <c r="A93" s="95" t="inlineStr">
        <is>
          <t>VOLTAS</t>
        </is>
      </c>
      <c r="B93" s="95" t="inlineStr">
        <is>
          <t>Voltas Ltd.</t>
        </is>
      </c>
      <c r="C93" s="95" t="inlineStr">
        <is>
          <t>Large/Midcap</t>
        </is>
      </c>
      <c r="D93" s="95" t="n">
        <v>1321.1</v>
      </c>
      <c r="E93" s="95" t="n">
        <v>-0.47</v>
      </c>
      <c r="F93" s="95" t="n">
        <v>142345</v>
      </c>
      <c r="G93" s="95" t="n">
        <v>18.81</v>
      </c>
      <c r="H93" s="95" t="inlineStr">
        <is>
          <t>Y</t>
        </is>
      </c>
      <c r="I93" s="95" t="n">
        <v>55.8</v>
      </c>
      <c r="J93" s="95" t="n">
        <v>26</v>
      </c>
      <c r="K93" s="95" t="n">
        <v>9.4</v>
      </c>
      <c r="L93" s="95" t="n">
        <v>4</v>
      </c>
      <c r="M93" s="95" t="inlineStr">
        <is>
          <t>AVOID</t>
        </is>
      </c>
    </row>
    <row r="94">
      <c r="A94" s="96" t="inlineStr">
        <is>
          <t>GNFC</t>
        </is>
      </c>
      <c r="B94" s="96" t="inlineStr">
        <is>
          <t>Gujarat Narmada Valley Fert.Co.Ltd</t>
        </is>
      </c>
      <c r="C94" s="96" t="inlineStr">
        <is>
          <t>Large/Midcap</t>
        </is>
      </c>
      <c r="D94" s="96" t="n">
        <v>509.45</v>
      </c>
      <c r="E94" s="96" t="n">
        <v>1.27</v>
      </c>
      <c r="F94" s="96" t="n">
        <v>93646</v>
      </c>
      <c r="G94" s="96" t="n">
        <v>4.77</v>
      </c>
      <c r="H94" s="96" t="inlineStr">
        <is>
          <t>Y</t>
        </is>
      </c>
      <c r="I94" s="96" t="n">
        <v>47.8</v>
      </c>
      <c r="J94" s="96" t="n">
        <v>45.2</v>
      </c>
      <c r="K94" s="96" t="n">
        <v>21.4</v>
      </c>
      <c r="L94" s="96" t="n">
        <v>4</v>
      </c>
      <c r="M94" s="96" t="inlineStr">
        <is>
          <t>AVOID</t>
        </is>
      </c>
    </row>
    <row r="95">
      <c r="A95" s="95" t="inlineStr">
        <is>
          <t>DEEPAKFERT</t>
        </is>
      </c>
      <c r="B95" s="95" t="inlineStr">
        <is>
          <t>Deepak Fertilizers &amp;Petrochemicals</t>
        </is>
      </c>
      <c r="C95" s="95" t="inlineStr">
        <is>
          <t>Large/Midcap</t>
        </is>
      </c>
      <c r="D95" s="95" t="n">
        <v>1561</v>
      </c>
      <c r="E95" s="95" t="n">
        <v>-0.78</v>
      </c>
      <c r="F95" s="95" t="n">
        <v>55595</v>
      </c>
      <c r="G95" s="95" t="n">
        <v>8.68</v>
      </c>
      <c r="H95" s="95" t="inlineStr">
        <is>
          <t>Y</t>
        </is>
      </c>
      <c r="I95" s="95" t="n">
        <v>47.1</v>
      </c>
      <c r="J95" s="95" t="n">
        <v>11.5</v>
      </c>
      <c r="K95" s="95" t="n">
        <v>0.2</v>
      </c>
      <c r="L95" s="95" t="n">
        <v>4</v>
      </c>
      <c r="M95" s="95" t="inlineStr">
        <is>
          <t>AVOID</t>
        </is>
      </c>
    </row>
    <row r="96">
      <c r="A96" s="96" t="inlineStr">
        <is>
          <t>INDHOTEL</t>
        </is>
      </c>
      <c r="B96" s="96" t="inlineStr">
        <is>
          <t>THE INDIAN HOTELS COMPANY LTD</t>
        </is>
      </c>
      <c r="C96" s="96" t="inlineStr">
        <is>
          <t>Large/Midcap</t>
        </is>
      </c>
      <c r="D96" s="96" t="n">
        <v>731.45</v>
      </c>
      <c r="E96" s="96" t="n">
        <v>0.55</v>
      </c>
      <c r="F96" s="96" t="n">
        <v>583928</v>
      </c>
      <c r="G96" s="96" t="n">
        <v>42.71</v>
      </c>
      <c r="H96" s="96" t="inlineStr">
        <is>
          <t>Y</t>
        </is>
      </c>
      <c r="I96" s="96" t="n">
        <v>44</v>
      </c>
      <c r="J96" s="96" t="n">
        <v>13.8</v>
      </c>
      <c r="K96" s="96" t="n">
        <v>0.2</v>
      </c>
      <c r="L96" s="96" t="n">
        <v>4</v>
      </c>
      <c r="M96" s="96" t="inlineStr">
        <is>
          <t>AVOID</t>
        </is>
      </c>
    </row>
    <row r="97">
      <c r="A97" s="95" t="inlineStr">
        <is>
          <t>APOLLOTYRE</t>
        </is>
      </c>
      <c r="B97" s="95" t="inlineStr">
        <is>
          <t>Apollo Tyres Ltd</t>
        </is>
      </c>
      <c r="C97" s="95" t="inlineStr">
        <is>
          <t>Large/Midcap</t>
        </is>
      </c>
      <c r="D97" s="95" t="n">
        <v>419.65</v>
      </c>
      <c r="E97" s="95" t="n">
        <v>0</v>
      </c>
      <c r="F97" s="95" t="n">
        <v>201165</v>
      </c>
      <c r="G97" s="95" t="n">
        <v>8.44</v>
      </c>
      <c r="H97" s="95" t="inlineStr">
        <is>
          <t>Y</t>
        </is>
      </c>
      <c r="I97" s="95" t="n">
        <v>18.9</v>
      </c>
      <c r="J97" s="95" t="n">
        <v>25.5</v>
      </c>
      <c r="K97" s="95" t="n">
        <v>11.8</v>
      </c>
      <c r="L97" s="95" t="n">
        <v>4</v>
      </c>
      <c r="M97" s="95" t="inlineStr">
        <is>
          <t>AVOID</t>
        </is>
      </c>
    </row>
    <row r="98">
      <c r="A98" s="96" t="inlineStr">
        <is>
          <t>ITC</t>
        </is>
      </c>
      <c r="B98" s="96" t="inlineStr">
        <is>
          <t>ITC Ltd</t>
        </is>
      </c>
      <c r="C98" s="96" t="inlineStr">
        <is>
          <t>Large/Midcap</t>
        </is>
      </c>
      <c r="D98" s="96" t="n">
        <v>286.6</v>
      </c>
      <c r="E98" s="96" t="n">
        <v>1.11</v>
      </c>
      <c r="F98" s="96" t="n">
        <v>12314366</v>
      </c>
      <c r="G98" s="96" t="n">
        <v>352.93</v>
      </c>
      <c r="H98" s="96" t="inlineStr">
        <is>
          <t>Y</t>
        </is>
      </c>
      <c r="I98" s="96" t="n">
        <v>46.5</v>
      </c>
      <c r="J98" s="96" t="n">
        <v>48</v>
      </c>
      <c r="K98" s="96" t="n">
        <v>13.5</v>
      </c>
      <c r="L98" s="96" t="n">
        <v>4</v>
      </c>
      <c r="M98" s="96" t="inlineStr">
        <is>
          <t>AVOID</t>
        </is>
      </c>
    </row>
    <row r="99">
      <c r="A99" s="95" t="inlineStr">
        <is>
          <t>BORORENEW</t>
        </is>
      </c>
      <c r="B99" s="95" t="inlineStr">
        <is>
          <t>BOROSIL RENEWABLES LIMITED</t>
        </is>
      </c>
      <c r="C99" s="95" t="inlineStr">
        <is>
          <t>Large/Midcap</t>
        </is>
      </c>
      <c r="D99" s="95" t="n">
        <v>583.7</v>
      </c>
      <c r="E99" s="95" t="n">
        <v>0.53</v>
      </c>
      <c r="F99" s="95" t="n">
        <v>201306</v>
      </c>
      <c r="G99" s="95" t="n">
        <v>11.75</v>
      </c>
      <c r="H99" s="95" t="inlineStr">
        <is>
          <t>Y</t>
        </is>
      </c>
      <c r="I99" s="95" t="n">
        <v>42.4</v>
      </c>
      <c r="J99" s="95" t="n">
        <v>18.9</v>
      </c>
      <c r="K99" s="95" t="n">
        <v>5.5</v>
      </c>
      <c r="L99" s="95" t="n">
        <v>4</v>
      </c>
      <c r="M99" s="95" t="inlineStr">
        <is>
          <t>AVOID</t>
        </is>
      </c>
    </row>
    <row r="100">
      <c r="A100" s="96" t="inlineStr">
        <is>
          <t>ANDHRAPAP</t>
        </is>
      </c>
      <c r="B100" s="96" t="inlineStr">
        <is>
          <t>ANDHRA PAPER LIMITED</t>
        </is>
      </c>
      <c r="C100" s="96" t="inlineStr">
        <is>
          <t>Large/Midcap</t>
        </is>
      </c>
      <c r="D100" s="96" t="n">
        <v>63</v>
      </c>
      <c r="E100" s="96" t="n">
        <v>2.72</v>
      </c>
      <c r="F100" s="96" t="n">
        <v>292148</v>
      </c>
      <c r="G100" s="96" t="n">
        <v>1.84</v>
      </c>
      <c r="H100" s="96" t="inlineStr">
        <is>
          <t>Y</t>
        </is>
      </c>
      <c r="I100" s="96" t="n">
        <v>57.4</v>
      </c>
      <c r="J100" s="96" t="n">
        <v>47</v>
      </c>
      <c r="K100" s="96" t="n">
        <v>8.4</v>
      </c>
      <c r="L100" s="96" t="n">
        <v>4</v>
      </c>
      <c r="M100" s="96" t="inlineStr">
        <is>
          <t>AVOID</t>
        </is>
      </c>
    </row>
    <row r="101">
      <c r="A101" s="95" t="inlineStr">
        <is>
          <t>CUB</t>
        </is>
      </c>
      <c r="B101" s="95" t="inlineStr">
        <is>
          <t>CITY UNION BANK LIMITED</t>
        </is>
      </c>
      <c r="C101" s="95" t="inlineStr">
        <is>
          <t>Large/Midcap</t>
        </is>
      </c>
      <c r="D101" s="95" t="n">
        <v>221.8</v>
      </c>
      <c r="E101" s="95" t="n">
        <v>0.93</v>
      </c>
      <c r="F101" s="95" t="n">
        <v>77620</v>
      </c>
      <c r="G101" s="95" t="n">
        <v>1.72</v>
      </c>
      <c r="H101" s="95" t="inlineStr">
        <is>
          <t>Y</t>
        </is>
      </c>
      <c r="I101" s="95" t="n">
        <v>43.4</v>
      </c>
      <c r="J101" s="95" t="n">
        <v>39.7</v>
      </c>
      <c r="K101" s="95" t="n">
        <v>5.3</v>
      </c>
      <c r="L101" s="95" t="n">
        <v>4</v>
      </c>
      <c r="M101" s="95" t="inlineStr">
        <is>
          <t>AVOID</t>
        </is>
      </c>
    </row>
    <row r="102">
      <c r="A102" s="96" t="inlineStr">
        <is>
          <t>BOMDYEING</t>
        </is>
      </c>
      <c r="B102" s="96" t="inlineStr">
        <is>
          <t>Bombay Dyeing &amp; Mfg. Co. Ltd.</t>
        </is>
      </c>
      <c r="C102" s="96" t="inlineStr">
        <is>
          <t>Large/Midcap</t>
        </is>
      </c>
      <c r="D102" s="96" t="n">
        <v>122.12</v>
      </c>
      <c r="E102" s="96" t="n">
        <v>0.34</v>
      </c>
      <c r="F102" s="96" t="n">
        <v>117052</v>
      </c>
      <c r="G102" s="96" t="n">
        <v>1.43</v>
      </c>
      <c r="H102" s="96" t="inlineStr">
        <is>
          <t>Y</t>
        </is>
      </c>
      <c r="I102" s="96" t="n">
        <v>40.2</v>
      </c>
      <c r="J102" s="96" t="n">
        <v>58.1</v>
      </c>
      <c r="K102" s="96" t="n">
        <v>45.8</v>
      </c>
      <c r="L102" s="96" t="n">
        <v>3</v>
      </c>
      <c r="M102" s="96" t="inlineStr">
        <is>
          <t>AVOID</t>
        </is>
      </c>
    </row>
    <row r="103">
      <c r="A103" s="95" t="inlineStr">
        <is>
          <t>BEL</t>
        </is>
      </c>
      <c r="B103" s="95" t="inlineStr">
        <is>
          <t>Bharat Electronics Ltd.</t>
        </is>
      </c>
      <c r="C103" s="95" t="inlineStr">
        <is>
          <t>Large/Midcap</t>
        </is>
      </c>
      <c r="D103" s="95" t="n">
        <v>405.35</v>
      </c>
      <c r="E103" s="95" t="n">
        <v>0.09</v>
      </c>
      <c r="F103" s="95" t="n">
        <v>3429756</v>
      </c>
      <c r="G103" s="95" t="n">
        <v>139.03</v>
      </c>
      <c r="H103" s="95" t="inlineStr">
        <is>
          <t>Y</t>
        </is>
      </c>
      <c r="I103" s="95" t="n">
        <v>33.6</v>
      </c>
      <c r="J103" s="95" t="n">
        <v>16.1</v>
      </c>
      <c r="K103" s="95" t="n">
        <v>8.199999999999999</v>
      </c>
      <c r="L103" s="95" t="n">
        <v>3</v>
      </c>
      <c r="M103" s="95" t="inlineStr">
        <is>
          <t>AVOID</t>
        </is>
      </c>
    </row>
    <row r="104">
      <c r="A104" s="96" t="inlineStr">
        <is>
          <t>BATAINDIA</t>
        </is>
      </c>
      <c r="B104" s="96" t="inlineStr">
        <is>
          <t>Bata India Limited</t>
        </is>
      </c>
      <c r="C104" s="96" t="inlineStr">
        <is>
          <t>Large/Midcap</t>
        </is>
      </c>
      <c r="D104" s="96" t="n">
        <v>694.8</v>
      </c>
      <c r="E104" s="96" t="n">
        <v>0.7</v>
      </c>
      <c r="F104" s="96" t="n">
        <v>69377</v>
      </c>
      <c r="G104" s="96" t="n">
        <v>4.82</v>
      </c>
      <c r="H104" s="96" t="inlineStr">
        <is>
          <t>Y</t>
        </is>
      </c>
      <c r="I104" s="96" t="n">
        <v>53.9</v>
      </c>
      <c r="J104" s="96" t="n">
        <v>28.9</v>
      </c>
      <c r="K104" s="96" t="n">
        <v>1</v>
      </c>
      <c r="L104" s="96" t="n">
        <v>3</v>
      </c>
      <c r="M104" s="96" t="inlineStr">
        <is>
          <t>AVOID</t>
        </is>
      </c>
    </row>
    <row r="105">
      <c r="A105" s="95" t="inlineStr">
        <is>
          <t>CGPOWER</t>
        </is>
      </c>
      <c r="B105" s="95" t="inlineStr">
        <is>
          <t>CG Power and Industrial Solutions Limited</t>
        </is>
      </c>
      <c r="C105" s="95" t="inlineStr">
        <is>
          <t>Large/Midcap</t>
        </is>
      </c>
      <c r="D105" s="95" t="n">
        <v>874.15</v>
      </c>
      <c r="E105" s="95" t="n">
        <v>0.74</v>
      </c>
      <c r="F105" s="95" t="n">
        <v>2793224</v>
      </c>
      <c r="G105" s="95" t="n">
        <v>244.17</v>
      </c>
      <c r="H105" s="95" t="inlineStr">
        <is>
          <t>Y</t>
        </is>
      </c>
      <c r="I105" s="95" t="n">
        <v>36.4</v>
      </c>
      <c r="J105" s="95" t="n">
        <v>27.9</v>
      </c>
      <c r="K105" s="95" t="n">
        <v>14.2</v>
      </c>
      <c r="L105" s="95" t="n">
        <v>3</v>
      </c>
      <c r="M105" s="95" t="inlineStr">
        <is>
          <t>AVOID</t>
        </is>
      </c>
    </row>
    <row r="106">
      <c r="A106" s="96" t="inlineStr">
        <is>
          <t>CHAMBLFERT</t>
        </is>
      </c>
      <c r="B106" s="96" t="inlineStr">
        <is>
          <t>Chambal Fertilisers &amp; Chemicals Ltd</t>
        </is>
      </c>
      <c r="C106" s="96" t="inlineStr">
        <is>
          <t>Large/Midcap</t>
        </is>
      </c>
      <c r="D106" s="96" t="n">
        <v>436.7</v>
      </c>
      <c r="E106" s="96" t="n">
        <v>1.32</v>
      </c>
      <c r="F106" s="96" t="n">
        <v>118233</v>
      </c>
      <c r="G106" s="96" t="n">
        <v>5.16</v>
      </c>
      <c r="H106" s="96" t="inlineStr">
        <is>
          <t>Y</t>
        </is>
      </c>
      <c r="I106" s="96" t="n">
        <v>25.2</v>
      </c>
      <c r="J106" s="96" t="n">
        <v>66.59999999999999</v>
      </c>
      <c r="K106" s="96" t="n">
        <v>55.7</v>
      </c>
      <c r="L106" s="96" t="n">
        <v>3</v>
      </c>
      <c r="M106" s="96" t="inlineStr">
        <is>
          <t>AVOID</t>
        </is>
      </c>
    </row>
    <row r="107">
      <c r="A107" s="95" t="inlineStr">
        <is>
          <t>SAIL</t>
        </is>
      </c>
      <c r="B107" s="95" t="inlineStr">
        <is>
          <t>Steel Authority of India Ltd.</t>
        </is>
      </c>
      <c r="C107" s="95" t="inlineStr">
        <is>
          <t>Large/Midcap</t>
        </is>
      </c>
      <c r="D107" s="95" t="n">
        <v>162.95</v>
      </c>
      <c r="E107" s="95" t="n">
        <v>0.93</v>
      </c>
      <c r="F107" s="95" t="n">
        <v>8313703</v>
      </c>
      <c r="G107" s="95" t="n">
        <v>135.47</v>
      </c>
      <c r="H107" s="95" t="inlineStr">
        <is>
          <t>Y</t>
        </is>
      </c>
      <c r="I107" s="95" t="n">
        <v>43.7</v>
      </c>
      <c r="J107" s="95" t="n">
        <v>22</v>
      </c>
      <c r="K107" s="95" t="n">
        <v>15.5</v>
      </c>
      <c r="L107" s="95" t="n">
        <v>3</v>
      </c>
      <c r="M107" s="95" t="inlineStr">
        <is>
          <t>AVOID</t>
        </is>
      </c>
    </row>
    <row r="108">
      <c r="A108" s="96" t="inlineStr">
        <is>
          <t>ESTER</t>
        </is>
      </c>
      <c r="B108" s="96" t="inlineStr">
        <is>
          <t>Ester Industries Ltd.</t>
        </is>
      </c>
      <c r="C108" s="96" t="inlineStr">
        <is>
          <t>Large/Midcap</t>
        </is>
      </c>
      <c r="D108" s="96" t="n">
        <v>90.45</v>
      </c>
      <c r="E108" s="96" t="n">
        <v>2.17</v>
      </c>
      <c r="F108" s="96" t="n">
        <v>56181</v>
      </c>
      <c r="G108" s="96" t="n">
        <v>0.51</v>
      </c>
      <c r="H108" s="96" t="inlineStr">
        <is>
          <t>Y</t>
        </is>
      </c>
      <c r="I108" s="96" t="n">
        <v>46</v>
      </c>
      <c r="J108" s="96" t="n">
        <v>16.4</v>
      </c>
      <c r="K108" s="96" t="n">
        <v>5</v>
      </c>
      <c r="L108" s="96" t="n">
        <v>3</v>
      </c>
      <c r="M108" s="96" t="inlineStr">
        <is>
          <t>AVOID</t>
        </is>
      </c>
    </row>
    <row r="109">
      <c r="A109" s="95" t="inlineStr">
        <is>
          <t>KANSAINER</t>
        </is>
      </c>
      <c r="B109" s="95" t="inlineStr">
        <is>
          <t>Kansai Nerolac Paints</t>
        </is>
      </c>
      <c r="C109" s="95" t="inlineStr">
        <is>
          <t>Large/Midcap</t>
        </is>
      </c>
      <c r="D109" s="95" t="n">
        <v>204.34</v>
      </c>
      <c r="E109" s="95" t="n">
        <v>5.77</v>
      </c>
      <c r="F109" s="95" t="n">
        <v>295797</v>
      </c>
      <c r="G109" s="95" t="n">
        <v>6.04</v>
      </c>
      <c r="H109" s="95" t="inlineStr">
        <is>
          <t>Y</t>
        </is>
      </c>
      <c r="I109" s="95" t="n">
        <v>46.1</v>
      </c>
      <c r="J109" s="95" t="n">
        <v>43.9</v>
      </c>
      <c r="K109" s="95" t="n">
        <v>24.2</v>
      </c>
      <c r="L109" s="95" t="n">
        <v>3</v>
      </c>
      <c r="M109" s="95" t="inlineStr">
        <is>
          <t>AVOID</t>
        </is>
      </c>
    </row>
    <row r="110">
      <c r="A110" s="96" t="inlineStr">
        <is>
          <t>HCC</t>
        </is>
      </c>
      <c r="B110" s="96" t="inlineStr">
        <is>
          <t>Hindustan Construction Co. Ltd.</t>
        </is>
      </c>
      <c r="C110" s="96" t="inlineStr">
        <is>
          <t>Large/Midcap</t>
        </is>
      </c>
      <c r="D110" s="96" t="n">
        <v>21.77</v>
      </c>
      <c r="E110" s="96" t="n">
        <v>1.59</v>
      </c>
      <c r="F110" s="96" t="n">
        <v>10563064</v>
      </c>
      <c r="G110" s="96" t="n">
        <v>23</v>
      </c>
      <c r="H110" s="96" t="inlineStr">
        <is>
          <t>Y</t>
        </is>
      </c>
      <c r="I110" s="96" t="n">
        <v>32.6</v>
      </c>
      <c r="J110" s="96" t="n">
        <v>67.7</v>
      </c>
      <c r="K110" s="96" t="n">
        <v>60.4</v>
      </c>
      <c r="L110" s="96" t="n">
        <v>3</v>
      </c>
      <c r="M110" s="96" t="inlineStr">
        <is>
          <t>AVOID</t>
        </is>
      </c>
    </row>
    <row r="111">
      <c r="A111" s="95" t="inlineStr">
        <is>
          <t>HINDZINC</t>
        </is>
      </c>
      <c r="B111" s="95" t="inlineStr">
        <is>
          <t>Hindustan Zinc Ltd.</t>
        </is>
      </c>
      <c r="C111" s="95" t="inlineStr">
        <is>
          <t>Large/Midcap</t>
        </is>
      </c>
      <c r="D111" s="95" t="n">
        <v>531.95</v>
      </c>
      <c r="E111" s="95" t="n">
        <v>0</v>
      </c>
      <c r="F111" s="95" t="n">
        <v>3038571</v>
      </c>
      <c r="G111" s="95" t="n">
        <v>161.64</v>
      </c>
      <c r="H111" s="95" t="inlineStr">
        <is>
          <t>Y</t>
        </is>
      </c>
      <c r="I111" s="95" t="n">
        <v>50.8</v>
      </c>
      <c r="J111" s="95" t="n">
        <v>12.6</v>
      </c>
      <c r="K111" s="95" t="n">
        <v>0.2</v>
      </c>
      <c r="L111" s="95" t="n">
        <v>3</v>
      </c>
      <c r="M111" s="95" t="inlineStr">
        <is>
          <t>AVOID</t>
        </is>
      </c>
    </row>
    <row r="112">
      <c r="A112" s="96" t="inlineStr">
        <is>
          <t>INFY</t>
        </is>
      </c>
      <c r="B112" s="96" t="inlineStr">
        <is>
          <t>Infosys Ltd</t>
        </is>
      </c>
      <c r="C112" s="96" t="inlineStr">
        <is>
          <t>Large/Midcap</t>
        </is>
      </c>
      <c r="D112" s="96" t="n">
        <v>1080.1</v>
      </c>
      <c r="E112" s="96" t="n">
        <v>3.77</v>
      </c>
      <c r="F112" s="96" t="n">
        <v>9455806</v>
      </c>
      <c r="G112" s="96" t="n">
        <v>1021.32</v>
      </c>
      <c r="H112" s="96" t="inlineStr">
        <is>
          <t>Y</t>
        </is>
      </c>
      <c r="I112" s="96" t="n">
        <v>51.9</v>
      </c>
      <c r="J112" s="96" t="n">
        <v>16.9</v>
      </c>
      <c r="K112" s="96" t="n">
        <v>4.5</v>
      </c>
      <c r="L112" s="96" t="n">
        <v>3</v>
      </c>
      <c r="M112" s="96" t="inlineStr">
        <is>
          <t>AVOID</t>
        </is>
      </c>
    </row>
    <row r="113">
      <c r="A113" s="95" t="inlineStr">
        <is>
          <t>KSB</t>
        </is>
      </c>
      <c r="B113" s="95" t="inlineStr">
        <is>
          <t>KSB LIMITED</t>
        </is>
      </c>
      <c r="C113" s="95" t="inlineStr">
        <is>
          <t>Large/Midcap</t>
        </is>
      </c>
      <c r="D113" s="95" t="n">
        <v>876</v>
      </c>
      <c r="E113" s="95" t="n">
        <v>1.15</v>
      </c>
      <c r="F113" s="95" t="n">
        <v>51709</v>
      </c>
      <c r="G113" s="95" t="n">
        <v>4.53</v>
      </c>
      <c r="H113" s="95" t="inlineStr">
        <is>
          <t>Y</t>
        </is>
      </c>
      <c r="I113" s="95" t="n">
        <v>27.2</v>
      </c>
      <c r="J113" s="95" t="n">
        <v>25.8</v>
      </c>
      <c r="K113" s="95" t="n">
        <v>22.2</v>
      </c>
      <c r="L113" s="95" t="n">
        <v>3</v>
      </c>
      <c r="M113" s="95" t="inlineStr">
        <is>
          <t>AVOID</t>
        </is>
      </c>
    </row>
    <row r="114">
      <c r="A114" s="96" t="inlineStr">
        <is>
          <t>VEDL</t>
        </is>
      </c>
      <c r="B114" s="96" t="inlineStr">
        <is>
          <t>Vedanta Limited</t>
        </is>
      </c>
      <c r="C114" s="96" t="inlineStr">
        <is>
          <t>Large/Midcap</t>
        </is>
      </c>
      <c r="D114" s="96" t="n">
        <v>265.3</v>
      </c>
      <c r="E114" s="96" t="n">
        <v>0.25</v>
      </c>
      <c r="F114" s="96" t="n">
        <v>3618569</v>
      </c>
      <c r="G114" s="96" t="n">
        <v>96</v>
      </c>
      <c r="H114" s="96" t="inlineStr">
        <is>
          <t>Y</t>
        </is>
      </c>
      <c r="I114" s="96" t="n">
        <v>38.3</v>
      </c>
      <c r="J114" s="96" t="n">
        <v>35.3</v>
      </c>
      <c r="K114" s="96" t="n">
        <v>22.2</v>
      </c>
      <c r="L114" s="96" t="n">
        <v>3</v>
      </c>
      <c r="M114" s="96" t="inlineStr">
        <is>
          <t>AVOID</t>
        </is>
      </c>
    </row>
    <row r="115">
      <c r="A115" s="95" t="inlineStr">
        <is>
          <t>HINDALCO</t>
        </is>
      </c>
      <c r="B115" s="95" t="inlineStr">
        <is>
          <t>Hindalco Industries Ltd.</t>
        </is>
      </c>
      <c r="C115" s="95" t="inlineStr">
        <is>
          <t>Large/Midcap</t>
        </is>
      </c>
      <c r="D115" s="95" t="n">
        <v>949.4</v>
      </c>
      <c r="E115" s="95" t="n">
        <v>0.7</v>
      </c>
      <c r="F115" s="95" t="n">
        <v>705175</v>
      </c>
      <c r="G115" s="95" t="n">
        <v>66.95</v>
      </c>
      <c r="H115" s="95" t="inlineStr">
        <is>
          <t>Y</t>
        </is>
      </c>
      <c r="I115" s="95" t="n">
        <v>42.3</v>
      </c>
      <c r="J115" s="95" t="n">
        <v>16.2</v>
      </c>
      <c r="K115" s="95" t="n">
        <v>0.2</v>
      </c>
      <c r="L115" s="95" t="n">
        <v>3</v>
      </c>
      <c r="M115" s="95" t="inlineStr">
        <is>
          <t>AVOID</t>
        </is>
      </c>
    </row>
    <row r="116">
      <c r="A116" s="96" t="inlineStr">
        <is>
          <t>AMBUJACEM</t>
        </is>
      </c>
      <c r="B116" s="96" t="inlineStr">
        <is>
          <t>Ambuja Cements Ltd.</t>
        </is>
      </c>
      <c r="C116" s="96" t="inlineStr">
        <is>
          <t>Large/Midcap</t>
        </is>
      </c>
      <c r="D116" s="96" t="n">
        <v>429.7</v>
      </c>
      <c r="E116" s="96" t="n">
        <v>1.07</v>
      </c>
      <c r="F116" s="96" t="n">
        <v>617567</v>
      </c>
      <c r="G116" s="96" t="n">
        <v>26.54</v>
      </c>
      <c r="H116" s="96" t="inlineStr">
        <is>
          <t>Y</t>
        </is>
      </c>
      <c r="I116" s="96" t="n">
        <v>45.9</v>
      </c>
      <c r="J116" s="96" t="n">
        <v>19.6</v>
      </c>
      <c r="K116" s="96" t="n">
        <v>0.2</v>
      </c>
      <c r="L116" s="96" t="n">
        <v>3</v>
      </c>
      <c r="M116" s="96" t="inlineStr">
        <is>
          <t>AVOID</t>
        </is>
      </c>
    </row>
    <row r="117">
      <c r="A117" s="95" t="inlineStr">
        <is>
          <t>ASHOKLEY</t>
        </is>
      </c>
      <c r="B117" s="95" t="inlineStr">
        <is>
          <t>Ashok Leyland Ltd.</t>
        </is>
      </c>
      <c r="C117" s="95" t="inlineStr">
        <is>
          <t>Large/Midcap</t>
        </is>
      </c>
      <c r="D117" s="95" t="n">
        <v>153.55</v>
      </c>
      <c r="E117" s="95" t="n">
        <v>1.64</v>
      </c>
      <c r="F117" s="95" t="n">
        <v>3915103</v>
      </c>
      <c r="G117" s="95" t="n">
        <v>60.12</v>
      </c>
      <c r="H117" s="95" t="inlineStr">
        <is>
          <t>Y</t>
        </is>
      </c>
      <c r="I117" s="95" t="n">
        <v>31</v>
      </c>
      <c r="J117" s="95" t="n">
        <v>25.8</v>
      </c>
      <c r="K117" s="95" t="n">
        <v>17.7</v>
      </c>
      <c r="L117" s="95" t="n">
        <v>3</v>
      </c>
      <c r="M117" s="95" t="inlineStr">
        <is>
          <t>AVOID</t>
        </is>
      </c>
    </row>
    <row r="118">
      <c r="A118" s="96" t="inlineStr">
        <is>
          <t>LT</t>
        </is>
      </c>
      <c r="B118" s="96" t="inlineStr">
        <is>
          <t>Larsen &amp; Toubro Limited</t>
        </is>
      </c>
      <c r="C118" s="96" t="inlineStr">
        <is>
          <t>Large/Midcap</t>
        </is>
      </c>
      <c r="D118" s="96" t="n">
        <v>3815</v>
      </c>
      <c r="E118" s="96" t="n">
        <v>0.78</v>
      </c>
      <c r="F118" s="96" t="n">
        <v>630921</v>
      </c>
      <c r="G118" s="96" t="n">
        <v>240.7</v>
      </c>
      <c r="H118" s="96" t="inlineStr">
        <is>
          <t>Y</t>
        </is>
      </c>
      <c r="I118" s="96" t="n">
        <v>32.2</v>
      </c>
      <c r="J118" s="96" t="n">
        <v>74.2</v>
      </c>
      <c r="K118" s="96" t="n">
        <v>60.3</v>
      </c>
      <c r="L118" s="96" t="n">
        <v>3</v>
      </c>
      <c r="M118" s="96" t="inlineStr">
        <is>
          <t>AVOID</t>
        </is>
      </c>
    </row>
    <row r="119">
      <c r="A119" s="95" t="inlineStr">
        <is>
          <t>HINDUNILVR</t>
        </is>
      </c>
      <c r="B119" s="95" t="inlineStr">
        <is>
          <t>Hindustan Unilever Ltd.</t>
        </is>
      </c>
      <c r="C119" s="95" t="inlineStr">
        <is>
          <t>Large/Midcap</t>
        </is>
      </c>
      <c r="D119" s="95" t="n">
        <v>2177.5</v>
      </c>
      <c r="E119" s="95" t="n">
        <v>1.52</v>
      </c>
      <c r="F119" s="95" t="n">
        <v>316112</v>
      </c>
      <c r="G119" s="95" t="n">
        <v>68.83</v>
      </c>
      <c r="H119" s="95" t="inlineStr">
        <is>
          <t>Y</t>
        </is>
      </c>
      <c r="I119" s="95" t="n">
        <v>44</v>
      </c>
      <c r="J119" s="95" t="n">
        <v>16.2</v>
      </c>
      <c r="K119" s="95" t="n">
        <v>1.6</v>
      </c>
      <c r="L119" s="95" t="n">
        <v>3</v>
      </c>
      <c r="M119" s="95" t="inlineStr">
        <is>
          <t>AVOID</t>
        </is>
      </c>
    </row>
    <row r="120">
      <c r="A120" s="96" t="inlineStr">
        <is>
          <t>NOCIL</t>
        </is>
      </c>
      <c r="B120" s="96" t="inlineStr">
        <is>
          <t>NOCIL Ltd</t>
        </is>
      </c>
      <c r="C120" s="96" t="inlineStr">
        <is>
          <t>Large/Midcap</t>
        </is>
      </c>
      <c r="D120" s="96" t="n">
        <v>162.57</v>
      </c>
      <c r="E120" s="96" t="n">
        <v>1.54</v>
      </c>
      <c r="F120" s="96" t="n">
        <v>102374</v>
      </c>
      <c r="G120" s="96" t="n">
        <v>1.66</v>
      </c>
      <c r="H120" s="96" t="inlineStr">
        <is>
          <t>Y</t>
        </is>
      </c>
      <c r="I120" s="96" t="n">
        <v>31.9</v>
      </c>
      <c r="J120" s="96" t="n">
        <v>36.1</v>
      </c>
      <c r="K120" s="96" t="n">
        <v>31.5</v>
      </c>
      <c r="L120" s="96" t="n">
        <v>3</v>
      </c>
      <c r="M120" s="96" t="inlineStr">
        <is>
          <t>AVOID</t>
        </is>
      </c>
    </row>
    <row r="121">
      <c r="A121" s="95" t="inlineStr">
        <is>
          <t>TNPETRO</t>
        </is>
      </c>
      <c r="B121" s="95" t="inlineStr">
        <is>
          <t>Tamilnadu Petroproducts Ltd</t>
        </is>
      </c>
      <c r="C121" s="95" t="inlineStr">
        <is>
          <t>Large/Midcap</t>
        </is>
      </c>
      <c r="D121" s="95" t="n">
        <v>94.84</v>
      </c>
      <c r="E121" s="95" t="n">
        <v>-0.17</v>
      </c>
      <c r="F121" s="95" t="n">
        <v>83261</v>
      </c>
      <c r="G121" s="95" t="n">
        <v>0.79</v>
      </c>
      <c r="H121" s="95" t="inlineStr">
        <is>
          <t>Y</t>
        </is>
      </c>
      <c r="I121" s="95" t="n">
        <v>39.8</v>
      </c>
      <c r="J121" s="95" t="n">
        <v>34.2</v>
      </c>
      <c r="K121" s="95" t="n">
        <v>14.5</v>
      </c>
      <c r="L121" s="95" t="n">
        <v>3</v>
      </c>
      <c r="M121" s="95" t="inlineStr">
        <is>
          <t>AVOID</t>
        </is>
      </c>
    </row>
    <row r="122">
      <c r="A122" s="96" t="inlineStr">
        <is>
          <t>NESTLEIND</t>
        </is>
      </c>
      <c r="B122" s="96" t="inlineStr">
        <is>
          <t>Nestle India Ltd.</t>
        </is>
      </c>
      <c r="C122" s="96" t="inlineStr">
        <is>
          <t>Large/Midcap</t>
        </is>
      </c>
      <c r="D122" s="96" t="n">
        <v>1438.2</v>
      </c>
      <c r="E122" s="96" t="n">
        <v>-0.37</v>
      </c>
      <c r="F122" s="96" t="n">
        <v>767211</v>
      </c>
      <c r="G122" s="96" t="n">
        <v>110.34</v>
      </c>
      <c r="H122" s="96" t="inlineStr">
        <is>
          <t>Y</t>
        </is>
      </c>
      <c r="I122" s="96" t="n">
        <v>43.1</v>
      </c>
      <c r="J122" s="96" t="n">
        <v>21.5</v>
      </c>
      <c r="K122" s="96" t="n">
        <v>0.5</v>
      </c>
      <c r="L122" s="96" t="n">
        <v>3</v>
      </c>
      <c r="M122" s="96" t="inlineStr">
        <is>
          <t>AVOID</t>
        </is>
      </c>
    </row>
    <row r="123">
      <c r="A123" s="95" t="inlineStr">
        <is>
          <t>BRITANNIA</t>
        </is>
      </c>
      <c r="B123" s="95" t="inlineStr">
        <is>
          <t>Britannia Industries Ltd.</t>
        </is>
      </c>
      <c r="C123" s="95" t="inlineStr">
        <is>
          <t>Large/Midcap</t>
        </is>
      </c>
      <c r="D123" s="95" t="n">
        <v>5380</v>
      </c>
      <c r="E123" s="95" t="n">
        <v>0.01</v>
      </c>
      <c r="F123" s="95" t="n">
        <v>79092</v>
      </c>
      <c r="G123" s="95" t="n">
        <v>42.55</v>
      </c>
      <c r="H123" s="95" t="inlineStr">
        <is>
          <t>Y</t>
        </is>
      </c>
      <c r="I123" s="95" t="n">
        <v>44.2</v>
      </c>
      <c r="J123" s="95" t="n">
        <v>15.1</v>
      </c>
      <c r="K123" s="95" t="n">
        <v>3.4</v>
      </c>
      <c r="L123" s="95" t="n">
        <v>3</v>
      </c>
      <c r="M123" s="95" t="inlineStr">
        <is>
          <t>AVOID</t>
        </is>
      </c>
    </row>
    <row r="124">
      <c r="A124" s="96" t="inlineStr">
        <is>
          <t>EIHOTEL</t>
        </is>
      </c>
      <c r="B124" s="96" t="inlineStr">
        <is>
          <t>EIH Ltd</t>
        </is>
      </c>
      <c r="C124" s="96" t="inlineStr">
        <is>
          <t>Large/Midcap</t>
        </is>
      </c>
      <c r="D124" s="96" t="n">
        <v>329.9</v>
      </c>
      <c r="E124" s="96" t="n">
        <v>1.07</v>
      </c>
      <c r="F124" s="96" t="n">
        <v>55683</v>
      </c>
      <c r="G124" s="96" t="n">
        <v>1.84</v>
      </c>
      <c r="H124" s="96" t="inlineStr">
        <is>
          <t>Y</t>
        </is>
      </c>
      <c r="I124" s="96" t="n">
        <v>44.8</v>
      </c>
      <c r="J124" s="96" t="n">
        <v>34.5</v>
      </c>
      <c r="K124" s="96" t="n">
        <v>2.6</v>
      </c>
      <c r="L124" s="96" t="n">
        <v>3</v>
      </c>
      <c r="M124" s="96" t="inlineStr">
        <is>
          <t>AVOID</t>
        </is>
      </c>
    </row>
    <row r="125">
      <c r="A125" s="95" t="inlineStr">
        <is>
          <t>CENTRUM</t>
        </is>
      </c>
      <c r="B125" s="95" t="inlineStr">
        <is>
          <t>Centrum Capital Limited</t>
        </is>
      </c>
      <c r="C125" s="95" t="inlineStr">
        <is>
          <t>Large/Midcap</t>
        </is>
      </c>
      <c r="D125" s="95" t="n">
        <v>23.12</v>
      </c>
      <c r="E125" s="95" t="n">
        <v>-2.28</v>
      </c>
      <c r="F125" s="95" t="n">
        <v>155533</v>
      </c>
      <c r="G125" s="95" t="n">
        <v>0.36</v>
      </c>
      <c r="H125" s="95" t="inlineStr">
        <is>
          <t>Y</t>
        </is>
      </c>
      <c r="I125" s="95" t="n">
        <v>37.3</v>
      </c>
      <c r="J125" s="95" t="n">
        <v>35.8</v>
      </c>
      <c r="K125" s="95" t="n">
        <v>7.1</v>
      </c>
      <c r="L125" s="95" t="n">
        <v>3</v>
      </c>
      <c r="M125" s="95" t="inlineStr">
        <is>
          <t>AVOID</t>
        </is>
      </c>
    </row>
    <row r="126">
      <c r="A126" s="96" t="inlineStr">
        <is>
          <t>SHREDIGCEM</t>
        </is>
      </c>
      <c r="B126" s="96" t="inlineStr">
        <is>
          <t>Shree Digvijay Cement Co. Ltd.</t>
        </is>
      </c>
      <c r="C126" s="96" t="inlineStr">
        <is>
          <t>Large/Midcap</t>
        </is>
      </c>
      <c r="D126" s="96" t="n">
        <v>73.34</v>
      </c>
      <c r="E126" s="96" t="n">
        <v>-3.7</v>
      </c>
      <c r="F126" s="96" t="n">
        <v>128943</v>
      </c>
      <c r="G126" s="96" t="n">
        <v>0.95</v>
      </c>
      <c r="H126" s="96" t="inlineStr">
        <is>
          <t>Y</t>
        </is>
      </c>
      <c r="I126" s="96" t="n">
        <v>40.6</v>
      </c>
      <c r="J126" s="96" t="n">
        <v>16.7</v>
      </c>
      <c r="K126" s="96" t="n">
        <v>4.5</v>
      </c>
      <c r="L126" s="96" t="n">
        <v>3</v>
      </c>
      <c r="M126" s="96" t="inlineStr">
        <is>
          <t>AVOID</t>
        </is>
      </c>
    </row>
    <row r="127">
      <c r="A127" s="95" t="inlineStr">
        <is>
          <t>ORIENTPPR</t>
        </is>
      </c>
      <c r="B127" s="95" t="inlineStr">
        <is>
          <t>Orient Paper &amp; Industries Ltd.</t>
        </is>
      </c>
      <c r="C127" s="95" t="inlineStr">
        <is>
          <t>Large/Midcap</t>
        </is>
      </c>
      <c r="D127" s="95" t="n">
        <v>18.25</v>
      </c>
      <c r="E127" s="95" t="n">
        <v>3.81</v>
      </c>
      <c r="F127" s="95" t="n">
        <v>329747</v>
      </c>
      <c r="G127" s="95" t="n">
        <v>0.6</v>
      </c>
      <c r="H127" s="95" t="inlineStr">
        <is>
          <t>Y</t>
        </is>
      </c>
      <c r="I127" s="95" t="n">
        <v>70.7</v>
      </c>
      <c r="J127" s="95" t="n">
        <v>21.5</v>
      </c>
      <c r="K127" s="95" t="n">
        <v>6.3</v>
      </c>
      <c r="L127" s="95" t="n">
        <v>3</v>
      </c>
      <c r="M127" s="95" t="inlineStr">
        <is>
          <t>AVOID</t>
        </is>
      </c>
    </row>
    <row r="128">
      <c r="A128" s="96" t="inlineStr">
        <is>
          <t>TILAK</t>
        </is>
      </c>
      <c r="B128" s="96" t="inlineStr">
        <is>
          <t>Tilak Ventures Limited</t>
        </is>
      </c>
      <c r="C128" s="96" t="inlineStr">
        <is>
          <t>Large/Midcap</t>
        </is>
      </c>
      <c r="D128" s="96" t="n">
        <v>1.12</v>
      </c>
      <c r="E128" s="96" t="n">
        <v>1.82</v>
      </c>
      <c r="F128" s="96" t="n">
        <v>405941</v>
      </c>
      <c r="G128" s="96" t="n">
        <v>0.05</v>
      </c>
      <c r="H128" s="96" t="inlineStr">
        <is>
          <t>Y</t>
        </is>
      </c>
      <c r="I128" s="96" t="n">
        <v>14.3</v>
      </c>
      <c r="J128" s="96" t="n">
        <v>32</v>
      </c>
      <c r="K128" s="96" t="n">
        <v>28.9</v>
      </c>
      <c r="L128" s="96" t="n">
        <v>3</v>
      </c>
      <c r="M128" s="96" t="inlineStr">
        <is>
          <t>AVOID</t>
        </is>
      </c>
    </row>
    <row r="129">
      <c r="A129" s="95" t="inlineStr">
        <is>
          <t>SRF</t>
        </is>
      </c>
      <c r="B129" s="95" t="inlineStr">
        <is>
          <t>SRF Ltd.</t>
        </is>
      </c>
      <c r="C129" s="95" t="inlineStr">
        <is>
          <t>Large/Midcap</t>
        </is>
      </c>
      <c r="D129" s="95" t="n">
        <v>2656.6</v>
      </c>
      <c r="E129" s="95" t="n">
        <v>-0.3</v>
      </c>
      <c r="F129" s="95" t="n">
        <v>142220</v>
      </c>
      <c r="G129" s="95" t="n">
        <v>37.78</v>
      </c>
      <c r="H129" s="95" t="inlineStr">
        <is>
          <t>Y</t>
        </is>
      </c>
      <c r="I129" s="95" t="n">
        <v>40.4</v>
      </c>
      <c r="J129" s="95" t="n">
        <v>18</v>
      </c>
      <c r="K129" s="95" t="n">
        <v>0.1</v>
      </c>
      <c r="L129" s="95" t="n">
        <v>3</v>
      </c>
      <c r="M129" s="95" t="inlineStr">
        <is>
          <t>AVOID</t>
        </is>
      </c>
    </row>
    <row r="130">
      <c r="A130" s="96" t="inlineStr">
        <is>
          <t>WSI</t>
        </is>
      </c>
      <c r="B130" s="96" t="inlineStr">
        <is>
          <t>W.S. Industries (India) Ltd.</t>
        </is>
      </c>
      <c r="C130" s="96" t="inlineStr">
        <is>
          <t>Large/Midcap</t>
        </is>
      </c>
      <c r="D130" s="96" t="n">
        <v>62.33</v>
      </c>
      <c r="E130" s="96" t="n">
        <v>0.03</v>
      </c>
      <c r="F130" s="96" t="n">
        <v>99816</v>
      </c>
      <c r="G130" s="96" t="n">
        <v>0.62</v>
      </c>
      <c r="H130" s="96" t="inlineStr">
        <is>
          <t>Y</t>
        </is>
      </c>
      <c r="I130" s="96" t="n">
        <v>43.2</v>
      </c>
      <c r="J130" s="96" t="n">
        <v>46.8</v>
      </c>
      <c r="K130" s="96" t="n">
        <v>33.2</v>
      </c>
      <c r="L130" s="96" t="n">
        <v>3</v>
      </c>
      <c r="M130" s="96" t="inlineStr">
        <is>
          <t>AVOID</t>
        </is>
      </c>
    </row>
    <row r="131">
      <c r="A131" s="95" t="inlineStr">
        <is>
          <t>SARDAEN</t>
        </is>
      </c>
      <c r="B131" s="95" t="inlineStr">
        <is>
          <t>Sarda Energy &amp; Minerals Ltd</t>
        </is>
      </c>
      <c r="C131" s="95" t="inlineStr">
        <is>
          <t>Large/Midcap</t>
        </is>
      </c>
      <c r="D131" s="95" t="n">
        <v>510.6</v>
      </c>
      <c r="E131" s="95" t="n">
        <v>1.66</v>
      </c>
      <c r="F131" s="95" t="n">
        <v>88649</v>
      </c>
      <c r="G131" s="95" t="n">
        <v>4.53</v>
      </c>
      <c r="H131" s="95" t="inlineStr">
        <is>
          <t>Y</t>
        </is>
      </c>
      <c r="I131" s="95" t="n">
        <v>62.6</v>
      </c>
      <c r="J131" s="95" t="n">
        <v>26.1</v>
      </c>
      <c r="K131" s="95" t="n">
        <v>4</v>
      </c>
      <c r="L131" s="95" t="n">
        <v>3</v>
      </c>
      <c r="M131" s="95" t="inlineStr">
        <is>
          <t>AVOID</t>
        </is>
      </c>
    </row>
    <row r="132">
      <c r="A132" s="96" t="inlineStr">
        <is>
          <t>SBFC</t>
        </is>
      </c>
      <c r="B132" s="96" t="inlineStr">
        <is>
          <t>SBFC Finance Limited</t>
        </is>
      </c>
      <c r="C132" s="96" t="inlineStr">
        <is>
          <t>Large/Midcap</t>
        </is>
      </c>
      <c r="D132" s="96" t="n">
        <v>92</v>
      </c>
      <c r="E132" s="96" t="n">
        <v>-0.2</v>
      </c>
      <c r="F132" s="96" t="n">
        <v>1353859</v>
      </c>
      <c r="G132" s="96" t="n">
        <v>12.46</v>
      </c>
      <c r="H132" s="96" t="inlineStr">
        <is>
          <t>Y</t>
        </is>
      </c>
      <c r="I132" s="96" t="n">
        <v>48</v>
      </c>
      <c r="J132" s="96" t="n">
        <v>33.9</v>
      </c>
      <c r="K132" s="96" t="n">
        <v>7.1</v>
      </c>
      <c r="L132" s="96" t="n">
        <v>3</v>
      </c>
      <c r="M132" s="96" t="inlineStr">
        <is>
          <t>AVOID</t>
        </is>
      </c>
    </row>
    <row r="133">
      <c r="A133" s="95" t="inlineStr">
        <is>
          <t>FORCEMOT</t>
        </is>
      </c>
      <c r="B133" s="95" t="inlineStr">
        <is>
          <t>Force Motors Limited</t>
        </is>
      </c>
      <c r="C133" s="95" t="inlineStr">
        <is>
          <t>Large/Midcap</t>
        </is>
      </c>
      <c r="D133" s="95" t="n">
        <v>17462</v>
      </c>
      <c r="E133" s="95" t="n">
        <v>-0.9</v>
      </c>
      <c r="F133" s="95" t="n">
        <v>59928</v>
      </c>
      <c r="G133" s="95" t="n">
        <v>104.65</v>
      </c>
      <c r="H133" s="95" t="inlineStr">
        <is>
          <t>Y</t>
        </is>
      </c>
      <c r="I133" s="95" t="n">
        <v>33.7</v>
      </c>
      <c r="J133" s="95" t="n">
        <v>16.6</v>
      </c>
      <c r="K133" s="95" t="n">
        <v>10.3</v>
      </c>
      <c r="L133" s="95" t="n">
        <v>2</v>
      </c>
      <c r="M133" s="95" t="inlineStr">
        <is>
          <t>AVOID</t>
        </is>
      </c>
    </row>
    <row r="134">
      <c r="A134" s="96" t="inlineStr">
        <is>
          <t>BAJAJHIND</t>
        </is>
      </c>
      <c r="B134" s="96" t="inlineStr">
        <is>
          <t>Bajaj Hindusthan Sugar Limited</t>
        </is>
      </c>
      <c r="C134" s="96" t="inlineStr">
        <is>
          <t>Large/Midcap</t>
        </is>
      </c>
      <c r="D134" s="96" t="n">
        <v>17.02</v>
      </c>
      <c r="E134" s="96" t="n">
        <v>-1.56</v>
      </c>
      <c r="F134" s="96" t="n">
        <v>2534263</v>
      </c>
      <c r="G134" s="96" t="n">
        <v>4.31</v>
      </c>
      <c r="H134" s="96" t="inlineStr">
        <is>
          <t>Y</t>
        </is>
      </c>
      <c r="I134" s="96" t="n">
        <v>42.4</v>
      </c>
      <c r="J134" s="96" t="n">
        <v>35.8</v>
      </c>
      <c r="K134" s="96" t="n">
        <v>22.4</v>
      </c>
      <c r="L134" s="96" t="n">
        <v>2</v>
      </c>
      <c r="M134" s="96" t="inlineStr">
        <is>
          <t>AVOID</t>
        </is>
      </c>
    </row>
    <row r="135">
      <c r="A135" s="95" t="inlineStr">
        <is>
          <t>CESC</t>
        </is>
      </c>
      <c r="B135" s="95" t="inlineStr">
        <is>
          <t>CESC Limited</t>
        </is>
      </c>
      <c r="C135" s="95" t="inlineStr">
        <is>
          <t>Large/Midcap</t>
        </is>
      </c>
      <c r="D135" s="95" t="n">
        <v>162.57</v>
      </c>
      <c r="E135" s="95" t="n">
        <v>-0.37</v>
      </c>
      <c r="F135" s="95" t="n">
        <v>507690</v>
      </c>
      <c r="G135" s="95" t="n">
        <v>8.25</v>
      </c>
      <c r="H135" s="95" t="inlineStr">
        <is>
          <t>Y</t>
        </is>
      </c>
      <c r="I135" s="95" t="n">
        <v>40.6</v>
      </c>
      <c r="J135" s="95" t="n">
        <v>33.2</v>
      </c>
      <c r="K135" s="95" t="n">
        <v>14</v>
      </c>
      <c r="L135" s="95" t="n">
        <v>2</v>
      </c>
      <c r="M135" s="95" t="inlineStr">
        <is>
          <t>AVOID</t>
        </is>
      </c>
    </row>
    <row r="136">
      <c r="A136" s="96" t="inlineStr">
        <is>
          <t>DABUR</t>
        </is>
      </c>
      <c r="B136" s="96" t="inlineStr">
        <is>
          <t>Dabur India Ltd.</t>
        </is>
      </c>
      <c r="C136" s="96" t="inlineStr">
        <is>
          <t>Large/Midcap</t>
        </is>
      </c>
      <c r="D136" s="96" t="n">
        <v>426.95</v>
      </c>
      <c r="E136" s="96" t="n">
        <v>0.89</v>
      </c>
      <c r="F136" s="96" t="n">
        <v>338052</v>
      </c>
      <c r="G136" s="96" t="n">
        <v>14.43</v>
      </c>
      <c r="H136" s="96" t="inlineStr">
        <is>
          <t>Y</t>
        </is>
      </c>
      <c r="I136" s="96" t="n">
        <v>29</v>
      </c>
      <c r="J136" s="96" t="n">
        <v>32.3</v>
      </c>
      <c r="K136" s="96" t="n">
        <v>10</v>
      </c>
      <c r="L136" s="96" t="n">
        <v>2</v>
      </c>
      <c r="M136" s="96" t="inlineStr">
        <is>
          <t>AVOID</t>
        </is>
      </c>
    </row>
    <row r="137">
      <c r="A137" s="95" t="inlineStr">
        <is>
          <t>HINDPETRO</t>
        </is>
      </c>
      <c r="B137" s="95" t="inlineStr">
        <is>
          <t>Hindustan Petroleum Corporation Ltd</t>
        </is>
      </c>
      <c r="C137" s="95" t="inlineStr">
        <is>
          <t>Large/Midcap</t>
        </is>
      </c>
      <c r="D137" s="95" t="n">
        <v>390.75</v>
      </c>
      <c r="E137" s="95" t="n">
        <v>2.53</v>
      </c>
      <c r="F137" s="95" t="n">
        <v>3241313</v>
      </c>
      <c r="G137" s="95" t="n">
        <v>126.65</v>
      </c>
      <c r="H137" s="95" t="inlineStr">
        <is>
          <t>Y</t>
        </is>
      </c>
      <c r="I137" s="95" t="n">
        <v>41.9</v>
      </c>
      <c r="J137" s="95" t="n">
        <v>17.4</v>
      </c>
      <c r="K137" s="95" t="n">
        <v>0.8</v>
      </c>
      <c r="L137" s="95" t="n">
        <v>2</v>
      </c>
      <c r="M137" s="95" t="inlineStr">
        <is>
          <t>AVOID</t>
        </is>
      </c>
    </row>
    <row r="138">
      <c r="A138" s="96" t="inlineStr">
        <is>
          <t>DCW</t>
        </is>
      </c>
      <c r="B138" s="96" t="inlineStr">
        <is>
          <t>DCW Ltd.</t>
        </is>
      </c>
      <c r="C138" s="96" t="inlineStr">
        <is>
          <t>Large/Midcap</t>
        </is>
      </c>
      <c r="D138" s="96" t="n">
        <v>46.75</v>
      </c>
      <c r="E138" s="96" t="n">
        <v>1.12</v>
      </c>
      <c r="F138" s="96" t="n">
        <v>227762</v>
      </c>
      <c r="G138" s="96" t="n">
        <v>1.06</v>
      </c>
      <c r="H138" s="96" t="inlineStr">
        <is>
          <t>Y</t>
        </is>
      </c>
      <c r="I138" s="96" t="n">
        <v>40.8</v>
      </c>
      <c r="J138" s="96" t="n">
        <v>23.8</v>
      </c>
      <c r="K138" s="96" t="n">
        <v>9.4</v>
      </c>
      <c r="L138" s="96" t="n">
        <v>2</v>
      </c>
      <c r="M138" s="96" t="inlineStr">
        <is>
          <t>AVOID</t>
        </is>
      </c>
    </row>
    <row r="139">
      <c r="A139" s="95" t="inlineStr">
        <is>
          <t>MTNL</t>
        </is>
      </c>
      <c r="B139" s="95" t="inlineStr">
        <is>
          <t>Mahanagar Telephone Nigam Ltd.</t>
        </is>
      </c>
      <c r="C139" s="95" t="inlineStr">
        <is>
          <t>Large/Midcap</t>
        </is>
      </c>
      <c r="D139" s="95" t="n">
        <v>27.29</v>
      </c>
      <c r="E139" s="95" t="n">
        <v>0.66</v>
      </c>
      <c r="F139" s="95" t="n">
        <v>211584</v>
      </c>
      <c r="G139" s="95" t="n">
        <v>0.58</v>
      </c>
      <c r="H139" s="95" t="inlineStr">
        <is>
          <t>Y</t>
        </is>
      </c>
      <c r="I139" s="95" t="n">
        <v>35.4</v>
      </c>
      <c r="J139" s="95" t="n">
        <v>12.7</v>
      </c>
      <c r="K139" s="95" t="n">
        <v>10.3</v>
      </c>
      <c r="L139" s="95" t="n">
        <v>2</v>
      </c>
      <c r="M139" s="95" t="inlineStr">
        <is>
          <t>AVOID</t>
        </is>
      </c>
    </row>
    <row r="140">
      <c r="A140" s="96" t="inlineStr">
        <is>
          <t>DRREDDY</t>
        </is>
      </c>
      <c r="B140" s="96" t="inlineStr">
        <is>
          <t>Dr. Reddy's Laboratories Ltd.</t>
        </is>
      </c>
      <c r="C140" s="96" t="inlineStr">
        <is>
          <t>Large/Midcap</t>
        </is>
      </c>
      <c r="D140" s="96" t="n">
        <v>1150.5</v>
      </c>
      <c r="E140" s="96" t="n">
        <v>-0.1</v>
      </c>
      <c r="F140" s="96" t="n">
        <v>472191</v>
      </c>
      <c r="G140" s="96" t="n">
        <v>54.33</v>
      </c>
      <c r="H140" s="96" t="inlineStr">
        <is>
          <t>Y</t>
        </is>
      </c>
      <c r="I140" s="96" t="n">
        <v>9.699999999999999</v>
      </c>
      <c r="J140" s="96" t="n">
        <v>52.7</v>
      </c>
      <c r="K140" s="96" t="n">
        <v>48</v>
      </c>
      <c r="L140" s="96" t="n">
        <v>2</v>
      </c>
      <c r="M140" s="96" t="inlineStr">
        <is>
          <t>AVOID</t>
        </is>
      </c>
    </row>
    <row r="141">
      <c r="A141" s="95" t="inlineStr">
        <is>
          <t>ELECTCAST</t>
        </is>
      </c>
      <c r="B141" s="95" t="inlineStr">
        <is>
          <t>Electrosteel Castings Ltd.</t>
        </is>
      </c>
      <c r="C141" s="95" t="inlineStr">
        <is>
          <t>Large/Midcap</t>
        </is>
      </c>
      <c r="D141" s="95" t="n">
        <v>72.45</v>
      </c>
      <c r="E141" s="95" t="n">
        <v>0.49</v>
      </c>
      <c r="F141" s="95" t="n">
        <v>346242</v>
      </c>
      <c r="G141" s="95" t="n">
        <v>2.51</v>
      </c>
      <c r="H141" s="95" t="inlineStr">
        <is>
          <t>Y</t>
        </is>
      </c>
      <c r="I141" s="95" t="n">
        <v>34.3</v>
      </c>
      <c r="J141" s="95" t="n">
        <v>34.3</v>
      </c>
      <c r="K141" s="95" t="n">
        <v>28.5</v>
      </c>
      <c r="L141" s="95" t="n">
        <v>2</v>
      </c>
      <c r="M141" s="95" t="inlineStr">
        <is>
          <t>AVOID</t>
        </is>
      </c>
    </row>
    <row r="142">
      <c r="A142" s="96" t="inlineStr">
        <is>
          <t>HDFCBANK</t>
        </is>
      </c>
      <c r="B142" s="96" t="inlineStr">
        <is>
          <t>HDFC Bank Ltd.</t>
        </is>
      </c>
      <c r="C142" s="96" t="inlineStr">
        <is>
          <t>Large/Midcap</t>
        </is>
      </c>
      <c r="D142" s="96" t="n">
        <v>738.5</v>
      </c>
      <c r="E142" s="96" t="n">
        <v>-0.58</v>
      </c>
      <c r="F142" s="96" t="n">
        <v>13793611</v>
      </c>
      <c r="G142" s="96" t="n">
        <v>1018.66</v>
      </c>
      <c r="H142" s="96" t="inlineStr">
        <is>
          <t>Y</t>
        </is>
      </c>
      <c r="I142" s="96" t="n">
        <v>20.7</v>
      </c>
      <c r="J142" s="96" t="n">
        <v>35.6</v>
      </c>
      <c r="K142" s="96" t="n">
        <v>16.7</v>
      </c>
      <c r="L142" s="96" t="n">
        <v>2</v>
      </c>
      <c r="M142" s="96" t="inlineStr">
        <is>
          <t>AVOID</t>
        </is>
      </c>
    </row>
    <row r="143">
      <c r="A143" s="95" t="inlineStr">
        <is>
          <t>HLVLTD</t>
        </is>
      </c>
      <c r="B143" s="95" t="inlineStr">
        <is>
          <t>HLV LIMITED</t>
        </is>
      </c>
      <c r="C143" s="95" t="inlineStr">
        <is>
          <t>Large/Midcap</t>
        </is>
      </c>
      <c r="D143" s="95" t="n">
        <v>7.34</v>
      </c>
      <c r="E143" s="95" t="n">
        <v>3.97</v>
      </c>
      <c r="F143" s="95" t="n">
        <v>58256</v>
      </c>
      <c r="G143" s="95" t="n">
        <v>0.04</v>
      </c>
      <c r="H143" s="95" t="inlineStr">
        <is>
          <t>Y</t>
        </is>
      </c>
      <c r="I143" s="95" t="n">
        <v>37.6</v>
      </c>
      <c r="J143" s="95" t="n">
        <v>44.4</v>
      </c>
      <c r="K143" s="95" t="n">
        <v>36.5</v>
      </c>
      <c r="L143" s="95" t="n">
        <v>2</v>
      </c>
      <c r="M143" s="95" t="inlineStr">
        <is>
          <t>AVOID</t>
        </is>
      </c>
    </row>
    <row r="144">
      <c r="A144" s="96" t="inlineStr">
        <is>
          <t>JSWSTEEL</t>
        </is>
      </c>
      <c r="B144" s="96" t="inlineStr">
        <is>
          <t>JSW Steel Limited</t>
        </is>
      </c>
      <c r="C144" s="96" t="inlineStr">
        <is>
          <t>Large/Midcap</t>
        </is>
      </c>
      <c r="D144" s="96" t="n">
        <v>1235.8</v>
      </c>
      <c r="E144" s="96" t="n">
        <v>-0.4</v>
      </c>
      <c r="F144" s="96" t="n">
        <v>318477</v>
      </c>
      <c r="G144" s="96" t="n">
        <v>39.36</v>
      </c>
      <c r="H144" s="96" t="inlineStr">
        <is>
          <t>Y</t>
        </is>
      </c>
      <c r="I144" s="96" t="n">
        <v>47</v>
      </c>
      <c r="J144" s="96" t="n">
        <v>31.1</v>
      </c>
      <c r="K144" s="96" t="n">
        <v>12.9</v>
      </c>
      <c r="L144" s="96" t="n">
        <v>2</v>
      </c>
      <c r="M144" s="96" t="inlineStr">
        <is>
          <t>AVOID</t>
        </is>
      </c>
    </row>
    <row r="145">
      <c r="A145" s="95" t="inlineStr">
        <is>
          <t>JISLJALEQS</t>
        </is>
      </c>
      <c r="B145" s="95" t="inlineStr">
        <is>
          <t>Jain Irrigation Systems Ltd.</t>
        </is>
      </c>
      <c r="C145" s="95" t="inlineStr">
        <is>
          <t>Large/Midcap</t>
        </is>
      </c>
      <c r="D145" s="95" t="n">
        <v>30.47</v>
      </c>
      <c r="E145" s="95" t="n">
        <v>0.33</v>
      </c>
      <c r="F145" s="95" t="n">
        <v>564836</v>
      </c>
      <c r="G145" s="95" t="n">
        <v>1.72</v>
      </c>
      <c r="H145" s="95" t="inlineStr">
        <is>
          <t>Y</t>
        </is>
      </c>
      <c r="I145" s="95" t="n">
        <v>26.8</v>
      </c>
      <c r="J145" s="95" t="n">
        <v>67</v>
      </c>
      <c r="K145" s="95" t="n">
        <v>59.8</v>
      </c>
      <c r="L145" s="95" t="n">
        <v>2</v>
      </c>
      <c r="M145" s="95" t="inlineStr">
        <is>
          <t>AVOID</t>
        </is>
      </c>
    </row>
    <row r="146">
      <c r="A146" s="96" t="inlineStr">
        <is>
          <t>WHIRLPOOL</t>
        </is>
      </c>
      <c r="B146" s="96" t="inlineStr">
        <is>
          <t>Whirlpool of India Ltd</t>
        </is>
      </c>
      <c r="C146" s="96" t="inlineStr">
        <is>
          <t>Large/Midcap</t>
        </is>
      </c>
      <c r="D146" s="96" t="n">
        <v>798.35</v>
      </c>
      <c r="E146" s="96" t="n">
        <v>3.49</v>
      </c>
      <c r="F146" s="96" t="n">
        <v>231785</v>
      </c>
      <c r="G146" s="96" t="n">
        <v>18.5</v>
      </c>
      <c r="H146" s="96" t="inlineStr">
        <is>
          <t>Y</t>
        </is>
      </c>
      <c r="I146" s="96" t="n">
        <v>48.4</v>
      </c>
      <c r="J146" s="96" t="n">
        <v>16</v>
      </c>
      <c r="K146" s="96" t="n">
        <v>10.2</v>
      </c>
      <c r="L146" s="96" t="n">
        <v>2</v>
      </c>
      <c r="M146" s="96" t="inlineStr">
        <is>
          <t>AVOID</t>
        </is>
      </c>
    </row>
    <row r="147">
      <c r="A147" s="95" t="inlineStr">
        <is>
          <t>NCC</t>
        </is>
      </c>
      <c r="B147" s="95" t="inlineStr">
        <is>
          <t>NCC Limited</t>
        </is>
      </c>
      <c r="C147" s="95" t="inlineStr">
        <is>
          <t>Large/Midcap</t>
        </is>
      </c>
      <c r="D147" s="95" t="n">
        <v>142.09</v>
      </c>
      <c r="E147" s="95" t="n">
        <v>3.65</v>
      </c>
      <c r="F147" s="95" t="n">
        <v>1149385</v>
      </c>
      <c r="G147" s="95" t="n">
        <v>16.33</v>
      </c>
      <c r="H147" s="95" t="inlineStr">
        <is>
          <t>Y</t>
        </is>
      </c>
      <c r="I147" s="95" t="n">
        <v>37.4</v>
      </c>
      <c r="J147" s="95" t="n">
        <v>55.8</v>
      </c>
      <c r="K147" s="95" t="n">
        <v>46.2</v>
      </c>
      <c r="L147" s="95" t="n">
        <v>2</v>
      </c>
      <c r="M147" s="95" t="inlineStr">
        <is>
          <t>AVOID</t>
        </is>
      </c>
    </row>
    <row r="148">
      <c r="A148" s="96" t="inlineStr">
        <is>
          <t>ONGC</t>
        </is>
      </c>
      <c r="B148" s="96" t="inlineStr">
        <is>
          <t>Oil And Natural Gas Corporation Ltd</t>
        </is>
      </c>
      <c r="C148" s="96" t="inlineStr">
        <is>
          <t>Large/Midcap</t>
        </is>
      </c>
      <c r="D148" s="96" t="n">
        <v>241.64</v>
      </c>
      <c r="E148" s="96" t="n">
        <v>-2.86</v>
      </c>
      <c r="F148" s="96" t="n">
        <v>8165412</v>
      </c>
      <c r="G148" s="96" t="n">
        <v>197.31</v>
      </c>
      <c r="H148" s="96" t="inlineStr">
        <is>
          <t>Y</t>
        </is>
      </c>
      <c r="I148" s="96" t="n">
        <v>45.8</v>
      </c>
      <c r="J148" s="96" t="n">
        <v>43.9</v>
      </c>
      <c r="K148" s="96" t="n">
        <v>25.7</v>
      </c>
      <c r="L148" s="96" t="n">
        <v>2</v>
      </c>
      <c r="M148" s="96" t="inlineStr">
        <is>
          <t>AVOID</t>
        </is>
      </c>
    </row>
    <row r="149">
      <c r="A149" s="95" t="inlineStr">
        <is>
          <t>RELIANCE</t>
        </is>
      </c>
      <c r="B149" s="95" t="inlineStr">
        <is>
          <t>Reliance Industries Ltd</t>
        </is>
      </c>
      <c r="C149" s="95" t="inlineStr">
        <is>
          <t>Large/Midcap</t>
        </is>
      </c>
      <c r="D149" s="95" t="n">
        <v>1280.3</v>
      </c>
      <c r="E149" s="95" t="n">
        <v>0.18</v>
      </c>
      <c r="F149" s="95" t="n">
        <v>2917678</v>
      </c>
      <c r="G149" s="95" t="n">
        <v>373.55</v>
      </c>
      <c r="H149" s="95" t="inlineStr">
        <is>
          <t>Y</t>
        </is>
      </c>
      <c r="I149" s="95" t="n">
        <v>42</v>
      </c>
      <c r="J149" s="95" t="n">
        <v>24.6</v>
      </c>
      <c r="K149" s="95" t="n">
        <v>2.4</v>
      </c>
      <c r="L149" s="95" t="n">
        <v>2</v>
      </c>
      <c r="M149" s="95" t="inlineStr">
        <is>
          <t>AVOID</t>
        </is>
      </c>
    </row>
    <row r="150">
      <c r="A150" s="96" t="inlineStr">
        <is>
          <t>SURYAROSNI</t>
        </is>
      </c>
      <c r="B150" s="96" t="inlineStr">
        <is>
          <t>Surya Roshni Ltd.</t>
        </is>
      </c>
      <c r="C150" s="96" t="inlineStr">
        <is>
          <t>Large/Midcap</t>
        </is>
      </c>
      <c r="D150" s="96" t="n">
        <v>240</v>
      </c>
      <c r="E150" s="96" t="n">
        <v>0.86</v>
      </c>
      <c r="F150" s="96" t="n">
        <v>200597</v>
      </c>
      <c r="G150" s="96" t="n">
        <v>4.81</v>
      </c>
      <c r="H150" s="96" t="inlineStr">
        <is>
          <t>Y</t>
        </is>
      </c>
      <c r="I150" s="96" t="n">
        <v>25.1</v>
      </c>
      <c r="J150" s="96" t="n">
        <v>27.9</v>
      </c>
      <c r="K150" s="96" t="n">
        <v>23.7</v>
      </c>
      <c r="L150" s="96" t="n">
        <v>2</v>
      </c>
      <c r="M150" s="96" t="inlineStr">
        <is>
          <t>AVOID</t>
        </is>
      </c>
    </row>
    <row r="151">
      <c r="A151" s="95" t="inlineStr">
        <is>
          <t>RALLIS</t>
        </is>
      </c>
      <c r="B151" s="95" t="inlineStr">
        <is>
          <t>Rallis India Ltd</t>
        </is>
      </c>
      <c r="C151" s="95" t="inlineStr">
        <is>
          <t>Large/Midcap</t>
        </is>
      </c>
      <c r="D151" s="95" t="n">
        <v>224.85</v>
      </c>
      <c r="E151" s="95" t="n">
        <v>2.8</v>
      </c>
      <c r="F151" s="95" t="n">
        <v>753207</v>
      </c>
      <c r="G151" s="95" t="n">
        <v>16.94</v>
      </c>
      <c r="H151" s="95" t="inlineStr">
        <is>
          <t>Y</t>
        </is>
      </c>
      <c r="I151" s="95" t="n">
        <v>45</v>
      </c>
      <c r="J151" s="95" t="n">
        <v>24.2</v>
      </c>
      <c r="K151" s="95" t="n">
        <v>0.2</v>
      </c>
      <c r="L151" s="95" t="n">
        <v>2</v>
      </c>
      <c r="M151" s="95" t="inlineStr">
        <is>
          <t>AVOID</t>
        </is>
      </c>
    </row>
    <row r="152">
      <c r="A152" s="96" t="inlineStr">
        <is>
          <t>TATAPOWER</t>
        </is>
      </c>
      <c r="B152" s="96" t="inlineStr">
        <is>
          <t>Tata Power Co. Ltd</t>
        </is>
      </c>
      <c r="C152" s="96" t="inlineStr">
        <is>
          <t>Large/Midcap</t>
        </is>
      </c>
      <c r="D152" s="96" t="n">
        <v>375.05</v>
      </c>
      <c r="E152" s="96" t="n">
        <v>0.17</v>
      </c>
      <c r="F152" s="96" t="n">
        <v>1163721</v>
      </c>
      <c r="G152" s="96" t="n">
        <v>43.65</v>
      </c>
      <c r="H152" s="96" t="inlineStr">
        <is>
          <t>Y</t>
        </is>
      </c>
      <c r="I152" s="96" t="n">
        <v>47.5</v>
      </c>
      <c r="J152" s="96" t="n">
        <v>31.6</v>
      </c>
      <c r="K152" s="96" t="n">
        <v>0</v>
      </c>
      <c r="L152" s="96" t="n">
        <v>2</v>
      </c>
      <c r="M152" s="96" t="inlineStr">
        <is>
          <t>AVOID</t>
        </is>
      </c>
    </row>
    <row r="153">
      <c r="A153" s="95" t="inlineStr">
        <is>
          <t>THOMASCOOK</t>
        </is>
      </c>
      <c r="B153" s="95" t="inlineStr">
        <is>
          <t>Thomas Cook (India) Ltd.</t>
        </is>
      </c>
      <c r="C153" s="95" t="inlineStr">
        <is>
          <t>Large/Midcap</t>
        </is>
      </c>
      <c r="D153" s="95" t="n">
        <v>99.55</v>
      </c>
      <c r="E153" s="95" t="n">
        <v>1.74</v>
      </c>
      <c r="F153" s="95" t="n">
        <v>332533</v>
      </c>
      <c r="G153" s="95" t="n">
        <v>3.31</v>
      </c>
      <c r="H153" s="95" t="inlineStr">
        <is>
          <t>Y</t>
        </is>
      </c>
      <c r="I153" s="95" t="n">
        <v>34.9</v>
      </c>
      <c r="J153" s="95" t="n">
        <v>39.5</v>
      </c>
      <c r="K153" s="95" t="n">
        <v>25</v>
      </c>
      <c r="L153" s="95" t="n">
        <v>2</v>
      </c>
      <c r="M153" s="95" t="inlineStr">
        <is>
          <t>AVOID</t>
        </is>
      </c>
    </row>
    <row r="154">
      <c r="A154" s="96" t="inlineStr">
        <is>
          <t>TIRUMALCHM</t>
        </is>
      </c>
      <c r="B154" s="96" t="inlineStr">
        <is>
          <t>Thirumalai Chemicals Ltd.</t>
        </is>
      </c>
      <c r="C154" s="96" t="inlineStr">
        <is>
          <t>Large/Midcap</t>
        </is>
      </c>
      <c r="D154" s="96" t="n">
        <v>171</v>
      </c>
      <c r="E154" s="96" t="n">
        <v>1.94</v>
      </c>
      <c r="F154" s="96" t="n">
        <v>320762</v>
      </c>
      <c r="G154" s="96" t="n">
        <v>5.49</v>
      </c>
      <c r="H154" s="96" t="inlineStr">
        <is>
          <t>Y</t>
        </is>
      </c>
      <c r="I154" s="96" t="n">
        <v>43.3</v>
      </c>
      <c r="J154" s="96" t="n">
        <v>19.6</v>
      </c>
      <c r="K154" s="96" t="n">
        <v>6.7</v>
      </c>
      <c r="L154" s="96" t="n">
        <v>2</v>
      </c>
      <c r="M154" s="96" t="inlineStr">
        <is>
          <t>AVOID</t>
        </is>
      </c>
    </row>
    <row r="155">
      <c r="A155" s="95" t="inlineStr">
        <is>
          <t>TATASTEEL</t>
        </is>
      </c>
      <c r="B155" s="95" t="inlineStr">
        <is>
          <t>TATA STEEL LIMITED</t>
        </is>
      </c>
      <c r="C155" s="95" t="inlineStr">
        <is>
          <t>Large/Midcap</t>
        </is>
      </c>
      <c r="D155" s="95" t="n">
        <v>183.81</v>
      </c>
      <c r="E155" s="95" t="n">
        <v>0.62</v>
      </c>
      <c r="F155" s="95" t="n">
        <v>4786749</v>
      </c>
      <c r="G155" s="95" t="n">
        <v>87.98999999999999</v>
      </c>
      <c r="H155" s="95" t="inlineStr">
        <is>
          <t>Y</t>
        </is>
      </c>
      <c r="I155" s="95" t="n">
        <v>35.8</v>
      </c>
      <c r="J155" s="95" t="n">
        <v>20.3</v>
      </c>
      <c r="K155" s="95" t="n">
        <v>8.4</v>
      </c>
      <c r="L155" s="95" t="n">
        <v>2</v>
      </c>
      <c r="M155" s="95" t="inlineStr">
        <is>
          <t>AVOID</t>
        </is>
      </c>
    </row>
    <row r="156">
      <c r="A156" s="96" t="inlineStr">
        <is>
          <t>TATACOMM</t>
        </is>
      </c>
      <c r="B156" s="96" t="inlineStr">
        <is>
          <t>Tata Communications Limited</t>
        </is>
      </c>
      <c r="C156" s="96" t="inlineStr">
        <is>
          <t>Large/Midcap</t>
        </is>
      </c>
      <c r="D156" s="96" t="n">
        <v>1725.3</v>
      </c>
      <c r="E156" s="96" t="n">
        <v>-2.82</v>
      </c>
      <c r="F156" s="96" t="n">
        <v>166991</v>
      </c>
      <c r="G156" s="96" t="n">
        <v>28.81</v>
      </c>
      <c r="H156" s="96" t="inlineStr">
        <is>
          <t>Y</t>
        </is>
      </c>
      <c r="I156" s="96" t="n">
        <v>20.9</v>
      </c>
      <c r="J156" s="96" t="n">
        <v>66.3</v>
      </c>
      <c r="K156" s="96" t="n">
        <v>60.6</v>
      </c>
      <c r="L156" s="96" t="n">
        <v>2</v>
      </c>
      <c r="M156" s="96" t="inlineStr">
        <is>
          <t>AVOID</t>
        </is>
      </c>
    </row>
    <row r="157">
      <c r="A157" s="95" t="inlineStr">
        <is>
          <t>TMPV</t>
        </is>
      </c>
      <c r="B157" s="95" t="inlineStr">
        <is>
          <t>TATA MOTORS PASSENGER VEHICLES LIMITED</t>
        </is>
      </c>
      <c r="C157" s="95" t="inlineStr">
        <is>
          <t>Large/Midcap</t>
        </is>
      </c>
      <c r="D157" s="95" t="n">
        <v>327.55</v>
      </c>
      <c r="E157" s="95" t="n">
        <v>1.16</v>
      </c>
      <c r="F157" s="95" t="n">
        <v>1977732</v>
      </c>
      <c r="G157" s="95" t="n">
        <v>64.78</v>
      </c>
      <c r="H157" s="95" t="inlineStr">
        <is>
          <t>Y</t>
        </is>
      </c>
      <c r="I157" s="95" t="n">
        <v>36.1</v>
      </c>
      <c r="J157" s="95" t="n">
        <v>30.9</v>
      </c>
      <c r="K157" s="95" t="n">
        <v>23.8</v>
      </c>
      <c r="L157" s="95" t="n">
        <v>2</v>
      </c>
      <c r="M157" s="95" t="inlineStr">
        <is>
          <t>AVOID</t>
        </is>
      </c>
    </row>
    <row r="158">
      <c r="A158" s="96" t="inlineStr">
        <is>
          <t>TATACONSUM</t>
        </is>
      </c>
      <c r="B158" s="96" t="inlineStr">
        <is>
          <t>TATA CONSUMER PRODUCTS LIMITED</t>
        </is>
      </c>
      <c r="C158" s="96" t="inlineStr">
        <is>
          <t>Large/Midcap</t>
        </is>
      </c>
      <c r="D158" s="96" t="n">
        <v>1105</v>
      </c>
      <c r="E158" s="96" t="n">
        <v>1.56</v>
      </c>
      <c r="F158" s="96" t="n">
        <v>1576601</v>
      </c>
      <c r="G158" s="96" t="n">
        <v>174.21</v>
      </c>
      <c r="H158" s="96" t="inlineStr">
        <is>
          <t>Y</t>
        </is>
      </c>
      <c r="I158" s="96" t="n">
        <v>43.9</v>
      </c>
      <c r="J158" s="96" t="n">
        <v>26.2</v>
      </c>
      <c r="K158" s="96" t="n">
        <v>1.2</v>
      </c>
      <c r="L158" s="96" t="n">
        <v>2</v>
      </c>
      <c r="M158" s="96" t="inlineStr">
        <is>
          <t>AVOID</t>
        </is>
      </c>
    </row>
    <row r="159">
      <c r="A159" s="95" t="inlineStr">
        <is>
          <t>FINPIPE</t>
        </is>
      </c>
      <c r="B159" s="95" t="inlineStr">
        <is>
          <t>Finolex Industries Ltd.</t>
        </is>
      </c>
      <c r="C159" s="95" t="inlineStr">
        <is>
          <t>Large/Midcap</t>
        </is>
      </c>
      <c r="D159" s="95" t="n">
        <v>164.47</v>
      </c>
      <c r="E159" s="95" t="n">
        <v>0.49</v>
      </c>
      <c r="F159" s="95" t="n">
        <v>164973</v>
      </c>
      <c r="G159" s="95" t="n">
        <v>2.71</v>
      </c>
      <c r="H159" s="95" t="inlineStr">
        <is>
          <t>Y</t>
        </is>
      </c>
      <c r="I159" s="95" t="n">
        <v>38.8</v>
      </c>
      <c r="J159" s="95" t="n">
        <v>32.9</v>
      </c>
      <c r="K159" s="95" t="n">
        <v>26.3</v>
      </c>
      <c r="L159" s="95" t="n">
        <v>2</v>
      </c>
      <c r="M159" s="95" t="inlineStr">
        <is>
          <t>AVOID</t>
        </is>
      </c>
    </row>
    <row r="160">
      <c r="A160" s="96" t="inlineStr">
        <is>
          <t>SWANCORP</t>
        </is>
      </c>
      <c r="B160" s="96" t="inlineStr">
        <is>
          <t>Swan Corp Limited</t>
        </is>
      </c>
      <c r="C160" s="96" t="inlineStr">
        <is>
          <t>Large/Midcap</t>
        </is>
      </c>
      <c r="D160" s="96" t="n">
        <v>311.2</v>
      </c>
      <c r="E160" s="96" t="n">
        <v>0.29</v>
      </c>
      <c r="F160" s="96" t="n">
        <v>461874</v>
      </c>
      <c r="G160" s="96" t="n">
        <v>14.37</v>
      </c>
      <c r="H160" s="96" t="inlineStr">
        <is>
          <t>Y</t>
        </is>
      </c>
      <c r="I160" s="96" t="n">
        <v>27.8</v>
      </c>
      <c r="J160" s="96" t="n">
        <v>20.6</v>
      </c>
      <c r="K160" s="96" t="n">
        <v>4.4</v>
      </c>
      <c r="L160" s="96" t="n">
        <v>2</v>
      </c>
      <c r="M160" s="96" t="inlineStr">
        <is>
          <t>AVOID</t>
        </is>
      </c>
    </row>
    <row r="161">
      <c r="A161" s="95" t="inlineStr">
        <is>
          <t>GRANDMA</t>
        </is>
      </c>
      <c r="B161" s="95" t="inlineStr">
        <is>
          <t>Grandma Trading &amp; Agencies Ltd.</t>
        </is>
      </c>
      <c r="C161" s="95" t="inlineStr">
        <is>
          <t>Large/Midcap</t>
        </is>
      </c>
      <c r="D161" s="95" t="n">
        <v>0.31</v>
      </c>
      <c r="E161" s="95" t="n">
        <v>3.33</v>
      </c>
      <c r="F161" s="95" t="n">
        <v>105019</v>
      </c>
      <c r="G161" s="95" t="n">
        <v>0</v>
      </c>
      <c r="H161" s="95" t="inlineStr">
        <is>
          <t>Y</t>
        </is>
      </c>
      <c r="I161" s="95" t="n">
        <v>35.7</v>
      </c>
      <c r="J161" s="95" t="n">
        <v>68.7</v>
      </c>
      <c r="K161" s="95" t="n">
        <v>45.9</v>
      </c>
      <c r="L161" s="95" t="n">
        <v>2</v>
      </c>
      <c r="M161" s="95" t="inlineStr">
        <is>
          <t>AVOID</t>
        </is>
      </c>
    </row>
    <row r="162">
      <c r="A162" s="96" t="inlineStr">
        <is>
          <t>NBCC</t>
        </is>
      </c>
      <c r="B162" s="96" t="inlineStr">
        <is>
          <t>NBCC (India) Limited</t>
        </is>
      </c>
      <c r="C162" s="96" t="inlineStr">
        <is>
          <t>Large/Midcap</t>
        </is>
      </c>
      <c r="D162" s="96" t="n">
        <v>95.13</v>
      </c>
      <c r="E162" s="96" t="n">
        <v>1.37</v>
      </c>
      <c r="F162" s="96" t="n">
        <v>4394699</v>
      </c>
      <c r="G162" s="96" t="n">
        <v>41.81</v>
      </c>
      <c r="H162" s="96" t="inlineStr">
        <is>
          <t>Y</t>
        </is>
      </c>
      <c r="I162" s="96" t="n">
        <v>42.4</v>
      </c>
      <c r="J162" s="96" t="n">
        <v>53.6</v>
      </c>
      <c r="K162" s="96" t="n">
        <v>37.6</v>
      </c>
      <c r="L162" s="96" t="n">
        <v>2</v>
      </c>
      <c r="M162" s="96" t="inlineStr">
        <is>
          <t>AVOID</t>
        </is>
      </c>
    </row>
    <row r="163">
      <c r="A163" s="95" t="inlineStr">
        <is>
          <t>BPL</t>
        </is>
      </c>
      <c r="B163" s="95" t="inlineStr">
        <is>
          <t>BPL Ltd.</t>
        </is>
      </c>
      <c r="C163" s="95" t="inlineStr">
        <is>
          <t>Large/Midcap</t>
        </is>
      </c>
      <c r="D163" s="95" t="n">
        <v>53.3</v>
      </c>
      <c r="E163" s="95" t="n">
        <v>-0.89</v>
      </c>
      <c r="F163" s="95" t="n">
        <v>83270</v>
      </c>
      <c r="G163" s="95" t="n">
        <v>0.44</v>
      </c>
      <c r="H163" s="95" t="inlineStr">
        <is>
          <t>Y</t>
        </is>
      </c>
      <c r="I163" s="95" t="n">
        <v>42.3</v>
      </c>
      <c r="J163" s="95" t="n">
        <v>33.7</v>
      </c>
      <c r="K163" s="95" t="n">
        <v>7.1</v>
      </c>
      <c r="L163" s="95" t="n">
        <v>1</v>
      </c>
      <c r="M163" s="95" t="inlineStr">
        <is>
          <t>AVOID</t>
        </is>
      </c>
    </row>
    <row r="164">
      <c r="A164" s="96" t="inlineStr">
        <is>
          <t>HCL-INSYS</t>
        </is>
      </c>
      <c r="B164" s="96" t="inlineStr">
        <is>
          <t>HCL Infosystems Ltd</t>
        </is>
      </c>
      <c r="C164" s="96" t="inlineStr">
        <is>
          <t>Large/Midcap</t>
        </is>
      </c>
      <c r="D164" s="96" t="n">
        <v>11.45</v>
      </c>
      <c r="E164" s="96" t="n">
        <v>0.97</v>
      </c>
      <c r="F164" s="96" t="n">
        <v>78028</v>
      </c>
      <c r="G164" s="96" t="n">
        <v>0.09</v>
      </c>
      <c r="H164" s="96" t="inlineStr">
        <is>
          <t>Y</t>
        </is>
      </c>
      <c r="I164" s="96" t="n">
        <v>30.6</v>
      </c>
      <c r="J164" s="96" t="n">
        <v>37.2</v>
      </c>
      <c r="K164" s="96" t="n">
        <v>28.4</v>
      </c>
      <c r="L164" s="96" t="n">
        <v>1</v>
      </c>
      <c r="M164" s="96" t="inlineStr">
        <is>
          <t>AVOID</t>
        </is>
      </c>
    </row>
    <row r="165">
      <c r="A165" s="95" t="inlineStr">
        <is>
          <t>MFSL</t>
        </is>
      </c>
      <c r="B165" s="95" t="inlineStr">
        <is>
          <t>Max Financial Services Limited</t>
        </is>
      </c>
      <c r="C165" s="95" t="inlineStr">
        <is>
          <t>Large/Midcap</t>
        </is>
      </c>
      <c r="D165" s="95" t="n">
        <v>1515.5</v>
      </c>
      <c r="E165" s="95" t="n">
        <v>0</v>
      </c>
      <c r="F165" s="95" t="n">
        <v>256234</v>
      </c>
      <c r="G165" s="95" t="n">
        <v>38.83</v>
      </c>
      <c r="H165" s="95" t="inlineStr">
        <is>
          <t>Y</t>
        </is>
      </c>
      <c r="I165" s="95" t="n">
        <v>33</v>
      </c>
      <c r="J165" s="95" t="n">
        <v>28.2</v>
      </c>
      <c r="K165" s="95" t="n">
        <v>15.3</v>
      </c>
      <c r="L165" s="95" t="n">
        <v>1</v>
      </c>
      <c r="M165" s="95" t="inlineStr">
        <is>
          <t>AVOID</t>
        </is>
      </c>
    </row>
    <row r="166">
      <c r="A166" s="96" t="inlineStr">
        <is>
          <t>PATANJALI</t>
        </is>
      </c>
      <c r="B166" s="96" t="inlineStr">
        <is>
          <t>Patanjali Foods Limited</t>
        </is>
      </c>
      <c r="C166" s="96" t="inlineStr">
        <is>
          <t>Large/Midcap</t>
        </is>
      </c>
      <c r="D166" s="96" t="n">
        <v>344.1</v>
      </c>
      <c r="E166" s="96" t="n">
        <v>0.92</v>
      </c>
      <c r="F166" s="96" t="n">
        <v>1778823</v>
      </c>
      <c r="G166" s="96" t="n">
        <v>61.21</v>
      </c>
      <c r="H166" s="96" t="inlineStr">
        <is>
          <t>Y</t>
        </is>
      </c>
      <c r="I166" s="96" t="n">
        <v>14.9</v>
      </c>
      <c r="J166" s="96" t="n">
        <v>80.09999999999999</v>
      </c>
      <c r="K166" s="96" t="n">
        <v>61.8</v>
      </c>
      <c r="L166" s="96" t="n">
        <v>1</v>
      </c>
      <c r="M166" s="96" t="inlineStr">
        <is>
          <t>AVOID</t>
        </is>
      </c>
    </row>
    <row r="167">
      <c r="A167" s="95" t="inlineStr">
        <is>
          <t>ACC</t>
        </is>
      </c>
      <c r="B167" s="95" t="inlineStr">
        <is>
          <t>ACC Ltd</t>
        </is>
      </c>
      <c r="C167" s="95" t="inlineStr">
        <is>
          <t>Large/Midcap</t>
        </is>
      </c>
      <c r="D167" s="95" t="n">
        <v>1351.7</v>
      </c>
      <c r="E167" s="95" t="n">
        <v>0.8100000000000001</v>
      </c>
      <c r="F167" s="95" t="n">
        <v>137161</v>
      </c>
      <c r="G167" s="95" t="n">
        <v>18.54</v>
      </c>
      <c r="H167" s="95" t="inlineStr">
        <is>
          <t>Y</t>
        </is>
      </c>
      <c r="I167" s="95" t="n">
        <v>43.2</v>
      </c>
      <c r="J167" s="95" t="n">
        <v>18.1</v>
      </c>
      <c r="K167" s="95" t="n">
        <v>0</v>
      </c>
      <c r="L167" s="95" t="n">
        <v>1</v>
      </c>
      <c r="M167" s="95" t="inlineStr">
        <is>
          <t>AVOID</t>
        </is>
      </c>
    </row>
    <row r="168">
      <c r="A168" s="96" t="inlineStr">
        <is>
          <t>TATAELXSI</t>
        </is>
      </c>
      <c r="B168" s="96" t="inlineStr">
        <is>
          <t>Tata Elxsi Ltd</t>
        </is>
      </c>
      <c r="C168" s="96" t="inlineStr">
        <is>
          <t>Large/Midcap</t>
        </is>
      </c>
      <c r="D168" s="96" t="n">
        <v>3566.4</v>
      </c>
      <c r="E168" s="96" t="n">
        <v>0.8</v>
      </c>
      <c r="F168" s="96" t="n">
        <v>314850</v>
      </c>
      <c r="G168" s="96" t="n">
        <v>112.29</v>
      </c>
      <c r="H168" s="96" t="inlineStr">
        <is>
          <t>Y</t>
        </is>
      </c>
      <c r="I168" s="96" t="n">
        <v>43</v>
      </c>
      <c r="J168" s="96" t="n">
        <v>35.5</v>
      </c>
      <c r="K168" s="96" t="n">
        <v>17.9</v>
      </c>
      <c r="L168" s="96" t="n">
        <v>1</v>
      </c>
      <c r="M168" s="96" t="inlineStr">
        <is>
          <t>AVOID</t>
        </is>
      </c>
    </row>
    <row r="169">
      <c r="A169" s="95" t="inlineStr">
        <is>
          <t>GSFC</t>
        </is>
      </c>
      <c r="B169" s="95" t="inlineStr">
        <is>
          <t>Gujarat State Fertilizers &amp; Chem.Ltd</t>
        </is>
      </c>
      <c r="C169" s="95" t="inlineStr">
        <is>
          <t>Large/Midcap</t>
        </is>
      </c>
      <c r="D169" s="95" t="n">
        <v>160.72</v>
      </c>
      <c r="E169" s="95" t="n">
        <v>3.99</v>
      </c>
      <c r="F169" s="95" t="n">
        <v>623867</v>
      </c>
      <c r="G169" s="95" t="n">
        <v>10.03</v>
      </c>
      <c r="H169" s="95" t="inlineStr">
        <is>
          <t>Y</t>
        </is>
      </c>
      <c r="I169" s="95" t="n">
        <v>49.3</v>
      </c>
      <c r="J169" s="95" t="n">
        <v>43.6</v>
      </c>
      <c r="K169" s="95" t="n">
        <v>15.3</v>
      </c>
      <c r="L169" s="95" t="n">
        <v>1</v>
      </c>
      <c r="M169" s="95" t="inlineStr">
        <is>
          <t>AVOID</t>
        </is>
      </c>
    </row>
    <row r="170">
      <c r="A170" s="96" t="inlineStr">
        <is>
          <t>TATACHEM</t>
        </is>
      </c>
      <c r="B170" s="96" t="inlineStr">
        <is>
          <t>Tata Chemicals Ltd</t>
        </is>
      </c>
      <c r="C170" s="96" t="inlineStr">
        <is>
          <t>Large/Midcap</t>
        </is>
      </c>
      <c r="D170" s="96" t="n">
        <v>689.05</v>
      </c>
      <c r="E170" s="96" t="n">
        <v>0.54</v>
      </c>
      <c r="F170" s="96" t="n">
        <v>111328</v>
      </c>
      <c r="G170" s="96" t="n">
        <v>7.67</v>
      </c>
      <c r="H170" s="96" t="inlineStr">
        <is>
          <t>Y</t>
        </is>
      </c>
      <c r="I170" s="96" t="n">
        <v>31.4</v>
      </c>
      <c r="J170" s="96" t="n">
        <v>17</v>
      </c>
      <c r="K170" s="96" t="n">
        <v>3.4</v>
      </c>
      <c r="L170" s="96" t="n">
        <v>1</v>
      </c>
      <c r="M170" s="96" t="inlineStr">
        <is>
          <t>AVOID</t>
        </is>
      </c>
    </row>
    <row r="171">
      <c r="A171" s="95" t="inlineStr">
        <is>
          <t>TATAINVEST</t>
        </is>
      </c>
      <c r="B171" s="95" t="inlineStr">
        <is>
          <t>Tata Investment Corporation Ltd.</t>
        </is>
      </c>
      <c r="C171" s="95" t="inlineStr">
        <is>
          <t>Large/Midcap</t>
        </is>
      </c>
      <c r="D171" s="95" t="n">
        <v>647.7</v>
      </c>
      <c r="E171" s="95" t="n">
        <v>2.69</v>
      </c>
      <c r="F171" s="95" t="n">
        <v>132135</v>
      </c>
      <c r="G171" s="95" t="n">
        <v>8.56</v>
      </c>
      <c r="H171" s="95" t="inlineStr">
        <is>
          <t>Y</t>
        </is>
      </c>
      <c r="I171" s="95" t="n">
        <v>41.9</v>
      </c>
      <c r="J171" s="95" t="n">
        <v>16.1</v>
      </c>
      <c r="K171" s="95" t="n">
        <v>5.6</v>
      </c>
      <c r="L171" s="95" t="n">
        <v>1</v>
      </c>
      <c r="M171" s="95" t="inlineStr">
        <is>
          <t>AVOID</t>
        </is>
      </c>
    </row>
    <row r="172">
      <c r="A172" s="96" t="inlineStr">
        <is>
          <t>BALKRISIND</t>
        </is>
      </c>
      <c r="B172" s="96" t="inlineStr">
        <is>
          <t>Balkrishna Industries Ltd.</t>
        </is>
      </c>
      <c r="C172" s="96" t="inlineStr">
        <is>
          <t>Large/Midcap</t>
        </is>
      </c>
      <c r="D172" s="96" t="n">
        <v>2016.5</v>
      </c>
      <c r="E172" s="96" t="n">
        <v>0.15</v>
      </c>
      <c r="F172" s="96" t="n">
        <v>70484</v>
      </c>
      <c r="G172" s="96" t="n">
        <v>14.21</v>
      </c>
      <c r="H172" s="96" t="inlineStr">
        <is>
          <t>Y</t>
        </is>
      </c>
      <c r="I172" s="96" t="n">
        <v>23.6</v>
      </c>
      <c r="J172" s="96" t="n">
        <v>24</v>
      </c>
      <c r="K172" s="96" t="n">
        <v>17.6</v>
      </c>
      <c r="L172" s="96" t="n">
        <v>1</v>
      </c>
      <c r="M172" s="96" t="inlineStr">
        <is>
          <t>AVOID</t>
        </is>
      </c>
    </row>
    <row r="173">
      <c r="A173" s="95" t="inlineStr">
        <is>
          <t>HUDCO</t>
        </is>
      </c>
      <c r="B173" s="95" t="inlineStr">
        <is>
          <t>Housing &amp;Urban Development Corporation Ltd.</t>
        </is>
      </c>
      <c r="C173" s="95" t="inlineStr">
        <is>
          <t>Large/Midcap</t>
        </is>
      </c>
      <c r="D173" s="95" t="n">
        <v>198.75</v>
      </c>
      <c r="E173" s="95" t="n">
        <v>1.64</v>
      </c>
      <c r="F173" s="95" t="n">
        <v>638226</v>
      </c>
      <c r="G173" s="95" t="n">
        <v>12.68</v>
      </c>
      <c r="H173" s="95" t="inlineStr">
        <is>
          <t>Y</t>
        </is>
      </c>
      <c r="I173" s="95" t="n">
        <v>31.2</v>
      </c>
      <c r="J173" s="95" t="n">
        <v>23.4</v>
      </c>
      <c r="K173" s="95" t="n">
        <v>14.8</v>
      </c>
      <c r="L173" s="95" t="n">
        <v>1</v>
      </c>
      <c r="M173" s="95" t="inlineStr">
        <is>
          <t>AVOID</t>
        </is>
      </c>
    </row>
    <row r="174">
      <c r="A174" s="96" t="inlineStr">
        <is>
          <t>REDTAPE</t>
        </is>
      </c>
      <c r="B174" s="96" t="inlineStr">
        <is>
          <t>REDTAPE Limited</t>
        </is>
      </c>
      <c r="C174" s="96" t="inlineStr">
        <is>
          <t>Large/Midcap</t>
        </is>
      </c>
      <c r="D174" s="96" t="n">
        <v>127.71</v>
      </c>
      <c r="E174" s="96" t="n">
        <v>0.74</v>
      </c>
      <c r="F174" s="96" t="n">
        <v>92886</v>
      </c>
      <c r="G174" s="96" t="n">
        <v>1.19</v>
      </c>
      <c r="H174" s="96" t="inlineStr">
        <is>
          <t>Y</t>
        </is>
      </c>
      <c r="I174" s="96" t="n">
        <v>28.9</v>
      </c>
      <c r="J174" s="96" t="n">
        <v>17.2</v>
      </c>
      <c r="K174" s="96" t="n">
        <v>13.5</v>
      </c>
      <c r="L174" s="96" t="n">
        <v>1</v>
      </c>
      <c r="M174" s="96" t="inlineStr">
        <is>
          <t>AVOID</t>
        </is>
      </c>
    </row>
    <row r="176">
      <c r="A176" s="89" t="inlineStr">
        <is>
          <t>DEEP DIVE — top 25 by score</t>
        </is>
      </c>
    </row>
    <row r="177" ht="32" customHeight="1" s="45">
      <c r="A177" s="90" t="inlineStr">
        <is>
          <t>Symbol</t>
        </is>
      </c>
      <c r="B177" s="90" t="inlineStr">
        <is>
          <t>Name</t>
        </is>
      </c>
      <c r="C177" s="90" t="inlineStr">
        <is>
          <t>Close</t>
        </is>
      </c>
      <c r="D177" s="90" t="inlineStr">
        <is>
          <t>Score</t>
        </is>
      </c>
      <c r="E177" s="90" t="inlineStr">
        <is>
          <t>Verdict</t>
        </is>
      </c>
      <c r="F177" s="90" t="inlineStr">
        <is>
          <t>Vol Ratio (3d)</t>
        </is>
      </c>
      <c r="G177" s="90" t="inlineStr">
        <is>
          <t>ADX(14)</t>
        </is>
      </c>
      <c r="H177" s="90" t="inlineStr">
        <is>
          <t>Trend Direction</t>
        </is>
      </c>
      <c r="I177" s="90" t="inlineStr">
        <is>
          <t>Trend R^2</t>
        </is>
      </c>
      <c r="J177" s="90" t="inlineStr">
        <is>
          <t>Trend Quality (ADX x R^2)</t>
        </is>
      </c>
      <c r="K177" s="90" t="inlineStr">
        <is>
          <t>Entry</t>
        </is>
      </c>
      <c r="L177" s="90" t="inlineStr">
        <is>
          <t>Stop Loss</t>
        </is>
      </c>
      <c r="M177" s="90" t="inlineStr">
        <is>
          <t>Target 1</t>
        </is>
      </c>
      <c r="N177" s="90" t="inlineStr">
        <is>
          <t>Target 2</t>
        </is>
      </c>
    </row>
    <row r="178">
      <c r="A178" s="95" t="inlineStr">
        <is>
          <t>BAJFINANCE</t>
        </is>
      </c>
      <c r="B178" s="95" t="inlineStr">
        <is>
          <t>Bajaj Finance Limited</t>
        </is>
      </c>
      <c r="C178" s="95" t="n">
        <v>1044.7</v>
      </c>
      <c r="D178" s="95" t="n">
        <v>7</v>
      </c>
      <c r="E178" s="95" t="inlineStr">
        <is>
          <t>STRONG SETUP</t>
        </is>
      </c>
      <c r="F178" s="95" t="n">
        <v>0.3</v>
      </c>
      <c r="G178" s="95" t="n">
        <v>38.8</v>
      </c>
      <c r="H178" s="95" t="inlineStr">
        <is>
          <t>Uptrend</t>
        </is>
      </c>
      <c r="I178" s="95" t="n">
        <v>0.3</v>
      </c>
      <c r="J178" s="95" t="n">
        <v>11.7</v>
      </c>
      <c r="K178" s="95" t="n">
        <v>1044.7</v>
      </c>
      <c r="L178" s="95" t="n">
        <v>1006.54</v>
      </c>
      <c r="M178" s="95" t="n">
        <v>1082.86</v>
      </c>
      <c r="N178" s="95" t="n">
        <v>1121.03</v>
      </c>
    </row>
    <row r="179">
      <c r="A179" s="96" t="inlineStr">
        <is>
          <t>INDORAMA</t>
        </is>
      </c>
      <c r="B179" s="96" t="inlineStr">
        <is>
          <t>Indo Rama Synthetics (India) Ltd.</t>
        </is>
      </c>
      <c r="C179" s="96" t="n">
        <v>50.07</v>
      </c>
      <c r="D179" s="96" t="n">
        <v>7</v>
      </c>
      <c r="E179" s="96" t="inlineStr">
        <is>
          <t>STRONG SETUP</t>
        </is>
      </c>
      <c r="F179" s="96" t="n">
        <v>1.16</v>
      </c>
      <c r="G179" s="96" t="n">
        <v>24.1</v>
      </c>
      <c r="H179" s="96" t="inlineStr">
        <is>
          <t>Uptrend</t>
        </is>
      </c>
      <c r="I179" s="96" t="n">
        <v>0.29</v>
      </c>
      <c r="J179" s="96" t="n">
        <v>6.9</v>
      </c>
      <c r="K179" s="96" t="n">
        <v>50.07</v>
      </c>
      <c r="L179" s="96" t="n">
        <v>46.09</v>
      </c>
      <c r="M179" s="96" t="n">
        <v>54.05</v>
      </c>
      <c r="N179" s="96" t="n">
        <v>58.04</v>
      </c>
    </row>
    <row r="180">
      <c r="A180" s="95" t="inlineStr">
        <is>
          <t>KAJARIACER</t>
        </is>
      </c>
      <c r="B180" s="95" t="inlineStr">
        <is>
          <t>Kajaria Ceramics Ltd</t>
        </is>
      </c>
      <c r="C180" s="95" t="n">
        <v>1222.5</v>
      </c>
      <c r="D180" s="95" t="n">
        <v>7</v>
      </c>
      <c r="E180" s="95" t="inlineStr">
        <is>
          <t>STRONG SETUP</t>
        </is>
      </c>
      <c r="F180" s="95" t="n">
        <v>0.62</v>
      </c>
      <c r="G180" s="95" t="n">
        <v>37.9</v>
      </c>
      <c r="H180" s="95" t="inlineStr">
        <is>
          <t>Uptrend</t>
        </is>
      </c>
      <c r="I180" s="95" t="n">
        <v>0.29</v>
      </c>
      <c r="J180" s="95" t="n">
        <v>11.1</v>
      </c>
      <c r="K180" s="95" t="n">
        <v>1222.5</v>
      </c>
      <c r="L180" s="95" t="n">
        <v>1177.88</v>
      </c>
      <c r="M180" s="95" t="n">
        <v>1267.12</v>
      </c>
      <c r="N180" s="95" t="n">
        <v>1311.75</v>
      </c>
    </row>
    <row r="181">
      <c r="A181" s="96" t="inlineStr">
        <is>
          <t>LORDSCHLO</t>
        </is>
      </c>
      <c r="B181" s="96" t="inlineStr">
        <is>
          <t>Lords Chloro Alkali Ltd</t>
        </is>
      </c>
      <c r="C181" s="96" t="n">
        <v>156.99</v>
      </c>
      <c r="D181" s="96" t="n">
        <v>7</v>
      </c>
      <c r="E181" s="96" t="inlineStr">
        <is>
          <t>STRONG SETUP</t>
        </is>
      </c>
      <c r="F181" s="96" t="n">
        <v>2.96</v>
      </c>
      <c r="G181" s="96" t="n">
        <v>37.8</v>
      </c>
      <c r="H181" s="96" t="inlineStr">
        <is>
          <t>Uptrend</t>
        </is>
      </c>
      <c r="I181" s="96" t="n">
        <v>0.64</v>
      </c>
      <c r="J181" s="96" t="n">
        <v>24.2</v>
      </c>
      <c r="K181" s="96" t="n">
        <v>156.99</v>
      </c>
      <c r="L181" s="96" t="n">
        <v>145.36</v>
      </c>
      <c r="M181" s="96" t="n">
        <v>168.62</v>
      </c>
      <c r="N181" s="96" t="n">
        <v>180.24</v>
      </c>
    </row>
    <row r="182">
      <c r="A182" s="95" t="inlineStr">
        <is>
          <t>SPLPETRO</t>
        </is>
      </c>
      <c r="B182" s="95" t="inlineStr">
        <is>
          <t>Supreme Petrochem Ltd.</t>
        </is>
      </c>
      <c r="C182" s="95" t="n">
        <v>753.75</v>
      </c>
      <c r="D182" s="95" t="n">
        <v>7</v>
      </c>
      <c r="E182" s="95" t="inlineStr">
        <is>
          <t>STRONG SETUP</t>
        </is>
      </c>
      <c r="F182" s="95" t="n">
        <v>1.16</v>
      </c>
      <c r="G182" s="95" t="n">
        <v>21.9</v>
      </c>
      <c r="H182" s="95" t="inlineStr">
        <is>
          <t>Uptrend</t>
        </is>
      </c>
      <c r="I182" s="95" t="n">
        <v>0.26</v>
      </c>
      <c r="J182" s="95" t="n">
        <v>5.8</v>
      </c>
      <c r="K182" s="95" t="n">
        <v>753.75</v>
      </c>
      <c r="L182" s="95" t="n">
        <v>715.95</v>
      </c>
      <c r="M182" s="95" t="n">
        <v>791.55</v>
      </c>
      <c r="N182" s="95" t="n">
        <v>829.36</v>
      </c>
    </row>
    <row r="183">
      <c r="A183" s="96" t="inlineStr">
        <is>
          <t>CUMMINSIND</t>
        </is>
      </c>
      <c r="B183" s="96" t="inlineStr">
        <is>
          <t>Cummins India Ltd.</t>
        </is>
      </c>
      <c r="C183" s="96" t="n">
        <v>5593.5</v>
      </c>
      <c r="D183" s="96" t="n">
        <v>7</v>
      </c>
      <c r="E183" s="96" t="inlineStr">
        <is>
          <t>STRONG SETUP</t>
        </is>
      </c>
      <c r="F183" s="96" t="n">
        <v>0.28</v>
      </c>
      <c r="G183" s="96" t="n">
        <v>33.8</v>
      </c>
      <c r="H183" s="96" t="inlineStr">
        <is>
          <t>Uptrend</t>
        </is>
      </c>
      <c r="I183" s="96" t="n">
        <v>0.06</v>
      </c>
      <c r="J183" s="96" t="n">
        <v>2.1</v>
      </c>
      <c r="K183" s="96" t="n">
        <v>5593.5</v>
      </c>
      <c r="L183" s="96" t="n">
        <v>5414.46</v>
      </c>
      <c r="M183" s="96" t="n">
        <v>5772.54</v>
      </c>
      <c r="N183" s="96" t="n">
        <v>5951.59</v>
      </c>
    </row>
    <row r="184">
      <c r="A184" s="95" t="inlineStr">
        <is>
          <t>COLPAL</t>
        </is>
      </c>
      <c r="B184" s="95" t="inlineStr">
        <is>
          <t>Colgate-Palmolive (India) Ltd.</t>
        </is>
      </c>
      <c r="C184" s="95" t="n">
        <v>2134.1</v>
      </c>
      <c r="D184" s="95" t="n">
        <v>7</v>
      </c>
      <c r="E184" s="95" t="inlineStr">
        <is>
          <t>STRONG SETUP</t>
        </is>
      </c>
      <c r="F184" s="95" t="n">
        <v>0.93</v>
      </c>
      <c r="G184" s="95" t="n">
        <v>10.2</v>
      </c>
      <c r="H184" s="95" t="inlineStr">
        <is>
          <t>Uptrend</t>
        </is>
      </c>
      <c r="I184" s="95" t="n">
        <v>0.22</v>
      </c>
      <c r="J184" s="95" t="n">
        <v>2.2</v>
      </c>
      <c r="K184" s="95" t="n">
        <v>2134.1</v>
      </c>
      <c r="L184" s="95" t="n">
        <v>2062.75</v>
      </c>
      <c r="M184" s="95" t="n">
        <v>2205.45</v>
      </c>
      <c r="N184" s="95" t="n">
        <v>2276.79</v>
      </c>
    </row>
    <row r="185">
      <c r="A185" s="96" t="inlineStr">
        <is>
          <t>LONGSPUR</t>
        </is>
      </c>
      <c r="B185" s="96" t="inlineStr">
        <is>
          <t>Longspur International Ventures Limited</t>
        </is>
      </c>
      <c r="C185" s="96" t="n">
        <v>9</v>
      </c>
      <c r="D185" s="96" t="n">
        <v>7</v>
      </c>
      <c r="E185" s="96" t="inlineStr">
        <is>
          <t>STRONG SETUP</t>
        </is>
      </c>
      <c r="F185" s="96" t="n">
        <v>0.7</v>
      </c>
      <c r="G185" s="96" t="n">
        <v>24.5</v>
      </c>
      <c r="H185" s="96" t="inlineStr">
        <is>
          <t>Uptrend</t>
        </is>
      </c>
      <c r="I185" s="96" t="n">
        <v>0.04</v>
      </c>
      <c r="J185" s="96" t="n">
        <v>1.1</v>
      </c>
      <c r="K185" s="96" t="n">
        <v>9</v>
      </c>
      <c r="L185" s="96" t="n">
        <v>8.039999999999999</v>
      </c>
      <c r="M185" s="96" t="n">
        <v>9.960000000000001</v>
      </c>
      <c r="N185" s="96" t="n">
        <v>10.92</v>
      </c>
    </row>
    <row r="186">
      <c r="A186" s="95" t="inlineStr">
        <is>
          <t>ATUL</t>
        </is>
      </c>
      <c r="B186" s="95" t="inlineStr">
        <is>
          <t>Atul Limited.</t>
        </is>
      </c>
      <c r="C186" s="95" t="n">
        <v>6745</v>
      </c>
      <c r="D186" s="95" t="n">
        <v>6</v>
      </c>
      <c r="E186" s="95" t="inlineStr">
        <is>
          <t>WATCHLIST</t>
        </is>
      </c>
      <c r="F186" s="95" t="n">
        <v>1.34</v>
      </c>
      <c r="G186" s="95" t="n">
        <v>34.4</v>
      </c>
      <c r="H186" s="95" t="inlineStr">
        <is>
          <t>Downtrend</t>
        </is>
      </c>
      <c r="I186" s="95" t="n">
        <v>0.09</v>
      </c>
      <c r="J186" s="95" t="n">
        <v>3.1</v>
      </c>
      <c r="K186" s="95" t="n">
        <v>6745</v>
      </c>
      <c r="L186" s="95" t="n">
        <v>7063.73</v>
      </c>
      <c r="M186" s="95" t="n">
        <v>6426.27</v>
      </c>
      <c r="N186" s="95" t="n">
        <v>6107.54</v>
      </c>
    </row>
    <row r="187">
      <c r="A187" s="96" t="inlineStr">
        <is>
          <t>ARE&amp;M</t>
        </is>
      </c>
      <c r="B187" s="96" t="inlineStr">
        <is>
          <t>Amara Raja Energy &amp; Mobility Limited</t>
        </is>
      </c>
      <c r="C187" s="96" t="n">
        <v>875.05</v>
      </c>
      <c r="D187" s="96" t="n">
        <v>6</v>
      </c>
      <c r="E187" s="96" t="inlineStr">
        <is>
          <t>WATCHLIST</t>
        </is>
      </c>
      <c r="F187" s="96" t="n">
        <v>0.26</v>
      </c>
      <c r="G187" s="96" t="n">
        <v>34.6</v>
      </c>
      <c r="H187" s="96" t="inlineStr">
        <is>
          <t>Uptrend</t>
        </is>
      </c>
      <c r="I187" s="96" t="n">
        <v>0.46</v>
      </c>
      <c r="J187" s="96" t="n">
        <v>15.9</v>
      </c>
      <c r="K187" s="96" t="n">
        <v>875.05</v>
      </c>
      <c r="L187" s="96" t="n">
        <v>835.33</v>
      </c>
      <c r="M187" s="96" t="n">
        <v>914.77</v>
      </c>
      <c r="N187" s="96" t="n">
        <v>954.49</v>
      </c>
    </row>
    <row r="188">
      <c r="A188" s="95" t="inlineStr">
        <is>
          <t>ABB</t>
        </is>
      </c>
      <c r="B188" s="95" t="inlineStr">
        <is>
          <t>ABB India Limited</t>
        </is>
      </c>
      <c r="C188" s="95" t="n">
        <v>7254.5</v>
      </c>
      <c r="D188" s="95" t="n">
        <v>6</v>
      </c>
      <c r="E188" s="95" t="inlineStr">
        <is>
          <t>WATCHLIST</t>
        </is>
      </c>
      <c r="F188" s="95" t="n">
        <v>0.78</v>
      </c>
      <c r="G188" s="95" t="n">
        <v>34</v>
      </c>
      <c r="H188" s="95" t="inlineStr">
        <is>
          <t>Uptrend</t>
        </is>
      </c>
      <c r="I188" s="95" t="n">
        <v>0.52</v>
      </c>
      <c r="J188" s="95" t="n">
        <v>17.7</v>
      </c>
      <c r="K188" s="95" t="n">
        <v>7254.5</v>
      </c>
      <c r="L188" s="95" t="n">
        <v>6909.88</v>
      </c>
      <c r="M188" s="95" t="n">
        <v>7599.12</v>
      </c>
      <c r="N188" s="95" t="n">
        <v>7943.75</v>
      </c>
    </row>
    <row r="189">
      <c r="A189" s="96" t="inlineStr">
        <is>
          <t>AEGISLOG</t>
        </is>
      </c>
      <c r="B189" s="96" t="inlineStr">
        <is>
          <t>Aegis Logistics Ltd.</t>
        </is>
      </c>
      <c r="C189" s="96" t="n">
        <v>1316</v>
      </c>
      <c r="D189" s="96" t="n">
        <v>6</v>
      </c>
      <c r="E189" s="96" t="inlineStr">
        <is>
          <t>WATCHLIST</t>
        </is>
      </c>
      <c r="F189" s="96" t="n">
        <v>0.39</v>
      </c>
      <c r="G189" s="96" t="n">
        <v>21.1</v>
      </c>
      <c r="H189" s="96" t="inlineStr">
        <is>
          <t>Uptrend</t>
        </is>
      </c>
      <c r="I189" s="96" t="n">
        <v>0.2</v>
      </c>
      <c r="J189" s="96" t="n">
        <v>4.2</v>
      </c>
      <c r="K189" s="96" t="n">
        <v>1316</v>
      </c>
      <c r="L189" s="96" t="n">
        <v>1182.97</v>
      </c>
      <c r="M189" s="96" t="n">
        <v>1449.03</v>
      </c>
      <c r="N189" s="96" t="n">
        <v>1582.06</v>
      </c>
    </row>
    <row r="190">
      <c r="A190" s="95" t="inlineStr">
        <is>
          <t>BALRAMCHIN</t>
        </is>
      </c>
      <c r="B190" s="95" t="inlineStr">
        <is>
          <t>BALRAMPUR CHINI MILLS LTD</t>
        </is>
      </c>
      <c r="C190" s="95" t="n">
        <v>612.15</v>
      </c>
      <c r="D190" s="95" t="n">
        <v>6</v>
      </c>
      <c r="E190" s="95" t="inlineStr">
        <is>
          <t>WATCHLIST</t>
        </is>
      </c>
      <c r="F190" s="95" t="n">
        <v>0.22</v>
      </c>
      <c r="G190" s="95" t="n">
        <v>61.2</v>
      </c>
      <c r="H190" s="95" t="inlineStr">
        <is>
          <t>Uptrend</t>
        </is>
      </c>
      <c r="I190" s="95" t="n">
        <v>0.88</v>
      </c>
      <c r="J190" s="95" t="n">
        <v>54.1</v>
      </c>
      <c r="K190" s="95" t="n">
        <v>612.15</v>
      </c>
      <c r="L190" s="95" t="n">
        <v>583.59</v>
      </c>
      <c r="M190" s="95" t="n">
        <v>640.71</v>
      </c>
      <c r="N190" s="95" t="n">
        <v>669.27</v>
      </c>
    </row>
    <row r="191">
      <c r="A191" s="96" t="inlineStr">
        <is>
          <t>BEPL</t>
        </is>
      </c>
      <c r="B191" s="96" t="inlineStr">
        <is>
          <t>Bhansali Engineering Polymers Ltd.</t>
        </is>
      </c>
      <c r="C191" s="96" t="n">
        <v>115.1</v>
      </c>
      <c r="D191" s="96" t="n">
        <v>6</v>
      </c>
      <c r="E191" s="96" t="inlineStr">
        <is>
          <t>WATCHLIST</t>
        </is>
      </c>
      <c r="F191" s="96" t="n">
        <v>0.32</v>
      </c>
      <c r="G191" s="96" t="n">
        <v>45.6</v>
      </c>
      <c r="H191" s="96" t="inlineStr">
        <is>
          <t>Uptrend</t>
        </is>
      </c>
      <c r="I191" s="96" t="n">
        <v>0.78</v>
      </c>
      <c r="J191" s="96" t="n">
        <v>35.5</v>
      </c>
      <c r="K191" s="96" t="n">
        <v>115.1</v>
      </c>
      <c r="L191" s="96" t="n">
        <v>103.41</v>
      </c>
      <c r="M191" s="96" t="n">
        <v>126.79</v>
      </c>
      <c r="N191" s="96" t="n">
        <v>138.47</v>
      </c>
    </row>
    <row r="192">
      <c r="A192" s="95" t="inlineStr">
        <is>
          <t>OAL</t>
        </is>
      </c>
      <c r="B192" s="95" t="inlineStr">
        <is>
          <t>ORIENTAL AROMATICS LIMITED</t>
        </is>
      </c>
      <c r="C192" s="95" t="n">
        <v>383.55</v>
      </c>
      <c r="D192" s="95" t="n">
        <v>6</v>
      </c>
      <c r="E192" s="95" t="inlineStr">
        <is>
          <t>WATCHLIST</t>
        </is>
      </c>
      <c r="F192" s="95" t="n">
        <v>2.35</v>
      </c>
      <c r="G192" s="95" t="n">
        <v>52.9</v>
      </c>
      <c r="H192" s="95" t="inlineStr">
        <is>
          <t>Uptrend</t>
        </is>
      </c>
      <c r="I192" s="95" t="n">
        <v>0.78</v>
      </c>
      <c r="J192" s="95" t="n">
        <v>41.4</v>
      </c>
      <c r="K192" s="95" t="n">
        <v>383.55</v>
      </c>
      <c r="L192" s="95" t="n">
        <v>350.27</v>
      </c>
      <c r="M192" s="95" t="n">
        <v>416.83</v>
      </c>
      <c r="N192" s="95" t="n">
        <v>450.11</v>
      </c>
    </row>
    <row r="193">
      <c r="A193" s="96" t="inlineStr">
        <is>
          <t>TITAN</t>
        </is>
      </c>
      <c r="B193" s="96" t="inlineStr">
        <is>
          <t>Titan Company Limited</t>
        </is>
      </c>
      <c r="C193" s="96" t="n">
        <v>4705.9</v>
      </c>
      <c r="D193" s="96" t="n">
        <v>6</v>
      </c>
      <c r="E193" s="96" t="inlineStr">
        <is>
          <t>WATCHLIST</t>
        </is>
      </c>
      <c r="F193" s="96" t="n">
        <v>0.33</v>
      </c>
      <c r="G193" s="96" t="n">
        <v>67.90000000000001</v>
      </c>
      <c r="H193" s="96" t="inlineStr">
        <is>
          <t>Uptrend</t>
        </is>
      </c>
      <c r="I193" s="96" t="n">
        <v>0.89</v>
      </c>
      <c r="J193" s="96" t="n">
        <v>60.2</v>
      </c>
      <c r="K193" s="96" t="n">
        <v>4705.9</v>
      </c>
      <c r="L193" s="96" t="n">
        <v>4609.26</v>
      </c>
      <c r="M193" s="96" t="n">
        <v>4802.54</v>
      </c>
      <c r="N193" s="96" t="n">
        <v>4899.18</v>
      </c>
    </row>
    <row r="194">
      <c r="A194" s="95" t="inlineStr">
        <is>
          <t>EPL</t>
        </is>
      </c>
      <c r="B194" s="95" t="inlineStr">
        <is>
          <t>EPL LIMITED</t>
        </is>
      </c>
      <c r="C194" s="95" t="n">
        <v>235.12</v>
      </c>
      <c r="D194" s="95" t="n">
        <v>6</v>
      </c>
      <c r="E194" s="95" t="inlineStr">
        <is>
          <t>WATCHLIST</t>
        </is>
      </c>
      <c r="F194" s="95" t="n">
        <v>0.15</v>
      </c>
      <c r="G194" s="95" t="n">
        <v>20.8</v>
      </c>
      <c r="H194" s="95" t="inlineStr">
        <is>
          <t>Uptrend</t>
        </is>
      </c>
      <c r="I194" s="95" t="n">
        <v>0.04</v>
      </c>
      <c r="J194" s="95" t="n">
        <v>0.8</v>
      </c>
      <c r="K194" s="95" t="n">
        <v>235.12</v>
      </c>
      <c r="L194" s="95" t="n">
        <v>224.19</v>
      </c>
      <c r="M194" s="95" t="n">
        <v>246.05</v>
      </c>
      <c r="N194" s="95" t="n">
        <v>256.97</v>
      </c>
    </row>
    <row r="195">
      <c r="A195" s="96" t="inlineStr">
        <is>
          <t>UFLEX</t>
        </is>
      </c>
      <c r="B195" s="96" t="inlineStr">
        <is>
          <t>Uflex Limited</t>
        </is>
      </c>
      <c r="C195" s="96" t="n">
        <v>471.75</v>
      </c>
      <c r="D195" s="96" t="n">
        <v>6</v>
      </c>
      <c r="E195" s="96" t="inlineStr">
        <is>
          <t>WATCHLIST</t>
        </is>
      </c>
      <c r="F195" s="96" t="n">
        <v>0.02</v>
      </c>
      <c r="G195" s="96" t="n">
        <v>37.4</v>
      </c>
      <c r="H195" s="96" t="inlineStr">
        <is>
          <t>Uptrend</t>
        </is>
      </c>
      <c r="I195" s="96" t="n">
        <v>0.63</v>
      </c>
      <c r="J195" s="96" t="n">
        <v>23.6</v>
      </c>
      <c r="K195" s="96" t="n">
        <v>471.75</v>
      </c>
      <c r="L195" s="96" t="n">
        <v>442.17</v>
      </c>
      <c r="M195" s="96" t="n">
        <v>501.33</v>
      </c>
      <c r="N195" s="96" t="n">
        <v>530.91</v>
      </c>
    </row>
    <row r="196">
      <c r="A196" s="95" t="inlineStr">
        <is>
          <t>HEROMOTOCO</t>
        </is>
      </c>
      <c r="B196" s="95" t="inlineStr">
        <is>
          <t>Hero MotoCorp Limited</t>
        </is>
      </c>
      <c r="C196" s="95" t="n">
        <v>5096</v>
      </c>
      <c r="D196" s="95" t="n">
        <v>6</v>
      </c>
      <c r="E196" s="95" t="inlineStr">
        <is>
          <t>WATCHLIST</t>
        </is>
      </c>
      <c r="F196" s="95" t="n">
        <v>0.22</v>
      </c>
      <c r="G196" s="95" t="n">
        <v>29.2</v>
      </c>
      <c r="H196" s="95" t="inlineStr">
        <is>
          <t>Uptrend</t>
        </is>
      </c>
      <c r="I196" s="95" t="n">
        <v>0.63</v>
      </c>
      <c r="J196" s="95" t="n">
        <v>18.4</v>
      </c>
      <c r="K196" s="95" t="n">
        <v>5096</v>
      </c>
      <c r="L196" s="95" t="n">
        <v>4945.54</v>
      </c>
      <c r="M196" s="95" t="n">
        <v>5246.46</v>
      </c>
      <c r="N196" s="95" t="n">
        <v>5396.91</v>
      </c>
    </row>
    <row r="197">
      <c r="A197" s="96" t="inlineStr">
        <is>
          <t>AGI</t>
        </is>
      </c>
      <c r="B197" s="96" t="inlineStr">
        <is>
          <t>AGI GREENPAC LIMITED</t>
        </is>
      </c>
      <c r="C197" s="96" t="n">
        <v>684.9</v>
      </c>
      <c r="D197" s="96" t="n">
        <v>6</v>
      </c>
      <c r="E197" s="96" t="inlineStr">
        <is>
          <t>WATCHLIST</t>
        </is>
      </c>
      <c r="F197" s="96" t="n">
        <v>0.8100000000000001</v>
      </c>
      <c r="G197" s="96" t="n">
        <v>33</v>
      </c>
      <c r="H197" s="96" t="inlineStr">
        <is>
          <t>Downtrend</t>
        </is>
      </c>
      <c r="I197" s="96" t="n">
        <v>0.4</v>
      </c>
      <c r="J197" s="96" t="n">
        <v>13.3</v>
      </c>
      <c r="K197" s="96" t="n">
        <v>684.9</v>
      </c>
      <c r="L197" s="96" t="n">
        <v>719.88</v>
      </c>
      <c r="M197" s="96" t="n">
        <v>649.92</v>
      </c>
      <c r="N197" s="96" t="n">
        <v>614.9400000000001</v>
      </c>
    </row>
    <row r="198">
      <c r="A198" s="95" t="inlineStr">
        <is>
          <t>INDIAGLYCO</t>
        </is>
      </c>
      <c r="B198" s="95" t="inlineStr">
        <is>
          <t>India Glycols Ltd</t>
        </is>
      </c>
      <c r="C198" s="95" t="n">
        <v>1176.35</v>
      </c>
      <c r="D198" s="95" t="n">
        <v>6</v>
      </c>
      <c r="E198" s="95" t="inlineStr">
        <is>
          <t>WATCHLIST</t>
        </is>
      </c>
      <c r="F198" s="95" t="n">
        <v>1.05</v>
      </c>
      <c r="G198" s="95" t="n">
        <v>56.2</v>
      </c>
      <c r="H198" s="95" t="inlineStr">
        <is>
          <t>Uptrend</t>
        </is>
      </c>
      <c r="I198" s="95" t="n">
        <v>0.82</v>
      </c>
      <c r="J198" s="95" t="n">
        <v>45.8</v>
      </c>
      <c r="K198" s="95" t="n">
        <v>1176.35</v>
      </c>
      <c r="L198" s="95" t="n">
        <v>1111.44</v>
      </c>
      <c r="M198" s="95" t="n">
        <v>1241.26</v>
      </c>
      <c r="N198" s="95" t="n">
        <v>1306.16</v>
      </c>
    </row>
    <row r="199">
      <c r="A199" s="96" t="inlineStr">
        <is>
          <t>IGPL</t>
        </is>
      </c>
      <c r="B199" s="96" t="inlineStr">
        <is>
          <t>IG Petrochemicals Ltd</t>
        </is>
      </c>
      <c r="C199" s="96" t="n">
        <v>470.35</v>
      </c>
      <c r="D199" s="96" t="n">
        <v>6</v>
      </c>
      <c r="E199" s="96" t="inlineStr">
        <is>
          <t>WATCHLIST</t>
        </is>
      </c>
      <c r="F199" s="96" t="n">
        <v>1.69</v>
      </c>
      <c r="G199" s="96" t="n">
        <v>27.8</v>
      </c>
      <c r="H199" s="96" t="inlineStr">
        <is>
          <t>Uptrend</t>
        </is>
      </c>
      <c r="I199" s="96" t="n">
        <v>0</v>
      </c>
      <c r="J199" s="96" t="n">
        <v>0</v>
      </c>
      <c r="K199" s="96" t="n">
        <v>470.35</v>
      </c>
      <c r="L199" s="96" t="n">
        <v>446.25</v>
      </c>
      <c r="M199" s="96" t="n">
        <v>494.45</v>
      </c>
      <c r="N199" s="96" t="n">
        <v>518.55</v>
      </c>
    </row>
    <row r="200">
      <c r="A200" s="95" t="inlineStr">
        <is>
          <t>IONEXCHANG</t>
        </is>
      </c>
      <c r="B200" s="95" t="inlineStr">
        <is>
          <t>Ion Exchange (India) Ltd</t>
        </is>
      </c>
      <c r="C200" s="95" t="n">
        <v>424.15</v>
      </c>
      <c r="D200" s="95" t="n">
        <v>6</v>
      </c>
      <c r="E200" s="95" t="inlineStr">
        <is>
          <t>WATCHLIST</t>
        </is>
      </c>
      <c r="F200" s="95" t="n">
        <v>0.73</v>
      </c>
      <c r="G200" s="95" t="n">
        <v>36.5</v>
      </c>
      <c r="H200" s="95" t="inlineStr">
        <is>
          <t>Uptrend</t>
        </is>
      </c>
      <c r="I200" s="95" t="n">
        <v>0.14</v>
      </c>
      <c r="J200" s="95" t="n">
        <v>5</v>
      </c>
      <c r="K200" s="95" t="n">
        <v>424.15</v>
      </c>
      <c r="L200" s="95" t="n">
        <v>392.42</v>
      </c>
      <c r="M200" s="95" t="n">
        <v>455.88</v>
      </c>
      <c r="N200" s="95" t="n">
        <v>487.61</v>
      </c>
    </row>
    <row r="201">
      <c r="A201" s="96" t="inlineStr">
        <is>
          <t>LUPIN</t>
        </is>
      </c>
      <c r="B201" s="96" t="inlineStr">
        <is>
          <t>Lupin Ltd</t>
        </is>
      </c>
      <c r="C201" s="96" t="n">
        <v>2409.2</v>
      </c>
      <c r="D201" s="96" t="n">
        <v>6</v>
      </c>
      <c r="E201" s="96" t="inlineStr">
        <is>
          <t>WATCHLIST</t>
        </is>
      </c>
      <c r="F201" s="96" t="n">
        <v>0.48</v>
      </c>
      <c r="G201" s="96" t="n">
        <v>38.5</v>
      </c>
      <c r="H201" s="96" t="inlineStr">
        <is>
          <t>Downtrend</t>
        </is>
      </c>
      <c r="I201" s="96" t="n">
        <v>0</v>
      </c>
      <c r="J201" s="96" t="n">
        <v>0</v>
      </c>
      <c r="K201" s="96" t="n">
        <v>2409.2</v>
      </c>
      <c r="L201" s="96" t="n">
        <v>2494.65</v>
      </c>
      <c r="M201" s="96" t="n">
        <v>2323.75</v>
      </c>
      <c r="N201" s="96" t="n">
        <v>2238.29</v>
      </c>
    </row>
    <row r="202">
      <c r="A202" s="95" t="inlineStr">
        <is>
          <t>PIDILITIND</t>
        </is>
      </c>
      <c r="B202" s="95" t="inlineStr">
        <is>
          <t>Pidilite Industries Ltd.</t>
        </is>
      </c>
      <c r="C202" s="95" t="n">
        <v>1611.5</v>
      </c>
      <c r="D202" s="95" t="n">
        <v>6</v>
      </c>
      <c r="E202" s="95" t="inlineStr">
        <is>
          <t>WATCHLIST</t>
        </is>
      </c>
      <c r="F202" s="95" t="n">
        <v>0.31</v>
      </c>
      <c r="G202" s="95" t="n">
        <v>11.5</v>
      </c>
      <c r="H202" s="95" t="inlineStr">
        <is>
          <t>Downtrend</t>
        </is>
      </c>
      <c r="I202" s="95" t="n">
        <v>0.03</v>
      </c>
      <c r="J202" s="95" t="n">
        <v>0.4</v>
      </c>
      <c r="K202" s="95" t="n">
        <v>1611.5</v>
      </c>
      <c r="L202" s="95" t="n">
        <v>1667.44</v>
      </c>
      <c r="M202" s="95" t="n">
        <v>1555.56</v>
      </c>
      <c r="N202" s="95" t="n">
        <v>1499.63</v>
      </c>
    </row>
    <row r="204">
      <c r="A204" s="89" t="inlineStr">
        <is>
          <t>ULTRA TOP PICKS — 3 (pattern-confirmed, spike-filtered, trend quality &gt;= 15.0)</t>
        </is>
      </c>
    </row>
    <row r="205" ht="32" customHeight="1" s="45">
      <c r="A205" s="90" t="inlineStr">
        <is>
          <t>Symbol</t>
        </is>
      </c>
      <c r="B205" s="90" t="inlineStr">
        <is>
          <t>Name</t>
        </is>
      </c>
      <c r="C205" s="90" t="inlineStr">
        <is>
          <t>Close</t>
        </is>
      </c>
      <c r="D205" s="90" t="inlineStr">
        <is>
          <t>% Chg</t>
        </is>
      </c>
      <c r="E205" s="90" t="inlineStr">
        <is>
          <t>Turnover (Rs Cr)</t>
        </is>
      </c>
      <c r="F205" s="90" t="inlineStr">
        <is>
          <t>Trend Quality</t>
        </is>
      </c>
      <c r="G205" s="90" t="inlineStr">
        <is>
          <t>Chart Pattern</t>
        </is>
      </c>
      <c r="H205" s="90" t="inlineStr">
        <is>
          <t>Pattern Confidence</t>
        </is>
      </c>
      <c r="I205" s="90" t="inlineStr">
        <is>
          <t>Pattern Detail</t>
        </is>
      </c>
      <c r="J205" s="90" t="inlineStr">
        <is>
          <t>Entry</t>
        </is>
      </c>
      <c r="K205" s="90" t="inlineStr">
        <is>
          <t>Stop Loss</t>
        </is>
      </c>
      <c r="L205" s="90" t="inlineStr">
        <is>
          <t>Target 1</t>
        </is>
      </c>
      <c r="M205" s="90" t="inlineStr">
        <is>
          <t>Target 2</t>
        </is>
      </c>
    </row>
    <row r="206">
      <c r="A206" s="95" t="inlineStr">
        <is>
          <t>GREAVESCOT</t>
        </is>
      </c>
      <c r="B206" s="95" t="inlineStr">
        <is>
          <t>Greaves Cotton Ltd.</t>
        </is>
      </c>
      <c r="C206" s="95" t="n">
        <v>244.65</v>
      </c>
      <c r="D206" s="95" t="n">
        <v>-0.68</v>
      </c>
      <c r="E206" s="95" t="n">
        <v>16.92</v>
      </c>
      <c r="F206" s="95" t="n">
        <v>17.2</v>
      </c>
      <c r="G206" s="95" t="inlineStr">
        <is>
          <t>Cup and Handle</t>
        </is>
      </c>
      <c r="H206" s="95" t="n">
        <v>76.8</v>
      </c>
      <c r="I206" s="95" t="inlineStr">
        <is>
          <t>U-shaped recovery (parabola fit R^2=0.91) with a shallow pullback (handle slope~-3.957) near the prior high.</t>
        </is>
      </c>
      <c r="J206" s="95" t="n">
        <v>244.65</v>
      </c>
      <c r="K206" s="95" t="n">
        <v>225.57</v>
      </c>
      <c r="L206" s="95" t="n">
        <v>263.73</v>
      </c>
      <c r="M206" s="95" t="n">
        <v>282.81</v>
      </c>
    </row>
    <row r="207">
      <c r="A207" s="96" t="inlineStr">
        <is>
          <t>BEPL</t>
        </is>
      </c>
      <c r="B207" s="96" t="inlineStr">
        <is>
          <t>Bhansali Engineering Polymers Ltd.</t>
        </is>
      </c>
      <c r="C207" s="96" t="n">
        <v>115.1</v>
      </c>
      <c r="D207" s="96" t="n">
        <v>-5.51</v>
      </c>
      <c r="E207" s="96" t="n">
        <v>41.46</v>
      </c>
      <c r="F207" s="96" t="n">
        <v>35.5</v>
      </c>
      <c r="G207" s="96" t="inlineStr">
        <is>
          <t>Cup and Handle</t>
        </is>
      </c>
      <c r="H207" s="96" t="n">
        <v>72.09999999999999</v>
      </c>
      <c r="I207" s="96" t="inlineStr">
        <is>
          <t>U-shaped recovery (parabola fit R^2=0.77) with a shallow pullback (handle slope~-18.885) near the prior high.</t>
        </is>
      </c>
      <c r="J207" s="96" t="n">
        <v>115.1</v>
      </c>
      <c r="K207" s="96" t="n">
        <v>103.41</v>
      </c>
      <c r="L207" s="96" t="n">
        <v>126.79</v>
      </c>
      <c r="M207" s="96" t="n">
        <v>138.47</v>
      </c>
    </row>
    <row r="208">
      <c r="A208" s="95" t="inlineStr">
        <is>
          <t>ZENSARTECH</t>
        </is>
      </c>
      <c r="B208" s="95" t="inlineStr">
        <is>
          <t>Zensar Technologies Ltd.</t>
        </is>
      </c>
      <c r="C208" s="95" t="n">
        <v>516.8</v>
      </c>
      <c r="D208" s="95" t="n">
        <v>2.15</v>
      </c>
      <c r="E208" s="95" t="n">
        <v>85.81</v>
      </c>
      <c r="F208" s="95" t="n">
        <v>21</v>
      </c>
      <c r="G208" s="95" t="inlineStr">
        <is>
          <t>Cup and Handle</t>
        </is>
      </c>
      <c r="H208" s="95" t="n">
        <v>63.3</v>
      </c>
      <c r="I208" s="95" t="inlineStr">
        <is>
          <t>U-shaped recovery (parabola fit R^2=0.52) with a shallow pullback (handle slope~-14.906) near the prior high.</t>
        </is>
      </c>
      <c r="J208" s="95" t="n">
        <v>516.8</v>
      </c>
      <c r="K208" s="95" t="n">
        <v>476.68</v>
      </c>
      <c r="L208" s="95" t="n">
        <v>556.92</v>
      </c>
      <c r="M208" s="95" t="n">
        <v>597.03</v>
      </c>
    </row>
  </sheetData>
  <mergeCells count="4">
    <mergeCell ref="A3:M3"/>
    <mergeCell ref="A204:M204"/>
    <mergeCell ref="A176:N176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9"/>
  <sheetViews>
    <sheetView showGridLines="0" workbookViewId="0">
      <selection activeCell="A1" sqref="A1"/>
    </sheetView>
  </sheetViews>
  <sheetFormatPr baseColWidth="8" defaultRowHeight="15"/>
  <cols>
    <col width="15" customWidth="1" style="45" min="1" max="1"/>
    <col width="26" customWidth="1" style="45" min="2" max="2"/>
    <col width="15" customWidth="1" style="45" min="3" max="3"/>
    <col width="15" customWidth="1" style="45" min="4" max="4"/>
    <col width="15" customWidth="1" style="45" min="5" max="5"/>
    <col width="15" customWidth="1" style="45" min="6" max="6"/>
    <col width="15" customWidth="1" style="45" min="7" max="7"/>
    <col width="15" customWidth="1" style="45" min="8" max="8"/>
    <col width="15" customWidth="1" style="45" min="9" max="9"/>
    <col width="15" customWidth="1" style="45" min="10" max="10"/>
    <col width="15" customWidth="1" style="45" min="11" max="11"/>
    <col width="15" customWidth="1" style="45" min="12" max="12"/>
    <col width="15" customWidth="1" style="45" min="13" max="13"/>
    <col width="15" customWidth="1" style="45" min="14" max="14"/>
    <col width="15" customWidth="1" style="45" min="15" max="15"/>
    <col width="15" customWidth="1" style="45" min="16" max="16"/>
    <col width="15" customWidth="1" style="45" min="17" max="17"/>
  </cols>
  <sheetData>
    <row r="1">
      <c r="A1" s="88" t="inlineStr">
        <is>
          <t>BSE Top Gainers (5.0%-20.0%) — 27 Jul 2026</t>
        </is>
      </c>
    </row>
    <row r="3">
      <c r="A3" s="89" t="inlineStr">
        <is>
          <t>ALL BSE GAINERS 5.0%-20.0% — 11 stocks</t>
        </is>
      </c>
    </row>
    <row r="4" ht="32" customHeight="1" s="45">
      <c r="A4" s="90" t="inlineStr">
        <is>
          <t>Symbol</t>
        </is>
      </c>
      <c r="B4" s="90" t="inlineStr">
        <is>
          <t>Name</t>
        </is>
      </c>
      <c r="C4" s="90" t="inlineStr">
        <is>
          <t>Cap Segment</t>
        </is>
      </c>
      <c r="D4" s="90" t="inlineStr">
        <is>
          <t>Close</t>
        </is>
      </c>
      <c r="E4" s="90" t="inlineStr">
        <is>
          <t>% Chg</t>
        </is>
      </c>
      <c r="F4" s="90" t="inlineStr">
        <is>
          <t>Volume</t>
        </is>
      </c>
      <c r="G4" s="90" t="inlineStr">
        <is>
          <t>Turnover (Rs Cr)</t>
        </is>
      </c>
      <c r="H4" s="90" t="inlineStr">
        <is>
          <t>Vol Ratio (vs 3d avg)</t>
        </is>
      </c>
      <c r="I4" s="90" t="inlineStr">
        <is>
          <t>Vol Ratio (vs 20d avg)</t>
        </is>
      </c>
      <c r="J4" s="90" t="inlineStr">
        <is>
          <t>RSI(14)</t>
        </is>
      </c>
      <c r="K4" s="90" t="inlineStr">
        <is>
          <t>ADX(14)</t>
        </is>
      </c>
      <c r="L4" s="90" t="inlineStr">
        <is>
          <t>Score (0-9)</t>
        </is>
      </c>
      <c r="M4" s="90" t="inlineStr">
        <is>
          <t>Verdict</t>
        </is>
      </c>
    </row>
    <row r="5">
      <c r="A5" s="97" t="inlineStr">
        <is>
          <t>KFINTECH</t>
        </is>
      </c>
      <c r="B5" s="97" t="inlineStr">
        <is>
          <t>KFin Technologies Limited</t>
        </is>
      </c>
      <c r="C5" s="97" t="inlineStr">
        <is>
          <t>BSE Smallcap</t>
        </is>
      </c>
      <c r="D5" s="97" t="n">
        <v>930.2</v>
      </c>
      <c r="E5" s="97" t="n">
        <v>8.449999999999999</v>
      </c>
      <c r="F5" s="97" t="n">
        <v>4584202</v>
      </c>
      <c r="G5" s="97" t="n">
        <v>426.42</v>
      </c>
      <c r="H5" s="97" t="n">
        <v>9.359999999999999</v>
      </c>
      <c r="I5" s="97" t="n">
        <v>3.65</v>
      </c>
      <c r="J5" s="97" t="n">
        <v>63.1</v>
      </c>
      <c r="K5" s="97" t="n">
        <v>21.2</v>
      </c>
      <c r="L5" s="97" t="n">
        <v>5</v>
      </c>
      <c r="M5" s="97" t="inlineStr">
        <is>
          <t>WATCHLIST</t>
        </is>
      </c>
    </row>
    <row r="6">
      <c r="A6" s="99" t="inlineStr">
        <is>
          <t>SAGILITY</t>
        </is>
      </c>
      <c r="B6" s="99" t="inlineStr">
        <is>
          <t>Sagility Limited</t>
        </is>
      </c>
      <c r="C6" s="99" t="inlineStr">
        <is>
          <t>BSE Smallcap</t>
        </is>
      </c>
      <c r="D6" s="99" t="n">
        <v>43.37</v>
      </c>
      <c r="E6" s="99" t="n">
        <v>7.3</v>
      </c>
      <c r="F6" s="99" t="n">
        <v>65364693</v>
      </c>
      <c r="G6" s="99" t="n">
        <v>283.49</v>
      </c>
      <c r="H6" s="99" t="n">
        <v>2.45</v>
      </c>
      <c r="I6" s="99" t="n">
        <v>2.47</v>
      </c>
      <c r="J6" s="99" t="n">
        <v>58.5</v>
      </c>
      <c r="K6" s="99" t="n">
        <v>36.4</v>
      </c>
      <c r="L6" s="99" t="n">
        <v>5</v>
      </c>
      <c r="M6" s="99" t="inlineStr">
        <is>
          <t>WATCHLIST</t>
        </is>
      </c>
    </row>
    <row r="7">
      <c r="A7" s="97" t="inlineStr">
        <is>
          <t>REDINGTON</t>
        </is>
      </c>
      <c r="B7" s="97" t="inlineStr">
        <is>
          <t>Redington Limited</t>
        </is>
      </c>
      <c r="C7" s="97" t="inlineStr">
        <is>
          <t>BSE Smallcap</t>
        </is>
      </c>
      <c r="D7" s="97" t="n">
        <v>277.8</v>
      </c>
      <c r="E7" s="97" t="n">
        <v>7.24</v>
      </c>
      <c r="F7" s="97" t="n">
        <v>3947068</v>
      </c>
      <c r="G7" s="97" t="n">
        <v>109.65</v>
      </c>
      <c r="H7" s="97" t="n">
        <v>4.02</v>
      </c>
      <c r="I7" s="97" t="n">
        <v>1.89</v>
      </c>
      <c r="J7" s="97" t="n">
        <v>52.5</v>
      </c>
      <c r="K7" s="97" t="n">
        <v>11.9</v>
      </c>
      <c r="L7" s="97" t="n">
        <v>6</v>
      </c>
      <c r="M7" s="97" t="inlineStr">
        <is>
          <t>WATCHLIST</t>
        </is>
      </c>
    </row>
    <row r="8">
      <c r="A8" s="99" t="inlineStr">
        <is>
          <t>LATENTVIEW</t>
        </is>
      </c>
      <c r="B8" s="99" t="inlineStr">
        <is>
          <t>Latent View Analytics Limited</t>
        </is>
      </c>
      <c r="C8" s="99" t="inlineStr">
        <is>
          <t>BSE Smallcap</t>
        </is>
      </c>
      <c r="D8" s="99" t="n">
        <v>316.3</v>
      </c>
      <c r="E8" s="99" t="n">
        <v>6.84</v>
      </c>
      <c r="F8" s="99" t="n">
        <v>3557729</v>
      </c>
      <c r="G8" s="99" t="n">
        <v>112.53</v>
      </c>
      <c r="H8" s="99" t="n">
        <v>7.6</v>
      </c>
      <c r="I8" s="99" t="n">
        <v>2.53</v>
      </c>
      <c r="J8" s="99" t="n">
        <v>60.1</v>
      </c>
      <c r="K8" s="99" t="n">
        <v>31.7</v>
      </c>
      <c r="L8" s="99" t="n">
        <v>6</v>
      </c>
      <c r="M8" s="99" t="inlineStr">
        <is>
          <t>WATCHLIST</t>
        </is>
      </c>
    </row>
    <row r="9">
      <c r="A9" s="97" t="inlineStr">
        <is>
          <t>CAPLIPOINT</t>
        </is>
      </c>
      <c r="B9" s="97" t="inlineStr">
        <is>
          <t>CAPLIN POINT LABORATORIES LTD.</t>
        </is>
      </c>
      <c r="C9" s="97" t="inlineStr">
        <is>
          <t>BSE Smallcap</t>
        </is>
      </c>
      <c r="D9" s="97" t="n">
        <v>2620.5</v>
      </c>
      <c r="E9" s="97" t="n">
        <v>6.22</v>
      </c>
      <c r="F9" s="97" t="n">
        <v>241249</v>
      </c>
      <c r="G9" s="97" t="n">
        <v>63.22</v>
      </c>
      <c r="H9" s="97" t="n">
        <v>2.16</v>
      </c>
      <c r="I9" s="97" t="n">
        <v>1.9</v>
      </c>
      <c r="J9" s="97" t="n">
        <v>53.7</v>
      </c>
      <c r="K9" s="97" t="n">
        <v>33</v>
      </c>
      <c r="L9" s="97" t="n">
        <v>8</v>
      </c>
      <c r="M9" s="97" t="inlineStr">
        <is>
          <t>STRONG SETUP</t>
        </is>
      </c>
    </row>
    <row r="10">
      <c r="A10" s="99" t="inlineStr">
        <is>
          <t>LALPATHLAB</t>
        </is>
      </c>
      <c r="B10" s="99" t="inlineStr">
        <is>
          <t>Dr. Lal Pathlabs Limited</t>
        </is>
      </c>
      <c r="C10" s="99" t="inlineStr">
        <is>
          <t>BSE Smallcap</t>
        </is>
      </c>
      <c r="D10" s="99" t="n">
        <v>1867.3</v>
      </c>
      <c r="E10" s="99" t="n">
        <v>6.14</v>
      </c>
      <c r="F10" s="99" t="n">
        <v>1688883</v>
      </c>
      <c r="G10" s="99" t="n">
        <v>315.37</v>
      </c>
      <c r="H10" s="99" t="n">
        <v>2.85</v>
      </c>
      <c r="I10" s="99" t="n">
        <v>3.96</v>
      </c>
      <c r="J10" s="99" t="n">
        <v>73.3</v>
      </c>
      <c r="K10" s="99" t="n">
        <v>22.7</v>
      </c>
      <c r="L10" s="99" t="n">
        <v>6</v>
      </c>
      <c r="M10" s="99" t="inlineStr">
        <is>
          <t>WATCHLIST</t>
        </is>
      </c>
    </row>
    <row r="11">
      <c r="A11" s="97" t="inlineStr">
        <is>
          <t>ATUL</t>
        </is>
      </c>
      <c r="B11" s="97" t="inlineStr">
        <is>
          <t>ATUL LTD.</t>
        </is>
      </c>
      <c r="C11" s="97" t="inlineStr">
        <is>
          <t>BSE Smallcap</t>
        </is>
      </c>
      <c r="D11" s="97" t="n">
        <v>6799.5</v>
      </c>
      <c r="E11" s="97" t="n">
        <v>6.12</v>
      </c>
      <c r="F11" s="97" t="n">
        <v>239050</v>
      </c>
      <c r="G11" s="97" t="n">
        <v>162.54</v>
      </c>
      <c r="H11" s="97" t="n">
        <v>1.46</v>
      </c>
      <c r="I11" s="97" t="n">
        <v>3.91</v>
      </c>
      <c r="J11" s="97" t="n">
        <v>63.1</v>
      </c>
      <c r="K11" s="97" t="n">
        <v>34.4</v>
      </c>
      <c r="L11" s="97" t="n">
        <v>7</v>
      </c>
      <c r="M11" s="97" t="inlineStr">
        <is>
          <t>STRONG SETUP</t>
        </is>
      </c>
    </row>
    <row r="12">
      <c r="A12" s="99" t="inlineStr">
        <is>
          <t>TBOTEK</t>
        </is>
      </c>
      <c r="B12" s="99" t="inlineStr">
        <is>
          <t>TBO TEK LIMITED</t>
        </is>
      </c>
      <c r="C12" s="99" t="inlineStr">
        <is>
          <t>BSE Smallcap</t>
        </is>
      </c>
      <c r="D12" s="99" t="n">
        <v>1513</v>
      </c>
      <c r="E12" s="99" t="n">
        <v>5.88</v>
      </c>
      <c r="F12" s="99" t="n">
        <v>142805</v>
      </c>
      <c r="G12" s="99" t="n">
        <v>21.61</v>
      </c>
      <c r="H12" s="99" t="n">
        <v>2.9</v>
      </c>
      <c r="I12" s="99" t="n">
        <v>0.6</v>
      </c>
      <c r="J12" s="99" t="n">
        <v>51.4</v>
      </c>
      <c r="K12" s="99" t="n">
        <v>15.4</v>
      </c>
      <c r="L12" s="99" t="n">
        <v>7</v>
      </c>
      <c r="M12" s="99" t="inlineStr">
        <is>
          <t>STRONG SETUP</t>
        </is>
      </c>
    </row>
    <row r="13">
      <c r="A13" s="97" t="inlineStr">
        <is>
          <t>RKFORGE</t>
        </is>
      </c>
      <c r="B13" s="97" t="inlineStr">
        <is>
          <t>RAMKRISHNA FORGINGS LTD.</t>
        </is>
      </c>
      <c r="C13" s="97" t="inlineStr">
        <is>
          <t>BSE Smallcap</t>
        </is>
      </c>
      <c r="D13" s="97" t="n">
        <v>613.95</v>
      </c>
      <c r="E13" s="97" t="n">
        <v>5.73</v>
      </c>
      <c r="F13" s="97" t="n">
        <v>6415288</v>
      </c>
      <c r="G13" s="97" t="n">
        <v>393.87</v>
      </c>
      <c r="H13" s="97" t="n">
        <v>3.35</v>
      </c>
      <c r="I13" s="97" t="n">
        <v>3.53</v>
      </c>
      <c r="J13" s="97" t="n">
        <v>66.3</v>
      </c>
      <c r="K13" s="97" t="n">
        <v>25.2</v>
      </c>
      <c r="L13" s="97" t="n">
        <v>6</v>
      </c>
      <c r="M13" s="97" t="inlineStr">
        <is>
          <t>WATCHLIST</t>
        </is>
      </c>
    </row>
    <row r="14">
      <c r="A14" s="99" t="inlineStr">
        <is>
          <t>KANSAINER</t>
        </is>
      </c>
      <c r="B14" s="99" t="inlineStr">
        <is>
          <t>KANSAI NEROLAC PAINTS LTD.</t>
        </is>
      </c>
      <c r="C14" s="99" t="inlineStr">
        <is>
          <t>BSE Smallcap</t>
        </is>
      </c>
      <c r="D14" s="99" t="n">
        <v>204.12</v>
      </c>
      <c r="E14" s="99" t="n">
        <v>5.66</v>
      </c>
      <c r="F14" s="99" t="n">
        <v>315111</v>
      </c>
      <c r="G14" s="99" t="n">
        <v>6.43</v>
      </c>
      <c r="H14" s="99" t="n">
        <v>1.68</v>
      </c>
      <c r="I14" s="99" t="n">
        <v>1.73</v>
      </c>
      <c r="J14" s="99" t="n">
        <v>45.8</v>
      </c>
      <c r="K14" s="99" t="n">
        <v>43.9</v>
      </c>
      <c r="L14" s="99" t="n">
        <v>3</v>
      </c>
      <c r="M14" s="99" t="inlineStr">
        <is>
          <t>AVOID</t>
        </is>
      </c>
    </row>
    <row r="15">
      <c r="A15" s="97" t="inlineStr">
        <is>
          <t>PVRINOX</t>
        </is>
      </c>
      <c r="B15" s="97" t="inlineStr">
        <is>
          <t>PVR INOX LIMITED</t>
        </is>
      </c>
      <c r="C15" s="97" t="inlineStr">
        <is>
          <t>BSE Smallcap</t>
        </is>
      </c>
      <c r="D15" s="97" t="n">
        <v>1121.45</v>
      </c>
      <c r="E15" s="97" t="n">
        <v>5.4</v>
      </c>
      <c r="F15" s="97" t="n">
        <v>1056369</v>
      </c>
      <c r="G15" s="97" t="n">
        <v>118.47</v>
      </c>
      <c r="H15" s="97" t="n">
        <v>0.8</v>
      </c>
      <c r="I15" s="97" t="n">
        <v>2.62</v>
      </c>
      <c r="J15" s="97" t="n">
        <v>72.40000000000001</v>
      </c>
      <c r="K15" s="97" t="n">
        <v>30.3</v>
      </c>
      <c r="L15" s="97" t="n">
        <v>5</v>
      </c>
      <c r="M15" s="97" t="inlineStr">
        <is>
          <t>WATCHLIST</t>
        </is>
      </c>
    </row>
    <row r="17">
      <c r="A17" s="89" t="inlineStr">
        <is>
          <t>BSE SMALLCAP GAINERS — DEEP DIVE + LIKELY REASON — 11 stocks</t>
        </is>
      </c>
    </row>
    <row r="18" ht="32" customHeight="1" s="45">
      <c r="A18" s="90" t="inlineStr">
        <is>
          <t>Symbol</t>
        </is>
      </c>
      <c r="B18" s="90" t="inlineStr">
        <is>
          <t>Name</t>
        </is>
      </c>
      <c r="C18" s="90" t="inlineStr">
        <is>
          <t>Close</t>
        </is>
      </c>
      <c r="D18" s="90" t="inlineStr">
        <is>
          <t>% Chg</t>
        </is>
      </c>
      <c r="E18" s="90" t="inlineStr">
        <is>
          <t>Turnover (Rs Cr)</t>
        </is>
      </c>
      <c r="F18" s="90" t="inlineStr">
        <is>
          <t>Vol Ratio (vs 3d avg)</t>
        </is>
      </c>
      <c r="G18" s="90" t="inlineStr">
        <is>
          <t>Vol Ratio (vs 20d avg)</t>
        </is>
      </c>
      <c r="H18" s="90" t="inlineStr">
        <is>
          <t>Trend Strength</t>
        </is>
      </c>
      <c r="I18" s="90" t="inlineStr">
        <is>
          <t>20d Slope %/day</t>
        </is>
      </c>
      <c r="J18" s="90" t="inlineStr">
        <is>
          <t>Trend R^2</t>
        </is>
      </c>
      <c r="K18" s="90" t="inlineStr">
        <is>
          <t>Trend Quality (ADX x R^2)</t>
        </is>
      </c>
      <c r="L18" s="90" t="inlineStr">
        <is>
          <t>Entry</t>
        </is>
      </c>
      <c r="M18" s="90" t="inlineStr">
        <is>
          <t>Stop Loss</t>
        </is>
      </c>
      <c r="N18" s="90" t="inlineStr">
        <is>
          <t>Target 1</t>
        </is>
      </c>
      <c r="O18" s="90" t="inlineStr">
        <is>
          <t>Target 2</t>
        </is>
      </c>
      <c r="P18" s="90" t="inlineStr">
        <is>
          <t>Likely Reason for Gain</t>
        </is>
      </c>
      <c r="Q18" s="90" t="inlineStr">
        <is>
          <t>Recent Headlines</t>
        </is>
      </c>
    </row>
    <row r="19">
      <c r="A19" s="95" t="inlineStr">
        <is>
          <t>KFINTECH</t>
        </is>
      </c>
      <c r="B19" s="95" t="inlineStr">
        <is>
          <t>KFin Technologies Limited</t>
        </is>
      </c>
      <c r="C19" s="95" t="n">
        <v>930.2</v>
      </c>
      <c r="D19" s="95" t="n">
        <v>8.449999999999999</v>
      </c>
      <c r="E19" s="95" t="n">
        <v>426.42</v>
      </c>
      <c r="F19" s="95" t="n">
        <v>9.359999999999999</v>
      </c>
      <c r="G19" s="95" t="n">
        <v>3.65</v>
      </c>
      <c r="H19" s="95" t="inlineStr">
        <is>
          <t>Moderate</t>
        </is>
      </c>
      <c r="I19" s="95" t="n">
        <v>0.18</v>
      </c>
      <c r="J19" s="95" t="n">
        <v>0.2</v>
      </c>
      <c r="K19" s="95" t="n">
        <v>4.3</v>
      </c>
      <c r="L19" s="95" t="n">
        <v>930.2</v>
      </c>
      <c r="M19" s="95" t="n">
        <v>882.75</v>
      </c>
      <c r="N19" s="95" t="n">
        <v>977.65</v>
      </c>
      <c r="O19" s="95" t="n">
        <v>1025.11</v>
      </c>
      <c r="P19" s="95" t="inlineStr">
        <is>
          <t>Results / Earnings / Buyback</t>
        </is>
      </c>
      <c r="Q19" s="95" t="inlineStr">
        <is>
          <t>KFin Tech Q1 Consolidated Net Profit Slides to 752M Rupees from 811M QoQ - Sahi; UltraTech sets Aug 17 for AGM, opens remote voting on Aug 13 - scanx.trade; Gabriel India schedules 64th AGM for August 19 with e-voting - scanx.trade</t>
        </is>
      </c>
    </row>
    <row r="20">
      <c r="A20" s="96" t="inlineStr">
        <is>
          <t>SAGILITY</t>
        </is>
      </c>
      <c r="B20" s="96" t="inlineStr">
        <is>
          <t>Sagility Limited</t>
        </is>
      </c>
      <c r="C20" s="96" t="n">
        <v>43.37</v>
      </c>
      <c r="D20" s="96" t="n">
        <v>7.3</v>
      </c>
      <c r="E20" s="96" t="n">
        <v>283.49</v>
      </c>
      <c r="F20" s="96" t="n">
        <v>2.45</v>
      </c>
      <c r="G20" s="96" t="n">
        <v>2.47</v>
      </c>
      <c r="H20" s="96" t="inlineStr">
        <is>
          <t>Moderate</t>
        </is>
      </c>
      <c r="I20" s="96" t="n">
        <v>0.21</v>
      </c>
      <c r="J20" s="96" t="n">
        <v>0.3</v>
      </c>
      <c r="K20" s="96" t="n">
        <v>11</v>
      </c>
      <c r="L20" s="96" t="n">
        <v>43.37</v>
      </c>
      <c r="M20" s="96" t="n">
        <v>41.06</v>
      </c>
      <c r="N20" s="96" t="n">
        <v>45.68</v>
      </c>
      <c r="O20" s="96" t="n">
        <v>47.99</v>
      </c>
      <c r="P20" s="96" t="inlineStr">
        <is>
          <t>No recent headlines found — verify BSE announcements manually; may be a pure technical/momentum breakout</t>
        </is>
      </c>
      <c r="Q20" s="96" t="inlineStr"/>
    </row>
    <row r="21">
      <c r="A21" s="95" t="inlineStr">
        <is>
          <t>REDINGTON</t>
        </is>
      </c>
      <c r="B21" s="95" t="inlineStr">
        <is>
          <t>Redington Limited</t>
        </is>
      </c>
      <c r="C21" s="95" t="n">
        <v>277.8</v>
      </c>
      <c r="D21" s="95" t="n">
        <v>7.24</v>
      </c>
      <c r="E21" s="95" t="n">
        <v>109.65</v>
      </c>
      <c r="F21" s="95" t="n">
        <v>4.02</v>
      </c>
      <c r="G21" s="95" t="n">
        <v>1.89</v>
      </c>
      <c r="H21" s="95" t="inlineStr">
        <is>
          <t>Weak / Range-bound</t>
        </is>
      </c>
      <c r="I21" s="95" t="n">
        <v>-0.1</v>
      </c>
      <c r="J21" s="95" t="n">
        <v>0.06</v>
      </c>
      <c r="K21" s="95" t="n">
        <v>0.7</v>
      </c>
      <c r="L21" s="95" t="n">
        <v>277.8</v>
      </c>
      <c r="M21" s="95" t="n">
        <v>292.05</v>
      </c>
      <c r="N21" s="95" t="n">
        <v>263.55</v>
      </c>
      <c r="O21" s="95" t="n">
        <v>249.3</v>
      </c>
      <c r="P21" s="95" t="inlineStr">
        <is>
          <t>No recent headlines found — verify BSE announcements manually; may be a pure technical/momentum breakout</t>
        </is>
      </c>
      <c r="Q21" s="95" t="inlineStr"/>
    </row>
    <row r="22">
      <c r="A22" s="96" t="inlineStr">
        <is>
          <t>LATENTVIEW</t>
        </is>
      </c>
      <c r="B22" s="96" t="inlineStr">
        <is>
          <t>Latent View Analytics Limited</t>
        </is>
      </c>
      <c r="C22" s="96" t="n">
        <v>316.3</v>
      </c>
      <c r="D22" s="96" t="n">
        <v>6.84</v>
      </c>
      <c r="E22" s="96" t="n">
        <v>112.53</v>
      </c>
      <c r="F22" s="96" t="n">
        <v>7.6</v>
      </c>
      <c r="G22" s="96" t="n">
        <v>2.53</v>
      </c>
      <c r="H22" s="96" t="inlineStr">
        <is>
          <t>Moderate</t>
        </is>
      </c>
      <c r="I22" s="96" t="n">
        <v>0.61</v>
      </c>
      <c r="J22" s="96" t="n">
        <v>0.6</v>
      </c>
      <c r="K22" s="96" t="n">
        <v>19.1</v>
      </c>
      <c r="L22" s="96" t="n">
        <v>316.3</v>
      </c>
      <c r="M22" s="96" t="n">
        <v>298.88</v>
      </c>
      <c r="N22" s="96" t="n">
        <v>333.72</v>
      </c>
      <c r="O22" s="96" t="n">
        <v>351.13</v>
      </c>
      <c r="P22" s="96" t="inlineStr">
        <is>
          <t>No recent headlines found — verify BSE announcements manually; may be a pure technical/momentum breakout</t>
        </is>
      </c>
      <c r="Q22" s="96" t="inlineStr"/>
    </row>
    <row r="23">
      <c r="A23" s="95" t="inlineStr">
        <is>
          <t>CAPLIPOINT</t>
        </is>
      </c>
      <c r="B23" s="95" t="inlineStr">
        <is>
          <t>CAPLIN POINT LABORATORIES LTD.</t>
        </is>
      </c>
      <c r="C23" s="95" t="n">
        <v>2620.5</v>
      </c>
      <c r="D23" s="95" t="n">
        <v>6.22</v>
      </c>
      <c r="E23" s="95" t="n">
        <v>63.22</v>
      </c>
      <c r="F23" s="95" t="n">
        <v>2.16</v>
      </c>
      <c r="G23" s="95" t="n">
        <v>1.9</v>
      </c>
      <c r="H23" s="95" t="inlineStr">
        <is>
          <t>Moderate</t>
        </is>
      </c>
      <c r="I23" s="95" t="n">
        <v>-0.05</v>
      </c>
      <c r="J23" s="95" t="n">
        <v>0.02</v>
      </c>
      <c r="K23" s="95" t="n">
        <v>0.5</v>
      </c>
      <c r="L23" s="95" t="n">
        <v>2620.5</v>
      </c>
      <c r="M23" s="95" t="n">
        <v>2770.26</v>
      </c>
      <c r="N23" s="95" t="n">
        <v>2470.74</v>
      </c>
      <c r="O23" s="95" t="n">
        <v>2320.97</v>
      </c>
      <c r="P23" s="95" t="inlineStr">
        <is>
          <t>No obvious corporate-action keyword in headlines — likely technical/momentum move; verify manually</t>
        </is>
      </c>
      <c r="Q23" s="95" t="inlineStr">
        <is>
          <t>Top 14 Pharma Stocks To Buy In India July 2026 - Samco</t>
        </is>
      </c>
    </row>
    <row r="24">
      <c r="A24" s="96" t="inlineStr">
        <is>
          <t>LALPATHLAB</t>
        </is>
      </c>
      <c r="B24" s="96" t="inlineStr">
        <is>
          <t>Dr. Lal Pathlabs Limited</t>
        </is>
      </c>
      <c r="C24" s="96" t="n">
        <v>1867.3</v>
      </c>
      <c r="D24" s="96" t="n">
        <v>6.14</v>
      </c>
      <c r="E24" s="96" t="n">
        <v>315.37</v>
      </c>
      <c r="F24" s="96" t="n">
        <v>2.85</v>
      </c>
      <c r="G24" s="96" t="n">
        <v>3.96</v>
      </c>
      <c r="H24" s="96" t="inlineStr">
        <is>
          <t>Moderate</t>
        </is>
      </c>
      <c r="I24" s="96" t="n">
        <v>0.38</v>
      </c>
      <c r="J24" s="96" t="n">
        <v>0.53</v>
      </c>
      <c r="K24" s="96" t="n">
        <v>12.1</v>
      </c>
      <c r="L24" s="96" t="n">
        <v>1867.3</v>
      </c>
      <c r="M24" s="96" t="n">
        <v>1777.75</v>
      </c>
      <c r="N24" s="96" t="n">
        <v>1956.85</v>
      </c>
      <c r="O24" s="96" t="n">
        <v>2046.4</v>
      </c>
      <c r="P24" s="96" t="inlineStr">
        <is>
          <t>Dividend / Bonus / Split / Results / Earnings / Stake Sale / M&amp;A</t>
        </is>
      </c>
      <c r="Q24" s="96" t="inlineStr">
        <is>
          <t>Dr. Lal PathLabs Independent Director Gurinder Singh Kalra steps down - scanx.trade; Dr Lal Pathlabs declares ₹4 final dividend per share at AGM - scanx.trade; Dr. Lal PathLabs Q1FY27 profit surges 27% to ₹1,705 Cr on revenue growth - scanx.trade</t>
        </is>
      </c>
    </row>
    <row r="25">
      <c r="A25" s="95" t="inlineStr">
        <is>
          <t>ATUL</t>
        </is>
      </c>
      <c r="B25" s="95" t="inlineStr">
        <is>
          <t>ATUL LTD.</t>
        </is>
      </c>
      <c r="C25" s="95" t="n">
        <v>6799.5</v>
      </c>
      <c r="D25" s="95" t="n">
        <v>6.12</v>
      </c>
      <c r="E25" s="95" t="n">
        <v>162.54</v>
      </c>
      <c r="F25" s="95" t="n">
        <v>1.46</v>
      </c>
      <c r="G25" s="95" t="n">
        <v>3.91</v>
      </c>
      <c r="H25" s="95" t="inlineStr">
        <is>
          <t>Moderate</t>
        </is>
      </c>
      <c r="I25" s="95" t="n">
        <v>-0.14</v>
      </c>
      <c r="J25" s="95" t="n">
        <v>0.07000000000000001</v>
      </c>
      <c r="K25" s="95" t="n">
        <v>2.5</v>
      </c>
      <c r="L25" s="95" t="n">
        <v>6799.5</v>
      </c>
      <c r="M25" s="95" t="n">
        <v>7118.23</v>
      </c>
      <c r="N25" s="95" t="n">
        <v>6480.77</v>
      </c>
      <c r="O25" s="95" t="n">
        <v>6162.04</v>
      </c>
      <c r="P25" s="95" t="inlineStr">
        <is>
          <t>Results / Earnings</t>
        </is>
      </c>
      <c r="Q25" s="95" t="inlineStr">
        <is>
          <t>Atul Shares Extend Gains, Rise 4% After Sharp Improvement In Q1 Performance - NDTV Profit; Atul Ltd Q1 Results: Consolidated net profit surges 92% YoY - scanx.trade; Atul Ltd Reports Earnings Results for the First Quarter Ended June 30, 2026 - marketscreen</t>
        </is>
      </c>
    </row>
    <row r="26">
      <c r="A26" s="96" t="inlineStr">
        <is>
          <t>TBOTEK</t>
        </is>
      </c>
      <c r="B26" s="96" t="inlineStr">
        <is>
          <t>TBO TEK LIMITED</t>
        </is>
      </c>
      <c r="C26" s="96" t="n">
        <v>1513</v>
      </c>
      <c r="D26" s="96" t="n">
        <v>5.88</v>
      </c>
      <c r="E26" s="96" t="n">
        <v>21.61</v>
      </c>
      <c r="F26" s="96" t="n">
        <v>2.9</v>
      </c>
      <c r="G26" s="96" t="n">
        <v>0.6</v>
      </c>
      <c r="H26" s="96" t="inlineStr">
        <is>
          <t>Weak / Range-bound</t>
        </is>
      </c>
      <c r="I26" s="96" t="n">
        <v>-0.18</v>
      </c>
      <c r="J26" s="96" t="n">
        <v>0.23</v>
      </c>
      <c r="K26" s="96" t="n">
        <v>3.5</v>
      </c>
      <c r="L26" s="96" t="n">
        <v>1513</v>
      </c>
      <c r="M26" s="96" t="n">
        <v>1583.29</v>
      </c>
      <c r="N26" s="96" t="n">
        <v>1442.71</v>
      </c>
      <c r="O26" s="96" t="n">
        <v>1372.43</v>
      </c>
      <c r="P26" s="96" t="inlineStr">
        <is>
          <t>No obvious corporate-action keyword in headlines — likely technical/momentum move; verify manually</t>
        </is>
      </c>
      <c r="Q26" s="96" t="inlineStr">
        <is>
          <t>MEESHO LIMITED Share Price - Upstox</t>
        </is>
      </c>
    </row>
    <row r="27">
      <c r="A27" s="95" t="inlineStr">
        <is>
          <t>RKFORGE</t>
        </is>
      </c>
      <c r="B27" s="95" t="inlineStr">
        <is>
          <t>RAMKRISHNA FORGINGS LTD.</t>
        </is>
      </c>
      <c r="C27" s="95" t="n">
        <v>613.95</v>
      </c>
      <c r="D27" s="95" t="n">
        <v>5.73</v>
      </c>
      <c r="E27" s="95" t="n">
        <v>393.87</v>
      </c>
      <c r="F27" s="95" t="n">
        <v>3.35</v>
      </c>
      <c r="G27" s="95" t="n">
        <v>3.53</v>
      </c>
      <c r="H27" s="95" t="inlineStr">
        <is>
          <t>Moderate</t>
        </is>
      </c>
      <c r="I27" s="95" t="n">
        <v>0.19</v>
      </c>
      <c r="J27" s="95" t="n">
        <v>0.25</v>
      </c>
      <c r="K27" s="95" t="n">
        <v>6.2</v>
      </c>
      <c r="L27" s="95" t="n">
        <v>613.95</v>
      </c>
      <c r="M27" s="95" t="n">
        <v>584.08</v>
      </c>
      <c r="N27" s="95" t="n">
        <v>643.8200000000001</v>
      </c>
      <c r="O27" s="95" t="n">
        <v>673.6799999999999</v>
      </c>
      <c r="P27" s="95" t="inlineStr">
        <is>
          <t>Results / Earnings</t>
        </is>
      </c>
      <c r="Q27" s="95" t="inlineStr">
        <is>
          <t>Earnings call transcript: Ramkrishna Forgings posts strong Q1 2027 growth - Investing.com; Ramkrishna Forgings Q1 FY27 slides: profit surges 297% on diversification By Investing.com; Ramkrishna Forgings Ltd Surges 7.38% to Day's High of Rs 614.9 — Outperforms Sector by 4.3</t>
        </is>
      </c>
    </row>
    <row r="28">
      <c r="A28" s="96" t="inlineStr">
        <is>
          <t>KANSAINER</t>
        </is>
      </c>
      <c r="B28" s="96" t="inlineStr">
        <is>
          <t>KANSAI NEROLAC PAINTS LTD.</t>
        </is>
      </c>
      <c r="C28" s="96" t="n">
        <v>204.12</v>
      </c>
      <c r="D28" s="96" t="n">
        <v>5.66</v>
      </c>
      <c r="E28" s="96" t="n">
        <v>6.43</v>
      </c>
      <c r="F28" s="96" t="n">
        <v>1.68</v>
      </c>
      <c r="G28" s="96" t="n">
        <v>1.73</v>
      </c>
      <c r="H28" s="96" t="inlineStr">
        <is>
          <t>Strong</t>
        </is>
      </c>
      <c r="I28" s="96" t="n">
        <v>-0.34</v>
      </c>
      <c r="J28" s="96" t="n">
        <v>0.5600000000000001</v>
      </c>
      <c r="K28" s="96" t="n">
        <v>24.4</v>
      </c>
      <c r="L28" s="96" t="n">
        <v>204.12</v>
      </c>
      <c r="M28" s="96" t="n">
        <v>212.35</v>
      </c>
      <c r="N28" s="96" t="n">
        <v>195.88</v>
      </c>
      <c r="O28" s="96" t="n">
        <v>187.65</v>
      </c>
      <c r="P28" s="96" t="inlineStr">
        <is>
          <t>No recent headlines found — verify BSE announcements manually; may be a pure technical/momentum breakout</t>
        </is>
      </c>
      <c r="Q28" s="96" t="inlineStr"/>
    </row>
    <row r="29">
      <c r="A29" s="95" t="inlineStr">
        <is>
          <t>PVRINOX</t>
        </is>
      </c>
      <c r="B29" s="95" t="inlineStr">
        <is>
          <t>PVR INOX LIMITED</t>
        </is>
      </c>
      <c r="C29" s="95" t="n">
        <v>1121.45</v>
      </c>
      <c r="D29" s="95" t="n">
        <v>5.4</v>
      </c>
      <c r="E29" s="95" t="n">
        <v>118.47</v>
      </c>
      <c r="F29" s="95" t="n">
        <v>0.8</v>
      </c>
      <c r="G29" s="95" t="n">
        <v>2.62</v>
      </c>
      <c r="H29" s="95" t="inlineStr">
        <is>
          <t>Moderate</t>
        </is>
      </c>
      <c r="I29" s="95" t="n">
        <v>0.36</v>
      </c>
      <c r="J29" s="95" t="n">
        <v>0.44</v>
      </c>
      <c r="K29" s="95" t="n">
        <v>13.2</v>
      </c>
      <c r="L29" s="95" t="n">
        <v>1121.45</v>
      </c>
      <c r="M29" s="95" t="n">
        <v>1071.18</v>
      </c>
      <c r="N29" s="95" t="n">
        <v>1171.72</v>
      </c>
      <c r="O29" s="95" t="n">
        <v>1221.98</v>
      </c>
      <c r="P29" s="95" t="inlineStr">
        <is>
          <t>No obvious corporate-action keyword in headlines — likely technical/momentum move; verify manually</t>
        </is>
      </c>
      <c r="Q29" s="95" t="inlineStr">
        <is>
          <t>Earnings call transcript: PVR INOX beats Q1 2026 EPS forecast as stock rises 4.8% - Invest; PVR INOX bets on sports, concerts and comedy to drive out-of-home entertainment growth - I; PVR INOX Diversifies Into Live Sports, Concerts To Boost Revenue - Whalesbook</t>
        </is>
      </c>
    </row>
  </sheetData>
  <mergeCells count="3">
    <mergeCell ref="A3:M3"/>
    <mergeCell ref="A17:Q17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39"/>
  <sheetViews>
    <sheetView showGridLines="0" workbookViewId="0">
      <selection activeCell="A1" sqref="A1"/>
    </sheetView>
  </sheetViews>
  <sheetFormatPr baseColWidth="8" defaultRowHeight="15"/>
  <cols>
    <col width="15" customWidth="1" style="45" min="1" max="1"/>
    <col width="38" customWidth="1" style="45" min="2" max="2"/>
    <col width="15" customWidth="1" style="45" min="3" max="3"/>
    <col width="15" customWidth="1" style="45" min="4" max="4"/>
    <col width="15" customWidth="1" style="45" min="5" max="5"/>
    <col width="15" customWidth="1" style="45" min="6" max="6"/>
    <col width="15" customWidth="1" style="45" min="7" max="7"/>
    <col width="15" customWidth="1" style="45" min="8" max="8"/>
    <col width="15" customWidth="1" style="45" min="9" max="9"/>
    <col width="15" customWidth="1" style="45" min="10" max="10"/>
    <col width="15" customWidth="1" style="45" min="11" max="11"/>
    <col width="15" customWidth="1" style="45" min="12" max="12"/>
    <col width="15" customWidth="1" style="45" min="13" max="13"/>
    <col width="15" customWidth="1" style="45" min="14" max="14"/>
    <col width="15" customWidth="1" style="45" min="15" max="15"/>
    <col width="44" customWidth="1" style="45" min="16" max="16"/>
    <col width="54" customWidth="1" style="45" min="17" max="17"/>
    <col width="14" customWidth="1" style="45" min="18" max="18"/>
    <col width="14" customWidth="1" style="45" min="19" max="19"/>
    <col width="14" customWidth="1" style="45" min="20" max="20"/>
    <col width="14" customWidth="1" style="45" min="21" max="21"/>
    <col width="14" customWidth="1" style="45" min="22" max="22"/>
    <col width="14" customWidth="1" style="45" min="23" max="23"/>
    <col width="14" customWidth="1" style="45" min="24" max="24"/>
    <col width="14" customWidth="1" style="45" min="25" max="25"/>
    <col width="14" customWidth="1" style="45" min="26" max="26"/>
    <col width="14" customWidth="1" style="45" min="27" max="27"/>
    <col width="14" customWidth="1" style="45" min="28" max="28"/>
    <col width="14" customWidth="1" style="45" min="29" max="29"/>
    <col width="14" customWidth="1" style="45" min="30" max="30"/>
    <col width="14" customWidth="1" style="45" min="31" max="31"/>
    <col width="14" customWidth="1" style="45" min="32" max="32"/>
    <col width="14" customWidth="1" style="45" min="33" max="33"/>
    <col width="14" customWidth="1" style="45" min="34" max="34"/>
    <col width="14" customWidth="1" style="45" min="35" max="35"/>
    <col width="14" customWidth="1" style="45" min="36" max="36"/>
    <col width="14" customWidth="1" style="45" min="37" max="37"/>
    <col width="14" customWidth="1" style="45" min="38" max="38"/>
    <col width="14" customWidth="1" style="45" min="39" max="39"/>
    <col width="14" customWidth="1" style="45" min="40" max="40"/>
    <col width="14" customWidth="1" style="45" min="41" max="41"/>
    <col width="14" customWidth="1" style="45" min="42" max="42"/>
  </cols>
  <sheetData>
    <row r="1">
      <c r="A1" s="88" t="inlineStr">
        <is>
          <t>BSE Top Gainers (5.0%-20.0%) — 31 Jul 2026</t>
        </is>
      </c>
    </row>
    <row r="3">
      <c r="A3" s="89" t="inlineStr">
        <is>
          <t>ALL BSE GAINERS 5.0%-20.0% — 5 stocks</t>
        </is>
      </c>
    </row>
    <row r="4" ht="32" customHeight="1" s="45">
      <c r="A4" s="90" t="inlineStr">
        <is>
          <t>Symbol</t>
        </is>
      </c>
      <c r="B4" s="90" t="inlineStr">
        <is>
          <t>Name</t>
        </is>
      </c>
      <c r="C4" s="90" t="inlineStr">
        <is>
          <t>Cap Segment</t>
        </is>
      </c>
      <c r="D4" s="90" t="inlineStr">
        <is>
          <t>Close</t>
        </is>
      </c>
      <c r="E4" s="90" t="inlineStr">
        <is>
          <t>% Chg</t>
        </is>
      </c>
      <c r="F4" s="90" t="inlineStr">
        <is>
          <t>Volume</t>
        </is>
      </c>
      <c r="G4" s="90" t="inlineStr">
        <is>
          <t>Turnover (Rs Cr)</t>
        </is>
      </c>
      <c r="H4" s="90" t="inlineStr">
        <is>
          <t>Vol Ratio (vs 3d avg)</t>
        </is>
      </c>
      <c r="I4" s="90" t="inlineStr">
        <is>
          <t>Vol Ratio (vs 20d avg)</t>
        </is>
      </c>
      <c r="J4" s="90" t="inlineStr">
        <is>
          <t>RSI(14)</t>
        </is>
      </c>
      <c r="K4" s="90" t="inlineStr">
        <is>
          <t>ADX(14)</t>
        </is>
      </c>
      <c r="L4" s="90" t="inlineStr">
        <is>
          <t>Score (0-9)</t>
        </is>
      </c>
      <c r="M4" s="90" t="inlineStr">
        <is>
          <t>Verdict</t>
        </is>
      </c>
    </row>
    <row r="5">
      <c r="A5" s="104" t="inlineStr">
        <is>
          <t>NETWEB</t>
        </is>
      </c>
      <c r="B5" s="98" t="inlineStr">
        <is>
          <t>NETWEB TECHNOLOGIES INDIA LIMI</t>
        </is>
      </c>
      <c r="C5" s="104" t="inlineStr">
        <is>
          <t>BSE Smallcap</t>
        </is>
      </c>
      <c r="D5" s="104" t="n">
        <v>4540.3</v>
      </c>
      <c r="E5" s="104" t="n">
        <v>8.23</v>
      </c>
      <c r="F5" s="104" t="n">
        <v>3644983</v>
      </c>
      <c r="G5" s="104" t="n">
        <v>1654.93</v>
      </c>
      <c r="H5" s="104" t="n">
        <v>3.39</v>
      </c>
      <c r="I5" s="104" t="n">
        <v>3.81</v>
      </c>
      <c r="J5" s="104" t="n">
        <v>55.6</v>
      </c>
      <c r="K5" s="104" t="n">
        <v>28.2</v>
      </c>
      <c r="L5" s="104" t="n">
        <v>7</v>
      </c>
      <c r="M5" s="104" t="inlineStr">
        <is>
          <t>STRONG SETUP</t>
        </is>
      </c>
    </row>
    <row r="6">
      <c r="A6" s="105" t="inlineStr">
        <is>
          <t>SCHNEIDER</t>
        </is>
      </c>
      <c r="B6" s="100" t="inlineStr">
        <is>
          <t>SCHNEIDER ELECTRIC INFRASTRUCT</t>
        </is>
      </c>
      <c r="C6" s="105" t="inlineStr">
        <is>
          <t>BSE Smallcap</t>
        </is>
      </c>
      <c r="D6" s="105" t="n">
        <v>1385.9</v>
      </c>
      <c r="E6" s="105" t="n">
        <v>8.199999999999999</v>
      </c>
      <c r="F6" s="105" t="n">
        <v>355665</v>
      </c>
      <c r="G6" s="105" t="n">
        <v>49.29</v>
      </c>
      <c r="H6" s="105" t="n">
        <v>1.68</v>
      </c>
      <c r="I6" s="105" t="n">
        <v>1.15</v>
      </c>
      <c r="J6" s="105" t="n">
        <v>47</v>
      </c>
      <c r="K6" s="105" t="n">
        <v>30.4</v>
      </c>
      <c r="L6" s="105" t="n">
        <v>5</v>
      </c>
      <c r="M6" s="105" t="inlineStr">
        <is>
          <t>WATCHLIST</t>
        </is>
      </c>
    </row>
    <row r="7">
      <c r="A7" s="104" t="inlineStr">
        <is>
          <t>JPPOWER</t>
        </is>
      </c>
      <c r="B7" s="98" t="inlineStr">
        <is>
          <t>JAIPRAKASH POWER VENTURES LIMI</t>
        </is>
      </c>
      <c r="C7" s="104" t="inlineStr">
        <is>
          <t>BSE Smallcap</t>
        </is>
      </c>
      <c r="D7" s="104" t="n">
        <v>18.33</v>
      </c>
      <c r="E7" s="104" t="n">
        <v>7.57</v>
      </c>
      <c r="F7" s="104" t="n">
        <v>181748500</v>
      </c>
      <c r="G7" s="104" t="n">
        <v>333.14</v>
      </c>
      <c r="H7" s="104" t="n">
        <v>6.77</v>
      </c>
      <c r="I7" s="104" t="n">
        <v>3.17</v>
      </c>
      <c r="J7" s="104" t="n">
        <v>66.2</v>
      </c>
      <c r="K7" s="104" t="n">
        <v>26.2</v>
      </c>
      <c r="L7" s="104" t="n">
        <v>6</v>
      </c>
      <c r="M7" s="104" t="inlineStr">
        <is>
          <t>WATCHLIST</t>
        </is>
      </c>
    </row>
    <row r="8">
      <c r="A8" s="105" t="inlineStr">
        <is>
          <t>KAYNES</t>
        </is>
      </c>
      <c r="B8" s="100" t="inlineStr">
        <is>
          <t>KAYNES TECHNOLOGY INDIA LIMITE</t>
        </is>
      </c>
      <c r="C8" s="105" t="inlineStr">
        <is>
          <t>BSE Smallcap</t>
        </is>
      </c>
      <c r="D8" s="105" t="n">
        <v>3844.3</v>
      </c>
      <c r="E8" s="105" t="n">
        <v>6.15</v>
      </c>
      <c r="F8" s="105" t="n">
        <v>2223361</v>
      </c>
      <c r="G8" s="105" t="n">
        <v>854.73</v>
      </c>
      <c r="H8" s="105" t="n">
        <v>0.77</v>
      </c>
      <c r="I8" s="105" t="n">
        <v>1.68</v>
      </c>
      <c r="J8" s="105" t="n">
        <v>72.90000000000001</v>
      </c>
      <c r="K8" s="105" t="n">
        <v>25.5</v>
      </c>
      <c r="L8" s="105" t="n">
        <v>4</v>
      </c>
      <c r="M8" s="105" t="inlineStr">
        <is>
          <t>AVOID</t>
        </is>
      </c>
    </row>
    <row r="9">
      <c r="A9" s="104" t="inlineStr">
        <is>
          <t>REDINGTON</t>
        </is>
      </c>
      <c r="B9" s="98" t="inlineStr">
        <is>
          <t>Redington Limited</t>
        </is>
      </c>
      <c r="C9" s="104" t="inlineStr">
        <is>
          <t>BSE Smallcap</t>
        </is>
      </c>
      <c r="D9" s="104" t="n">
        <v>326.7</v>
      </c>
      <c r="E9" s="104" t="n">
        <v>5.07</v>
      </c>
      <c r="F9" s="104" t="n">
        <v>18189943</v>
      </c>
      <c r="G9" s="104" t="n">
        <v>594.27</v>
      </c>
      <c r="H9" s="104" t="n">
        <v>0.85</v>
      </c>
      <c r="I9" s="104" t="n">
        <v>3.1</v>
      </c>
      <c r="J9" s="104" t="n">
        <v>73.3</v>
      </c>
      <c r="K9" s="104" t="n">
        <v>18.4</v>
      </c>
      <c r="L9" s="104" t="n">
        <v>6</v>
      </c>
      <c r="M9" s="104" t="inlineStr">
        <is>
          <t>WATCHLIST</t>
        </is>
      </c>
    </row>
    <row r="11">
      <c r="A11" s="89" t="inlineStr">
        <is>
          <t>BSE SMALLCAP GAINERS — DEEP DIVE + LIKELY REASON — 5 stocks</t>
        </is>
      </c>
    </row>
    <row r="12" ht="32" customHeight="1" s="45">
      <c r="A12" s="90" t="inlineStr">
        <is>
          <t>Symbol</t>
        </is>
      </c>
      <c r="B12" s="90" t="inlineStr">
        <is>
          <t>Name</t>
        </is>
      </c>
      <c r="C12" s="90" t="inlineStr">
        <is>
          <t>Close</t>
        </is>
      </c>
      <c r="D12" s="90" t="inlineStr">
        <is>
          <t>% Chg</t>
        </is>
      </c>
      <c r="E12" s="90" t="inlineStr">
        <is>
          <t>Turnover (Rs Cr)</t>
        </is>
      </c>
      <c r="F12" s="90" t="inlineStr">
        <is>
          <t>Vol Ratio (vs 3d avg)</t>
        </is>
      </c>
      <c r="G12" s="90" t="inlineStr">
        <is>
          <t>Vol Ratio (vs 20d avg)</t>
        </is>
      </c>
      <c r="H12" s="90" t="inlineStr">
        <is>
          <t>Trend Strength</t>
        </is>
      </c>
      <c r="I12" s="90" t="inlineStr">
        <is>
          <t>20d Slope %/day</t>
        </is>
      </c>
      <c r="J12" s="90" t="inlineStr">
        <is>
          <t>Trend R^2</t>
        </is>
      </c>
      <c r="K12" s="90" t="inlineStr">
        <is>
          <t>Trend Quality (ADX x R^2)</t>
        </is>
      </c>
      <c r="L12" s="90" t="inlineStr">
        <is>
          <t>Entry</t>
        </is>
      </c>
      <c r="M12" s="90" t="inlineStr">
        <is>
          <t>Stop Loss</t>
        </is>
      </c>
      <c r="N12" s="90" t="inlineStr">
        <is>
          <t>Target 1</t>
        </is>
      </c>
      <c r="O12" s="90" t="inlineStr">
        <is>
          <t>Target 2</t>
        </is>
      </c>
      <c r="P12" s="90" t="inlineStr">
        <is>
          <t>Likely Reason for Gain</t>
        </is>
      </c>
      <c r="Q12" s="90" t="inlineStr">
        <is>
          <t>Recent Headlines</t>
        </is>
      </c>
    </row>
    <row r="13">
      <c r="A13" s="95" t="inlineStr">
        <is>
          <t>NETWEB</t>
        </is>
      </c>
      <c r="B13" s="98" t="inlineStr">
        <is>
          <t>NETWEB TECHNOLOGIES INDIA LIMI</t>
        </is>
      </c>
      <c r="C13" s="95" t="n">
        <v>4540.3</v>
      </c>
      <c r="D13" s="95" t="n">
        <v>8.23</v>
      </c>
      <c r="E13" s="95" t="n">
        <v>1654.93</v>
      </c>
      <c r="F13" s="95" t="n">
        <v>3.39</v>
      </c>
      <c r="G13" s="95" t="n">
        <v>3.81</v>
      </c>
      <c r="H13" s="95" t="inlineStr">
        <is>
          <t>Moderate</t>
        </is>
      </c>
      <c r="I13" s="95" t="n">
        <v>0.05</v>
      </c>
      <c r="J13" s="95" t="n">
        <v>0.02</v>
      </c>
      <c r="K13" s="95" t="n">
        <v>0.4</v>
      </c>
      <c r="L13" s="95" t="n">
        <v>4540.3</v>
      </c>
      <c r="M13" s="95" t="n">
        <v>4284.64</v>
      </c>
      <c r="N13" s="95" t="n">
        <v>4795.96</v>
      </c>
      <c r="O13" s="95" t="n">
        <v>5051.63</v>
      </c>
      <c r="P13" s="98" t="inlineStr">
        <is>
          <t>No recent headlines found — verify BSE announcements manually; may be a pure technical/momentum breakout</t>
        </is>
      </c>
      <c r="Q13" s="98" t="inlineStr"/>
    </row>
    <row r="14">
      <c r="A14" s="96" t="inlineStr">
        <is>
          <t>SCHNEIDER</t>
        </is>
      </c>
      <c r="B14" s="100" t="inlineStr">
        <is>
          <t>SCHNEIDER ELECTRIC INFRASTRUCT</t>
        </is>
      </c>
      <c r="C14" s="96" t="n">
        <v>1385.9</v>
      </c>
      <c r="D14" s="96" t="n">
        <v>8.199999999999999</v>
      </c>
      <c r="E14" s="96" t="n">
        <v>49.29</v>
      </c>
      <c r="F14" s="96" t="n">
        <v>1.68</v>
      </c>
      <c r="G14" s="96" t="n">
        <v>1.15</v>
      </c>
      <c r="H14" s="96" t="inlineStr">
        <is>
          <t>Moderate</t>
        </is>
      </c>
      <c r="I14" s="96" t="n">
        <v>-0.65</v>
      </c>
      <c r="J14" s="96" t="n">
        <v>0.57</v>
      </c>
      <c r="K14" s="96" t="n">
        <v>17.3</v>
      </c>
      <c r="L14" s="96" t="n">
        <v>1385.9</v>
      </c>
      <c r="M14" s="96" t="n">
        <v>1473.18</v>
      </c>
      <c r="N14" s="96" t="n">
        <v>1298.62</v>
      </c>
      <c r="O14" s="96" t="n">
        <v>1211.34</v>
      </c>
      <c r="P14" s="100" t="inlineStr">
        <is>
          <t>No recent headlines found — verify BSE announcements manually; may be a pure technical/momentum breakout</t>
        </is>
      </c>
      <c r="Q14" s="100" t="inlineStr"/>
    </row>
    <row r="15">
      <c r="A15" s="95" t="inlineStr">
        <is>
          <t>JPPOWER</t>
        </is>
      </c>
      <c r="B15" s="98" t="inlineStr">
        <is>
          <t>JAIPRAKASH POWER VENTURES LIMI</t>
        </is>
      </c>
      <c r="C15" s="95" t="n">
        <v>18.33</v>
      </c>
      <c r="D15" s="95" t="n">
        <v>7.57</v>
      </c>
      <c r="E15" s="95" t="n">
        <v>333.14</v>
      </c>
      <c r="F15" s="95" t="n">
        <v>6.77</v>
      </c>
      <c r="G15" s="95" t="n">
        <v>3.17</v>
      </c>
      <c r="H15" s="95" t="inlineStr">
        <is>
          <t>Moderate</t>
        </is>
      </c>
      <c r="I15" s="95" t="n">
        <v>0</v>
      </c>
      <c r="J15" s="95" t="n">
        <v>0</v>
      </c>
      <c r="K15" s="95" t="n">
        <v>0</v>
      </c>
      <c r="L15" s="95" t="n">
        <v>18.33</v>
      </c>
      <c r="M15" s="95" t="n">
        <v>17.45</v>
      </c>
      <c r="N15" s="95" t="n">
        <v>19.21</v>
      </c>
      <c r="O15" s="95" t="n">
        <v>20.1</v>
      </c>
      <c r="P15" s="98" t="inlineStr">
        <is>
          <t>No recent headlines found — verify BSE announcements manually; may be a pure technical/momentum breakout</t>
        </is>
      </c>
      <c r="Q15" s="98" t="inlineStr"/>
    </row>
    <row r="16">
      <c r="A16" s="96" t="inlineStr">
        <is>
          <t>KAYNES</t>
        </is>
      </c>
      <c r="B16" s="100" t="inlineStr">
        <is>
          <t>KAYNES TECHNOLOGY INDIA LIMITE</t>
        </is>
      </c>
      <c r="C16" s="96" t="n">
        <v>3844.3</v>
      </c>
      <c r="D16" s="96" t="n">
        <v>6.15</v>
      </c>
      <c r="E16" s="96" t="n">
        <v>854.73</v>
      </c>
      <c r="F16" s="96" t="n">
        <v>0.77</v>
      </c>
      <c r="G16" s="96" t="n">
        <v>1.68</v>
      </c>
      <c r="H16" s="96" t="inlineStr">
        <is>
          <t>Moderate</t>
        </is>
      </c>
      <c r="I16" s="96" t="n">
        <v>0.29</v>
      </c>
      <c r="J16" s="96" t="n">
        <v>0.12</v>
      </c>
      <c r="K16" s="96" t="n">
        <v>3.2</v>
      </c>
      <c r="L16" s="96" t="n">
        <v>3844.3</v>
      </c>
      <c r="M16" s="96" t="n">
        <v>3655.01</v>
      </c>
      <c r="N16" s="96" t="n">
        <v>4033.59</v>
      </c>
      <c r="O16" s="96" t="n">
        <v>4222.88</v>
      </c>
      <c r="P16" s="100" t="inlineStr">
        <is>
          <t>No recent headlines found — verify BSE announcements manually; may be a pure technical/momentum breakout</t>
        </is>
      </c>
      <c r="Q16" s="100" t="inlineStr"/>
    </row>
    <row r="17">
      <c r="A17" s="95" t="inlineStr">
        <is>
          <t>REDINGTON</t>
        </is>
      </c>
      <c r="B17" s="98" t="inlineStr">
        <is>
          <t>Redington Limited</t>
        </is>
      </c>
      <c r="C17" s="95" t="n">
        <v>326.7</v>
      </c>
      <c r="D17" s="95" t="n">
        <v>5.07</v>
      </c>
      <c r="E17" s="95" t="n">
        <v>594.27</v>
      </c>
      <c r="F17" s="95" t="n">
        <v>0.85</v>
      </c>
      <c r="G17" s="95" t="n">
        <v>3.1</v>
      </c>
      <c r="H17" s="95" t="inlineStr">
        <is>
          <t>Weak / Range-bound</t>
        </is>
      </c>
      <c r="I17" s="95" t="n">
        <v>0.35</v>
      </c>
      <c r="J17" s="95" t="n">
        <v>0.15</v>
      </c>
      <c r="K17" s="95" t="n">
        <v>2.7</v>
      </c>
      <c r="L17" s="95" t="n">
        <v>326.7</v>
      </c>
      <c r="M17" s="95" t="n">
        <v>307.32</v>
      </c>
      <c r="N17" s="95" t="n">
        <v>346.08</v>
      </c>
      <c r="O17" s="95" t="n">
        <v>365.45</v>
      </c>
      <c r="P17" s="98" t="inlineStr">
        <is>
          <t>Dividend / Bonus / Split / Results / Earnings</t>
        </is>
      </c>
      <c r="Q17" s="98" t="inlineStr">
        <is>
          <t>Multibagger Redington shares soar 18% to record high after Q1 profit jumps 77% - livemint.; Redington releases Q1FY27 earnings call audio recording for investors - scanx.trade; Earnings call transcript: Redington Q1 2027 profit jumps as stock rises 10% - Investing.co</t>
        </is>
      </c>
    </row>
    <row r="19">
      <c r="A19" s="101" t="inlineStr">
        <is>
          <t>NEXT-DAY EXPLOSIVE MOVE WATCHLIST — 31 Jul 2026</t>
        </is>
      </c>
    </row>
    <row r="21">
      <c r="A21" s="89" t="inlineStr">
        <is>
          <t>TOP NEXT-DAY EXPLOSIVE CANDIDATES — NO QUALIFYING SETUPS TODAY</t>
        </is>
      </c>
    </row>
    <row r="22" ht="34" customHeight="1" s="45">
      <c r="A22" s="90" t="inlineStr">
        <is>
          <t>Rank</t>
        </is>
      </c>
      <c r="B22" s="90" t="inlineStr">
        <is>
          <t>Symbol</t>
        </is>
      </c>
      <c r="C22" s="90" t="inlineStr">
        <is>
          <t>Company</t>
        </is>
      </c>
      <c r="D22" s="90" t="inlineStr">
        <is>
          <t>Exchange</t>
        </is>
      </c>
      <c r="E22" s="90" t="inlineStr">
        <is>
          <t>Scanner Source</t>
        </is>
      </c>
      <c r="F22" s="90" t="inlineStr">
        <is>
          <t>Sector</t>
        </is>
      </c>
      <c r="G22" s="90" t="inlineStr">
        <is>
          <t>Close</t>
        </is>
      </c>
      <c r="H22" s="90" t="inlineStr">
        <is>
          <t>Primary Pattern</t>
        </is>
      </c>
      <c r="I22" s="90" t="inlineStr">
        <is>
          <t>Secondary Pattern</t>
        </is>
      </c>
      <c r="J22" s="90" t="inlineStr">
        <is>
          <t>Setup Stage</t>
        </is>
      </c>
      <c r="K22" s="90" t="inlineStr">
        <is>
          <t>Setup Duration</t>
        </is>
      </c>
      <c r="L22" s="90" t="inlineStr">
        <is>
          <t>Pivot</t>
        </is>
      </c>
      <c r="M22" s="90" t="inlineStr">
        <is>
          <t>Distance to Pivot %</t>
        </is>
      </c>
      <c r="N22" s="90" t="inlineStr">
        <is>
          <t>Breakout Trigger</t>
        </is>
      </c>
      <c r="O22" s="90" t="inlineStr">
        <is>
          <t>Setup Low</t>
        </is>
      </c>
      <c r="P22" s="90" t="inlineStr">
        <is>
          <t>Invalidation</t>
        </is>
      </c>
      <c r="Q22" s="90" t="inlineStr">
        <is>
          <t>Risk to Invalidation %</t>
        </is>
      </c>
      <c r="R22" s="90" t="inlineStr">
        <is>
          <t>ATR %</t>
        </is>
      </c>
      <c r="S22" s="90" t="inlineStr">
        <is>
          <t>Five-Day Range Compression</t>
        </is>
      </c>
      <c r="T22" s="90" t="inlineStr">
        <is>
          <t>Bollinger Width Percentile</t>
        </is>
      </c>
      <c r="U22" s="90" t="inlineStr">
        <is>
          <t>Volume Dry-Up Ratio</t>
        </is>
      </c>
      <c r="V22" s="90" t="inlineStr">
        <is>
          <t>Current Relative Volume</t>
        </is>
      </c>
      <c r="W22" s="90" t="inlineStr">
        <is>
          <t>Close-Location Value</t>
        </is>
      </c>
      <c r="X22" s="90" t="inlineStr">
        <is>
          <t>Relative Strength 1M</t>
        </is>
      </c>
      <c r="Y22" s="90" t="inlineStr">
        <is>
          <t>Relative Strength 3M</t>
        </is>
      </c>
      <c r="Z22" s="90" t="inlineStr">
        <is>
          <t>Market Regime</t>
        </is>
      </c>
      <c r="AA22" s="90" t="inlineStr">
        <is>
          <t>Circuit Risk</t>
        </is>
      </c>
      <c r="AB22" s="90" t="inlineStr">
        <is>
          <t>Pattern Score</t>
        </is>
      </c>
      <c r="AC22" s="90" t="inlineStr">
        <is>
          <t>Compression Score</t>
        </is>
      </c>
      <c r="AD22" s="90" t="inlineStr">
        <is>
          <t>Trend/RS Score</t>
        </is>
      </c>
      <c r="AE22" s="90" t="inlineStr">
        <is>
          <t>Volume Score</t>
        </is>
      </c>
      <c r="AF22" s="90" t="inlineStr">
        <is>
          <t>Market Score</t>
        </is>
      </c>
      <c r="AG22" s="90" t="inlineStr">
        <is>
          <t>Penalty</t>
        </is>
      </c>
      <c r="AH22" s="90" t="inlineStr">
        <is>
          <t>Explosive Setup Score</t>
        </is>
      </c>
      <c r="AI22" s="90" t="inlineStr">
        <is>
          <t>Historical Probability/Hit Rate</t>
        </is>
      </c>
      <c r="AJ22" s="90" t="inlineStr">
        <is>
          <t>Historical Sample Size</t>
        </is>
      </c>
      <c r="AK22" s="90" t="inlineStr">
        <is>
          <t>Confidence</t>
        </is>
      </c>
      <c r="AL22" s="90" t="inlineStr">
        <is>
          <t>Data Quality</t>
        </is>
      </c>
      <c r="AM22" s="90" t="inlineStr">
        <is>
          <t>Positive Reasons</t>
        </is>
      </c>
      <c r="AN22" s="90" t="inlineStr">
        <is>
          <t>Main Risks</t>
        </is>
      </c>
      <c r="AO22" s="90" t="inlineStr">
        <is>
          <t>Invalidation Reason</t>
        </is>
      </c>
      <c r="AP22" s="90" t="inlineStr">
        <is>
          <t>Final Verdict</t>
        </is>
      </c>
    </row>
    <row r="24">
      <c r="A24" s="89" t="inlineStr">
        <is>
          <t>REJECTED HIGH-SCORE STOCKS — 5 excluded</t>
        </is>
      </c>
    </row>
    <row r="25" ht="34" customHeight="1" s="45">
      <c r="A25" s="90" t="inlineStr">
        <is>
          <t>Symbol</t>
        </is>
      </c>
      <c r="B25" s="90" t="inlineStr">
        <is>
          <t>Company</t>
        </is>
      </c>
      <c r="C25" s="90" t="inlineStr">
        <is>
          <t>Close</t>
        </is>
      </c>
      <c r="D25" s="90" t="inlineStr">
        <is>
          <t>Setup Score (if any)</t>
        </is>
      </c>
      <c r="E25" s="90" t="inlineStr">
        <is>
          <t>Rejection Reason</t>
        </is>
      </c>
    </row>
    <row r="26">
      <c r="A26" s="95" t="inlineStr">
        <is>
          <t>NETWEB</t>
        </is>
      </c>
      <c r="B26" s="95" t="inlineStr">
        <is>
          <t>NETWEB TECHNOLOGIES INDIA LIMI</t>
        </is>
      </c>
      <c r="C26" s="95" t="n">
        <v>4559.4</v>
      </c>
      <c r="D26" s="95" t="inlineStr">
        <is>
          <t>N/A</t>
        </is>
      </c>
      <c r="E26" s="95" t="inlineStr">
        <is>
          <t>No qualifying pattern detected: no pattern detected</t>
        </is>
      </c>
    </row>
    <row r="27">
      <c r="A27" s="96" t="inlineStr">
        <is>
          <t>SCHNEIDER</t>
        </is>
      </c>
      <c r="B27" s="96" t="inlineStr">
        <is>
          <t>SCHNEIDER ELECTRIC INFRASTRUCT</t>
        </is>
      </c>
      <c r="C27" s="96" t="n">
        <v>1372.85</v>
      </c>
      <c r="D27" s="96" t="inlineStr">
        <is>
          <t>N/A</t>
        </is>
      </c>
      <c r="E27" s="96" t="inlineStr">
        <is>
          <t>Final score 64.68 below minimum band threshold</t>
        </is>
      </c>
    </row>
    <row r="28">
      <c r="A28" s="95" t="inlineStr">
        <is>
          <t>JPPOWER</t>
        </is>
      </c>
      <c r="B28" s="95" t="inlineStr">
        <is>
          <t>JAIPRAKASH POWER VENTURES LIMI</t>
        </is>
      </c>
      <c r="C28" s="95" t="n">
        <v>18.39</v>
      </c>
      <c r="D28" s="95" t="inlineStr">
        <is>
          <t>N/A</t>
        </is>
      </c>
      <c r="E28" s="95" t="inlineStr">
        <is>
          <t>No qualifying pattern detected: no pattern detected</t>
        </is>
      </c>
    </row>
    <row r="29">
      <c r="A29" s="96" t="inlineStr">
        <is>
          <t>KAYNES</t>
        </is>
      </c>
      <c r="B29" s="96" t="inlineStr">
        <is>
          <t>KAYNES TECHNOLOGY INDIA LIMITE</t>
        </is>
      </c>
      <c r="C29" s="96" t="n">
        <v>3836</v>
      </c>
      <c r="D29" s="96" t="inlineStr">
        <is>
          <t>N/A</t>
        </is>
      </c>
      <c r="E29" s="96" t="inlineStr">
        <is>
          <t>Risk to invalidation 21.9% exceeds max 8.0%</t>
        </is>
      </c>
    </row>
    <row r="30">
      <c r="A30" s="95" t="inlineStr">
        <is>
          <t>REDINGTON</t>
        </is>
      </c>
      <c r="B30" s="95" t="inlineStr">
        <is>
          <t>Redington Limited</t>
        </is>
      </c>
      <c r="C30" s="95" t="n">
        <v>325.55</v>
      </c>
      <c r="D30" s="95" t="inlineStr">
        <is>
          <t>N/A</t>
        </is>
      </c>
      <c r="E30" s="95" t="inlineStr">
        <is>
          <t>Risk to invalidation 37.5% exceeds max 8.0%</t>
        </is>
      </c>
    </row>
    <row r="32">
      <c r="A32" s="89" t="inlineStr">
        <is>
          <t>BACKTEST SUMMARY (per-symbol empirical calibration, pooled)</t>
        </is>
      </c>
    </row>
    <row r="33" ht="34" customHeight="1" s="45">
      <c r="A33" s="90" t="inlineStr">
        <is>
          <t>Score Bucket</t>
        </is>
      </c>
      <c r="B33" s="90" t="inlineStr">
        <is>
          <t>Pattern</t>
        </is>
      </c>
      <c r="C33" s="90" t="inlineStr">
        <is>
          <t>Sample Count</t>
        </is>
      </c>
      <c r="D33" s="90" t="inlineStr">
        <is>
          <t>Hit Rate %</t>
        </is>
      </c>
      <c r="E33" s="90" t="inlineStr">
        <is>
          <t>Avg Next-Day High Return %</t>
        </is>
      </c>
      <c r="F33" s="90" t="inlineStr">
        <is>
          <t>Median Next-Day Close Return %</t>
        </is>
      </c>
      <c r="G33" s="90" t="inlineStr">
        <is>
          <t>Avg Adverse Excursion %</t>
        </is>
      </c>
    </row>
    <row r="35">
      <c r="A35" s="89" t="inlineStr">
        <is>
          <t>MARKET DASHBOARD</t>
        </is>
      </c>
    </row>
    <row r="36" ht="34" customHeight="1" s="45">
      <c r="A36" s="90" t="inlineStr">
        <is>
          <t>Metric</t>
        </is>
      </c>
      <c r="B36" s="90" t="inlineStr">
        <is>
          <t>Value</t>
        </is>
      </c>
    </row>
    <row r="37">
      <c r="A37" s="102" t="inlineStr">
        <is>
          <t>Qualifying setups</t>
        </is>
      </c>
      <c r="B37" s="102" t="n">
        <v>0</v>
      </c>
    </row>
    <row r="38">
      <c r="A38" s="103" t="inlineStr">
        <is>
          <t>Rejected setups</t>
        </is>
      </c>
      <c r="B38" s="103" t="n">
        <v>5</v>
      </c>
    </row>
    <row r="39">
      <c r="A39" s="102" t="inlineStr">
        <is>
          <t>Market regime</t>
        </is>
      </c>
      <c r="B39" s="102" t="inlineStr">
        <is>
          <t>STRONG_BULLISH</t>
        </is>
      </c>
    </row>
  </sheetData>
  <mergeCells count="8">
    <mergeCell ref="A32:G32"/>
    <mergeCell ref="A1:M1"/>
    <mergeCell ref="A24:E24"/>
    <mergeCell ref="A3:M3"/>
    <mergeCell ref="A21:AP21"/>
    <mergeCell ref="A11:Q11"/>
    <mergeCell ref="A19:AP19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2026-07-25T16:34:11Z</dcterms:created>
  <dcterms:modified xsi:type="dcterms:W3CDTF">2026-07-31T06:47:24Z</dcterms:modified>
  <cp:revision>0</cp:revision>
</cp:coreProperties>
</file>